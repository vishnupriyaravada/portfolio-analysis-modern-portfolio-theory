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liance" sheetId="1" r:id="rId5"/>
    <sheet state="visible" name="TCS" sheetId="2" r:id="rId6"/>
    <sheet state="visible" name="INFY" sheetId="3" r:id="rId7"/>
    <sheet state="visible" name="HDFCBANK" sheetId="4" r:id="rId8"/>
    <sheet state="visible" name="ICICIBANK" sheetId="5" r:id="rId9"/>
    <sheet state="visible" name="ITC" sheetId="6" r:id="rId10"/>
    <sheet state="visible" name="NIFTY 50" sheetId="7" r:id="rId11"/>
    <sheet state="visible" name="RETURN_CALC" sheetId="8" r:id="rId12"/>
    <sheet state="visible" name="Portfolio_Weights" sheetId="9" r:id="rId13"/>
    <sheet state="visible" name="COVARIANCE MATRIX" sheetId="10" r:id="rId14"/>
    <sheet state="visible" name="MIN VARIANCE" sheetId="11" r:id="rId15"/>
    <sheet state="visible" name="Portfolio_Performance" sheetId="12" r:id="rId16"/>
    <sheet state="visible" name="Volume_Price_Analysis" sheetId="13" r:id="rId17"/>
    <sheet state="visible" name="CAPM" sheetId="14" r:id="rId18"/>
    <sheet state="visible" name="Bond_Data" sheetId="15" r:id="rId19"/>
    <sheet state="visible" name="Bond_Yield_Analysis" sheetId="16" r:id="rId20"/>
    <sheet state="visible" name="Summary" sheetId="17" r:id="rId21"/>
  </sheets>
  <definedNames>
    <definedName name="MY_FUNCTION1">LAMBDA(COVARIANCE.P(Reliance!$K$3:$K$496,Reliance!$L$3:$L$496)/VARP(Reliance!$L$3:$L$496))</definedName>
  </definedNames>
  <calcPr/>
</workbook>
</file>

<file path=xl/sharedStrings.xml><?xml version="1.0" encoding="utf-8"?>
<sst xmlns="http://schemas.openxmlformats.org/spreadsheetml/2006/main" count="9077" uniqueCount="8939">
  <si>
    <t>DATE</t>
  </si>
  <si>
    <t>OPEN</t>
  </si>
  <si>
    <t>HIGH</t>
  </si>
  <si>
    <t>LOW</t>
  </si>
  <si>
    <t>PREV. CLOSE</t>
  </si>
  <si>
    <t>CLOSE</t>
  </si>
  <si>
    <t>VWAP</t>
  </si>
  <si>
    <t>VOLUME</t>
  </si>
  <si>
    <t>VALUE</t>
  </si>
  <si>
    <t>NO. OF  TRADES</t>
  </si>
  <si>
    <t>DAILY RETURN</t>
  </si>
  <si>
    <t>NIFTY RETURN</t>
  </si>
  <si>
    <t>Daily Return</t>
  </si>
  <si>
    <t>2,06,66,817</t>
  </si>
  <si>
    <t>33,53,74,31,288.70</t>
  </si>
  <si>
    <t>4,64,696</t>
  </si>
  <si>
    <t>85,23,352</t>
  </si>
  <si>
    <t>24,73,31,28,212.00</t>
  </si>
  <si>
    <t>1,07,36,703</t>
  </si>
  <si>
    <t>4,48,630</t>
  </si>
  <si>
    <t>18,76,93,78,971.85</t>
  </si>
  <si>
    <t>3,57,150</t>
  </si>
  <si>
    <t>2,25,58,025</t>
  </si>
  <si>
    <t>36,27,38,37,922.85</t>
  </si>
  <si>
    <t>3,88,854</t>
  </si>
  <si>
    <t>51,18,093</t>
  </si>
  <si>
    <t>14,99,35,89,440.05</t>
  </si>
  <si>
    <t>76,90,163</t>
  </si>
  <si>
    <t>1,97,549</t>
  </si>
  <si>
    <t>13,55,54,53,181.95</t>
  </si>
  <si>
    <t>2,29,956</t>
  </si>
  <si>
    <t>2,11,73,132</t>
  </si>
  <si>
    <t>34,24,18,47,264.50</t>
  </si>
  <si>
    <t>40,87,284</t>
  </si>
  <si>
    <t>3,37,720</t>
  </si>
  <si>
    <t>11,97,93,63,870.55</t>
  </si>
  <si>
    <t>2,76,362</t>
  </si>
  <si>
    <t>50,94,329</t>
  </si>
  <si>
    <t>9,07,91,19,381.90</t>
  </si>
  <si>
    <t>1,89,924</t>
  </si>
  <si>
    <t>61,93,596</t>
  </si>
  <si>
    <t>17,99,66,62,105.65</t>
  </si>
  <si>
    <t>1,69,88,475</t>
  </si>
  <si>
    <t>2,55,138</t>
  </si>
  <si>
    <t>27,83,95,62,575.60</t>
  </si>
  <si>
    <t>3,27,468</t>
  </si>
  <si>
    <t>62,27,910</t>
  </si>
  <si>
    <t>10,89,02,09,220.55</t>
  </si>
  <si>
    <t>2,37,457</t>
  </si>
  <si>
    <t>LTP</t>
  </si>
  <si>
    <t>1,33,22,309</t>
  </si>
  <si>
    <t>22,05,61,57,155.50</t>
  </si>
  <si>
    <t>2,91,916</t>
  </si>
  <si>
    <t>31,24,888</t>
  </si>
  <si>
    <t>9,18,46,80,574.05</t>
  </si>
  <si>
    <t>1,50,169</t>
  </si>
  <si>
    <t>42,58,524</t>
  </si>
  <si>
    <t>7,52,38,90,127.90</t>
  </si>
  <si>
    <t>1,96,58,098</t>
  </si>
  <si>
    <t>1,30,511</t>
  </si>
  <si>
    <t>32,72,35,06,965.00</t>
  </si>
  <si>
    <t>3,63,538</t>
  </si>
  <si>
    <t>40,92,292</t>
  </si>
  <si>
    <t>11,98,96,80,025.65</t>
  </si>
  <si>
    <t>1,88,301</t>
  </si>
  <si>
    <t>2,70,27,521</t>
  </si>
  <si>
    <t>43,15,329</t>
  </si>
  <si>
    <t>43,60,41,63,966.10</t>
  </si>
  <si>
    <t>7,73,79,16,018.35</t>
  </si>
  <si>
    <t>6,01,558</t>
  </si>
  <si>
    <t>1,38,899</t>
  </si>
  <si>
    <t>27,87,771</t>
  </si>
  <si>
    <t>11,61,17,60,562.20</t>
  </si>
  <si>
    <t>31,32,532</t>
  </si>
  <si>
    <t>1,69,844</t>
  </si>
  <si>
    <t>1,61,67,214</t>
  </si>
  <si>
    <t>9,17,29,71,802.70</t>
  </si>
  <si>
    <t>25,99,64,12,110.40</t>
  </si>
  <si>
    <t>1,34,517</t>
  </si>
  <si>
    <t>2,59,067</t>
  </si>
  <si>
    <t>41,76,918</t>
  </si>
  <si>
    <t>7,51,55,36,069.05</t>
  </si>
  <si>
    <t>1,52,390</t>
  </si>
  <si>
    <t>31,33,733</t>
  </si>
  <si>
    <t>9,16,86,16,380.80</t>
  </si>
  <si>
    <t>1,39,24,623</t>
  </si>
  <si>
    <t>22,62,34,79,529.55</t>
  </si>
  <si>
    <t>1,85,733</t>
  </si>
  <si>
    <t>74,50,718</t>
  </si>
  <si>
    <t>3,02,506</t>
  </si>
  <si>
    <t>13,51,35,04,750.80</t>
  </si>
  <si>
    <t>1,95,413</t>
  </si>
  <si>
    <t>97,51,082</t>
  </si>
  <si>
    <t>15,87,92,78,800.80</t>
  </si>
  <si>
    <t>1,66,314</t>
  </si>
  <si>
    <t>47,08,451</t>
  </si>
  <si>
    <t>73,35,657</t>
  </si>
  <si>
    <t>13,86,53,25,209.75</t>
  </si>
  <si>
    <t>13,53,31,80,793.15</t>
  </si>
  <si>
    <t>1,87,365</t>
  </si>
  <si>
    <t>2,18,353</t>
  </si>
  <si>
    <t>1,55,67,247</t>
  </si>
  <si>
    <t>25,51,69,52,644.85</t>
  </si>
  <si>
    <t>2,40,802</t>
  </si>
  <si>
    <t>22,03,067</t>
  </si>
  <si>
    <t>9,23,96,08,320.05</t>
  </si>
  <si>
    <t>1,34,281</t>
  </si>
  <si>
    <t>25,85,989</t>
  </si>
  <si>
    <t>4,81,58,90,949.80</t>
  </si>
  <si>
    <t>68,98,871</t>
  </si>
  <si>
    <t>1,40,168</t>
  </si>
  <si>
    <t>20,56,03,27,724.60</t>
  </si>
  <si>
    <t>2,00,328</t>
  </si>
  <si>
    <t>2,38,15,452</t>
  </si>
  <si>
    <t>38,69,65,27,016.25</t>
  </si>
  <si>
    <t>3,23,415</t>
  </si>
  <si>
    <t>38,70,333</t>
  </si>
  <si>
    <t>7,25,76,35,525.75</t>
  </si>
  <si>
    <t>1,41,879</t>
  </si>
  <si>
    <t>42,05,904</t>
  </si>
  <si>
    <t>1,06,50,319</t>
  </si>
  <si>
    <t>12,60,50,24,714.40</t>
  </si>
  <si>
    <t>17,38,75,21,802.75</t>
  </si>
  <si>
    <t>1,75,516</t>
  </si>
  <si>
    <t>2,72,441</t>
  </si>
  <si>
    <t>19,66,902</t>
  </si>
  <si>
    <t>12,37,666</t>
  </si>
  <si>
    <t>3,68,11,87,613.50</t>
  </si>
  <si>
    <t>5,20,01,50,778.85</t>
  </si>
  <si>
    <t>1,16,979</t>
  </si>
  <si>
    <t>1,01,66,711</t>
  </si>
  <si>
    <t>1,02,627</t>
  </si>
  <si>
    <t>16,54,76,68,751.15</t>
  </si>
  <si>
    <t>2,12,238</t>
  </si>
  <si>
    <t>38,84,998</t>
  </si>
  <si>
    <t>11,66,05,26,038.60</t>
  </si>
  <si>
    <t>1,41,353</t>
  </si>
  <si>
    <t>1,11,82,133</t>
  </si>
  <si>
    <t>43,00,287</t>
  </si>
  <si>
    <t>18,36,44,86,559.55</t>
  </si>
  <si>
    <t>8,08,62,21,002.75</t>
  </si>
  <si>
    <t>2,75,112</t>
  </si>
  <si>
    <t>1,85,241</t>
  </si>
  <si>
    <t>52,22,891</t>
  </si>
  <si>
    <t>15,64,19,35,953.20</t>
  </si>
  <si>
    <t>24,41,283</t>
  </si>
  <si>
    <t>2,33,216</t>
  </si>
  <si>
    <t>10,23,01,19,942.80</t>
  </si>
  <si>
    <t>1,20,490</t>
  </si>
  <si>
    <t>1,78,86,622</t>
  </si>
  <si>
    <t>29,32,67,92,469.00</t>
  </si>
  <si>
    <t>2,92,507</t>
  </si>
  <si>
    <t>50,15,935</t>
  </si>
  <si>
    <t>9,35,11,50,975.10</t>
  </si>
  <si>
    <t>1,58,876</t>
  </si>
  <si>
    <t>46,24,827</t>
  </si>
  <si>
    <t>13,90,78,42,193.30</t>
  </si>
  <si>
    <t>1,68,002</t>
  </si>
  <si>
    <t>1,34,60,594</t>
  </si>
  <si>
    <t>22,02,53,91,586.45</t>
  </si>
  <si>
    <t>2,75,424</t>
  </si>
  <si>
    <t>13,02,536</t>
  </si>
  <si>
    <t>5,51,47,05,150.35</t>
  </si>
  <si>
    <t>37,28,589</t>
  </si>
  <si>
    <t>7,00,86,12,072.55</t>
  </si>
  <si>
    <t>1,64,417</t>
  </si>
  <si>
    <t>44,08,057</t>
  </si>
  <si>
    <t>13,35,11,14,538.35</t>
  </si>
  <si>
    <t>2,37,540</t>
  </si>
  <si>
    <t>2,45,26,302</t>
  </si>
  <si>
    <t>40,16,32,06,501.15</t>
  </si>
  <si>
    <t>4,32,962</t>
  </si>
  <si>
    <t>38,30,679</t>
  </si>
  <si>
    <t>7,26,03,60,446.00</t>
  </si>
  <si>
    <t>1,69,020</t>
  </si>
  <si>
    <t>31,25,578</t>
  </si>
  <si>
    <t>9,40,21,08,149.05</t>
  </si>
  <si>
    <t>1,01,024</t>
  </si>
  <si>
    <t>22,26,71,050</t>
  </si>
  <si>
    <t>3,64,81,13,05,104.20</t>
  </si>
  <si>
    <t>5,64,643</t>
  </si>
  <si>
    <t>9,36,912</t>
  </si>
  <si>
    <t>3,94,49,78,151.60</t>
  </si>
  <si>
    <t>65,14,531</t>
  </si>
  <si>
    <t>48,05,143</t>
  </si>
  <si>
    <t>12,61,16,99,907.10</t>
  </si>
  <si>
    <t>14,41,33,56,125.80</t>
  </si>
  <si>
    <t>2,39,601</t>
  </si>
  <si>
    <t>2,00,883</t>
  </si>
  <si>
    <t>1,70,24,840</t>
  </si>
  <si>
    <t>27,78,34,83,803.95</t>
  </si>
  <si>
    <t>3,75,245</t>
  </si>
  <si>
    <t>14,95,593</t>
  </si>
  <si>
    <t>1,91,67,679</t>
  </si>
  <si>
    <t>72,28,284</t>
  </si>
  <si>
    <t>6,29,50,91,175.55</t>
  </si>
  <si>
    <t>58,24,23,37,590.95</t>
  </si>
  <si>
    <t>13,99,45,72,218.80</t>
  </si>
  <si>
    <t>1,86,41,430</t>
  </si>
  <si>
    <t>5,70,843</t>
  </si>
  <si>
    <t>2,51,568</t>
  </si>
  <si>
    <t>30,42,48,19,912.05</t>
  </si>
  <si>
    <t>2,92,439</t>
  </si>
  <si>
    <t>2,08,10,365</t>
  </si>
  <si>
    <t>1,23,41,372</t>
  </si>
  <si>
    <t>62,98,70,09,675.80</t>
  </si>
  <si>
    <t>1,34,66,759</t>
  </si>
  <si>
    <t>32,26,545</t>
  </si>
  <si>
    <t>20,23,42,15,559.05</t>
  </si>
  <si>
    <t>5,99,570</t>
  </si>
  <si>
    <t>26,13,45,16,922.15</t>
  </si>
  <si>
    <t>2,94,496</t>
  </si>
  <si>
    <t>13,76,36,19,690.80</t>
  </si>
  <si>
    <t>2,46,824</t>
  </si>
  <si>
    <t>1,82,461</t>
  </si>
  <si>
    <t>56,20,426</t>
  </si>
  <si>
    <t>1,14,38,159</t>
  </si>
  <si>
    <t>17,05,29,33,370.55</t>
  </si>
  <si>
    <t>18,82,07,12,001.80</t>
  </si>
  <si>
    <t>2,80,541</t>
  </si>
  <si>
    <t>2,45,493</t>
  </si>
  <si>
    <t>55,73,739</t>
  </si>
  <si>
    <t>10,93,02,27,192.05</t>
  </si>
  <si>
    <t>34,57,058</t>
  </si>
  <si>
    <t>2,31,832</t>
  </si>
  <si>
    <t>15,19,54,30,172.75</t>
  </si>
  <si>
    <t>2,33,969</t>
  </si>
  <si>
    <t>1,30,14,801</t>
  </si>
  <si>
    <t>21,34,13,04,566.10</t>
  </si>
  <si>
    <t>2,96,891</t>
  </si>
  <si>
    <t>46,94,322</t>
  </si>
  <si>
    <t>9,16,40,03,289.55</t>
  </si>
  <si>
    <t>1,46,119</t>
  </si>
  <si>
    <t>20,55,210</t>
  </si>
  <si>
    <t>9,16,54,57,457.55</t>
  </si>
  <si>
    <t>54,61,900</t>
  </si>
  <si>
    <t>1,18,736</t>
  </si>
  <si>
    <t>16,52,81,93,207.35</t>
  </si>
  <si>
    <t>2,26,578</t>
  </si>
  <si>
    <t>1,18,96,457</t>
  </si>
  <si>
    <t>19,52,02,44,474.05</t>
  </si>
  <si>
    <t>2,58,547</t>
  </si>
  <si>
    <t>47,78,310</t>
  </si>
  <si>
    <t>22,12,298</t>
  </si>
  <si>
    <t>9,14,11,25,232.25</t>
  </si>
  <si>
    <t>59,91,652</t>
  </si>
  <si>
    <t>1,78,663</t>
  </si>
  <si>
    <t>18,11,45,82,555.90</t>
  </si>
  <si>
    <t>2,52,191</t>
  </si>
  <si>
    <t>1,33,03,323</t>
  </si>
  <si>
    <t>10,02,06,13,301.75</t>
  </si>
  <si>
    <t>21,92,65,34,318.85</t>
  </si>
  <si>
    <t>1,28,019</t>
  </si>
  <si>
    <t>3,06,124</t>
  </si>
  <si>
    <t>40,81,810</t>
  </si>
  <si>
    <t>81,32,084</t>
  </si>
  <si>
    <t>7,85,34,28,072.45</t>
  </si>
  <si>
    <t>24,45,39,50,049.65</t>
  </si>
  <si>
    <t>1,48,492</t>
  </si>
  <si>
    <t>1,11,13,342</t>
  </si>
  <si>
    <t>3,43,225</t>
  </si>
  <si>
    <t>18,29,09,01,279.50</t>
  </si>
  <si>
    <t>2,48,100</t>
  </si>
  <si>
    <t>18,96,990</t>
  </si>
  <si>
    <t>8,59,26,17,038.50</t>
  </si>
  <si>
    <t>1,15,023</t>
  </si>
  <si>
    <t>96,97,114</t>
  </si>
  <si>
    <t>58,48,106</t>
  </si>
  <si>
    <t>1,62,12,023</t>
  </si>
  <si>
    <t>11,15,87,20,885.65</t>
  </si>
  <si>
    <t>28,49,94,95,837.10</t>
  </si>
  <si>
    <t>26,90,91,82,591.25</t>
  </si>
  <si>
    <t>1,90,652</t>
  </si>
  <si>
    <t>4,47,718</t>
  </si>
  <si>
    <t>2,66,121</t>
  </si>
  <si>
    <t>18,29,872</t>
  </si>
  <si>
    <t>8,26,28,19,007.85</t>
  </si>
  <si>
    <t>1,14,303</t>
  </si>
  <si>
    <t>45,05,149</t>
  </si>
  <si>
    <t>47,72,612</t>
  </si>
  <si>
    <t>1,19,30,266</t>
  </si>
  <si>
    <t>13,17,23,42,172.80</t>
  </si>
  <si>
    <t>9,09,24,31,539.80</t>
  </si>
  <si>
    <t>19,84,79,46,539.35</t>
  </si>
  <si>
    <t>1,79,506</t>
  </si>
  <si>
    <t>1,86,509</t>
  </si>
  <si>
    <t>2,75,521</t>
  </si>
  <si>
    <t>18,09,253</t>
  </si>
  <si>
    <t>8,08,56,19,687.40</t>
  </si>
  <si>
    <t>1,01,893</t>
  </si>
  <si>
    <t>69,09,600</t>
  </si>
  <si>
    <t>13,26,99,85,403.85</t>
  </si>
  <si>
    <t>2,65,300</t>
  </si>
  <si>
    <t>75,86,410</t>
  </si>
  <si>
    <t>12,67,56,30,406.45</t>
  </si>
  <si>
    <t>53,84,130</t>
  </si>
  <si>
    <t>2,14,575</t>
  </si>
  <si>
    <t>15,76,87,77,163.00</t>
  </si>
  <si>
    <t>1,86,858</t>
  </si>
  <si>
    <t>53,12,946</t>
  </si>
  <si>
    <t>10,17,85,52,300.90</t>
  </si>
  <si>
    <t>2,54,659</t>
  </si>
  <si>
    <t>18,44,164</t>
  </si>
  <si>
    <t>8,33,05,71,610.15</t>
  </si>
  <si>
    <t>1,18,509</t>
  </si>
  <si>
    <t>1,00,63,561</t>
  </si>
  <si>
    <t>16,79,50,97,219.15</t>
  </si>
  <si>
    <t>48,80,101</t>
  </si>
  <si>
    <t>2,73,207</t>
  </si>
  <si>
    <t>14,23,57,32,813.00</t>
  </si>
  <si>
    <t>2,54,431</t>
  </si>
  <si>
    <t>85,55,092</t>
  </si>
  <si>
    <t>16,54,17,70,366.05</t>
  </si>
  <si>
    <t>2,19,622</t>
  </si>
  <si>
    <t>9,30,697</t>
  </si>
  <si>
    <t>4,18,51,34,647.00</t>
  </si>
  <si>
    <t>2,04,58,671</t>
  </si>
  <si>
    <t>1,11,74,688</t>
  </si>
  <si>
    <t>32,74,44,74,466.75</t>
  </si>
  <si>
    <t>34,60,16,83,780.25</t>
  </si>
  <si>
    <t>3,65,694</t>
  </si>
  <si>
    <t>4,47,311</t>
  </si>
  <si>
    <t>38,43,127</t>
  </si>
  <si>
    <t>7,48,96,65,426.75</t>
  </si>
  <si>
    <t>1,20,139</t>
  </si>
  <si>
    <t>43,55,664</t>
  </si>
  <si>
    <t>12,85,63,98,757.55</t>
  </si>
  <si>
    <t>18,48,058</t>
  </si>
  <si>
    <t>1,53,25,888</t>
  </si>
  <si>
    <t>15,70,181</t>
  </si>
  <si>
    <t>1,33,244</t>
  </si>
  <si>
    <t>26,22,17,70,150.40</t>
  </si>
  <si>
    <t>8,34,44,30,539.80</t>
  </si>
  <si>
    <t>3,05,19,12,524.40</t>
  </si>
  <si>
    <t>3,47,649</t>
  </si>
  <si>
    <t>1,27,744</t>
  </si>
  <si>
    <t>27,40,887</t>
  </si>
  <si>
    <t>27,93,127</t>
  </si>
  <si>
    <t>8,07,04,08,899.55</t>
  </si>
  <si>
    <t>5,45,15,01,004.50</t>
  </si>
  <si>
    <t>1,27,429</t>
  </si>
  <si>
    <t>1,42,203</t>
  </si>
  <si>
    <t>21,33,641</t>
  </si>
  <si>
    <t>9,63,48,99,513.20</t>
  </si>
  <si>
    <t>1,38,513</t>
  </si>
  <si>
    <t>3,03,11,693</t>
  </si>
  <si>
    <t>52,57,86,27,456.00</t>
  </si>
  <si>
    <t>5,19,608</t>
  </si>
  <si>
    <t>63,85,468</t>
  </si>
  <si>
    <t>12,12,08,91,191.90</t>
  </si>
  <si>
    <t>2,52,266</t>
  </si>
  <si>
    <t>29,67,664</t>
  </si>
  <si>
    <t>8,73,41,02,749.70</t>
  </si>
  <si>
    <t>1,48,458</t>
  </si>
  <si>
    <t>36,37,222</t>
  </si>
  <si>
    <t>1,34,82,675</t>
  </si>
  <si>
    <t>16,53,39,15,087.45</t>
  </si>
  <si>
    <t>23,68,80,96,929.70</t>
  </si>
  <si>
    <t>1,55,239</t>
  </si>
  <si>
    <t>4,49,232</t>
  </si>
  <si>
    <t>79,76,570</t>
  </si>
  <si>
    <t>15,11,43,09,893.55</t>
  </si>
  <si>
    <t>2,19,801</t>
  </si>
  <si>
    <t>42,87,357</t>
  </si>
  <si>
    <t>1,65,19,518</t>
  </si>
  <si>
    <t>12,60,46,50,688.95</t>
  </si>
  <si>
    <t>29,21,97,57,725.30</t>
  </si>
  <si>
    <t>12,16,500</t>
  </si>
  <si>
    <t>1,79,852</t>
  </si>
  <si>
    <t>4,04,809</t>
  </si>
  <si>
    <t>5,52,92,99,899.10</t>
  </si>
  <si>
    <t>1,52,42,974</t>
  </si>
  <si>
    <t>1,09,365</t>
  </si>
  <si>
    <t>28,99,27,78,817.95</t>
  </si>
  <si>
    <t>3,46,786</t>
  </si>
  <si>
    <t>1,59,82,656</t>
  </si>
  <si>
    <t>84,77,951</t>
  </si>
  <si>
    <t>28,43,25,92,068.70</t>
  </si>
  <si>
    <t>24,87,55,02,062.25</t>
  </si>
  <si>
    <t>4,98,237</t>
  </si>
  <si>
    <t>36,36,672</t>
  </si>
  <si>
    <t>2,59,931</t>
  </si>
  <si>
    <t>6,87,42,60,634.45</t>
  </si>
  <si>
    <t>1,33,793</t>
  </si>
  <si>
    <t>17,17,263</t>
  </si>
  <si>
    <t>7,76,82,15,760.70</t>
  </si>
  <si>
    <t>1,17,744</t>
  </si>
  <si>
    <t>1,59,49,822</t>
  </si>
  <si>
    <t>28,36,69,59,862.95</t>
  </si>
  <si>
    <t>1,54,48,660</t>
  </si>
  <si>
    <t>72,77,616</t>
  </si>
  <si>
    <t>3,43,553</t>
  </si>
  <si>
    <t>13,74,69,48,535.65</t>
  </si>
  <si>
    <t>45,89,08,94,255.50</t>
  </si>
  <si>
    <t>1,81,532</t>
  </si>
  <si>
    <t>3,79,677</t>
  </si>
  <si>
    <t>12,65,505</t>
  </si>
  <si>
    <t>5,65,54,96,454.35</t>
  </si>
  <si>
    <t>42,68,341</t>
  </si>
  <si>
    <t>1,78,06,751</t>
  </si>
  <si>
    <t>44,16,157</t>
  </si>
  <si>
    <t>1,23,447</t>
  </si>
  <si>
    <t>31,33,50,62,628.80</t>
  </si>
  <si>
    <t>8,06,51,07,237.85</t>
  </si>
  <si>
    <t>13,20,84,20,985.10</t>
  </si>
  <si>
    <t>3,39,917</t>
  </si>
  <si>
    <t>1,73,033</t>
  </si>
  <si>
    <t>1,46,805</t>
  </si>
  <si>
    <t>85,68,722</t>
  </si>
  <si>
    <t>1,31,91,767</t>
  </si>
  <si>
    <t>25,58,74,44,695.30</t>
  </si>
  <si>
    <t>89,52,803</t>
  </si>
  <si>
    <t>22,88,20,63,615.10</t>
  </si>
  <si>
    <t>2,01,586</t>
  </si>
  <si>
    <t>17,03,66,13,838.85</t>
  </si>
  <si>
    <t>3,43,613</t>
  </si>
  <si>
    <t>2,04,902</t>
  </si>
  <si>
    <t>16,88,793</t>
  </si>
  <si>
    <t>7,54,74,77,632.90</t>
  </si>
  <si>
    <t>1,05,236</t>
  </si>
  <si>
    <t>1,49,08,931</t>
  </si>
  <si>
    <t>1,22,86,142</t>
  </si>
  <si>
    <t>35,34,501</t>
  </si>
  <si>
    <t>28,72,38,92,455.00</t>
  </si>
  <si>
    <t>21,20,38,53,820.45</t>
  </si>
  <si>
    <t>10,52,02,89,097.25</t>
  </si>
  <si>
    <t>3,01,305</t>
  </si>
  <si>
    <t>2,37,679</t>
  </si>
  <si>
    <t>1,54,120</t>
  </si>
  <si>
    <t>16,49,179</t>
  </si>
  <si>
    <t>7,36,65,46,120.25</t>
  </si>
  <si>
    <t>1,48,566</t>
  </si>
  <si>
    <t>69,86,955</t>
  </si>
  <si>
    <t>13,14,45,82,073.90</t>
  </si>
  <si>
    <t>94,09,499</t>
  </si>
  <si>
    <t>2,25,929</t>
  </si>
  <si>
    <t>2,42,36,699</t>
  </si>
  <si>
    <t>28,17,97,60,605.20</t>
  </si>
  <si>
    <t>41,07,62,20,098.05</t>
  </si>
  <si>
    <t>2,59,792</t>
  </si>
  <si>
    <t>5,20,129</t>
  </si>
  <si>
    <t>11,84,938</t>
  </si>
  <si>
    <t>5,28,43,28,321.15</t>
  </si>
  <si>
    <t>40,29,072</t>
  </si>
  <si>
    <t>7,65,11,53,333.05</t>
  </si>
  <si>
    <t>1,53,975</t>
  </si>
  <si>
    <t>1,02,98,739</t>
  </si>
  <si>
    <t>2,43,41,616</t>
  </si>
  <si>
    <t>31,15,23,28,126.20</t>
  </si>
  <si>
    <t>40,74,21,81,439.25</t>
  </si>
  <si>
    <t>3,28,612</t>
  </si>
  <si>
    <t>4,19,392</t>
  </si>
  <si>
    <t>13,85,591</t>
  </si>
  <si>
    <t>75,03,887</t>
  </si>
  <si>
    <t>6,23,43,77,452.20</t>
  </si>
  <si>
    <t>4,72,29,148</t>
  </si>
  <si>
    <t>14,22,00,32,273.75</t>
  </si>
  <si>
    <t>1,35,04,407</t>
  </si>
  <si>
    <t>1,25,535</t>
  </si>
  <si>
    <t>77,05,68,14,750.10</t>
  </si>
  <si>
    <t>2,79,836</t>
  </si>
  <si>
    <t>40,20,86,25,079.45</t>
  </si>
  <si>
    <t>4,31,656</t>
  </si>
  <si>
    <t>5,35,347</t>
  </si>
  <si>
    <t>1,00,01,483</t>
  </si>
  <si>
    <t>13,25,919</t>
  </si>
  <si>
    <t>82,15,821</t>
  </si>
  <si>
    <t>1,48,67,203</t>
  </si>
  <si>
    <t>19,26,89,03,580.40</t>
  </si>
  <si>
    <t>5,97,32,12,660.05</t>
  </si>
  <si>
    <t>24,14,29,92,536.60</t>
  </si>
  <si>
    <t>24,46,49,06,859.05</t>
  </si>
  <si>
    <t>3,17,341</t>
  </si>
  <si>
    <t>1,27,870</t>
  </si>
  <si>
    <t>3,30,546</t>
  </si>
  <si>
    <t>3,57,296</t>
  </si>
  <si>
    <t>61,12,575</t>
  </si>
  <si>
    <t>27,42,216</t>
  </si>
  <si>
    <t>1,88,78,647</t>
  </si>
  <si>
    <t>11,80,99,11,119.45</t>
  </si>
  <si>
    <t>12,29,88,52,603.60</t>
  </si>
  <si>
    <t>53,74,62,34,225.65</t>
  </si>
  <si>
    <t>1,79,765</t>
  </si>
  <si>
    <t>6,89,559</t>
  </si>
  <si>
    <t>2,32,953</t>
  </si>
  <si>
    <t>2,05,62,821</t>
  </si>
  <si>
    <t>33,72,55,05,661.60</t>
  </si>
  <si>
    <t>4,42,682</t>
  </si>
  <si>
    <t>1,85,36,438</t>
  </si>
  <si>
    <t>51,83,07,08,670.55</t>
  </si>
  <si>
    <t>56,37,391</t>
  </si>
  <si>
    <t>5,34,690</t>
  </si>
  <si>
    <t>10,92,39,47,722.80</t>
  </si>
  <si>
    <t>3,01,214</t>
  </si>
  <si>
    <t>1,08,77,383</t>
  </si>
  <si>
    <t>14,58,786</t>
  </si>
  <si>
    <t>17,94,09,24,970.40</t>
  </si>
  <si>
    <t>6,60,37,40,972.90</t>
  </si>
  <si>
    <t>2,44,906</t>
  </si>
  <si>
    <t>1,10,90,670</t>
  </si>
  <si>
    <t>30,50,95,18,408.05</t>
  </si>
  <si>
    <t>4,23,167</t>
  </si>
  <si>
    <t>48,57,163</t>
  </si>
  <si>
    <t>9,52,66,13,749.45</t>
  </si>
  <si>
    <t>2,40,629</t>
  </si>
  <si>
    <t>11,55,120</t>
  </si>
  <si>
    <t>1,18,36,297</t>
  </si>
  <si>
    <t>5,21,71,13,716.25</t>
  </si>
  <si>
    <t>19,54,77,19,278.00</t>
  </si>
  <si>
    <t>1,86,378</t>
  </si>
  <si>
    <t>85,10,404</t>
  </si>
  <si>
    <t>23,56,19,05,588.15</t>
  </si>
  <si>
    <t>3,58,981</t>
  </si>
  <si>
    <t>47,82,119</t>
  </si>
  <si>
    <t>9,25,00,80,166.00</t>
  </si>
  <si>
    <t>1,87,711</t>
  </si>
  <si>
    <t>92,63,754</t>
  </si>
  <si>
    <t>15,58,82,85,093.55</t>
  </si>
  <si>
    <t>2,61,742</t>
  </si>
  <si>
    <t>16,99,364</t>
  </si>
  <si>
    <t>7,65,69,02,882.20</t>
  </si>
  <si>
    <t>71,55,305</t>
  </si>
  <si>
    <t>19,84,51,68,137.95</t>
  </si>
  <si>
    <t>3,58,324</t>
  </si>
  <si>
    <t>47,09,431</t>
  </si>
  <si>
    <t>9,10,11,57,285.95</t>
  </si>
  <si>
    <t>2,09,438</t>
  </si>
  <si>
    <t>98,25,565</t>
  </si>
  <si>
    <t>16,54,70,93,800.10</t>
  </si>
  <si>
    <t>1,95,771</t>
  </si>
  <si>
    <t>29,61,779</t>
  </si>
  <si>
    <t>12,94,31,88,817.60</t>
  </si>
  <si>
    <t>2,44,673</t>
  </si>
  <si>
    <t>1,11,79,323</t>
  </si>
  <si>
    <t>30,73,96,75,824.55</t>
  </si>
  <si>
    <t>3,64,305</t>
  </si>
  <si>
    <t>37,51,378</t>
  </si>
  <si>
    <t>7,34,17,34,867.25</t>
  </si>
  <si>
    <t>1,02,35,341</t>
  </si>
  <si>
    <t>2,42,164</t>
  </si>
  <si>
    <t>17,38,73,34,812.90</t>
  </si>
  <si>
    <t>2,44,836</t>
  </si>
  <si>
    <t>29,27,551</t>
  </si>
  <si>
    <t>12,65,01,87,150.25</t>
  </si>
  <si>
    <t>2,32,656</t>
  </si>
  <si>
    <t>73,47,866</t>
  </si>
  <si>
    <t>39,90,061</t>
  </si>
  <si>
    <t>53,53,705</t>
  </si>
  <si>
    <t>12,31,66,27,212.90</t>
  </si>
  <si>
    <t>10,97,74,31,923.95</t>
  </si>
  <si>
    <t>1,99,044</t>
  </si>
  <si>
    <t>10,52,31,64,056.35</t>
  </si>
  <si>
    <t>1,97,702</t>
  </si>
  <si>
    <t>1,84,609</t>
  </si>
  <si>
    <t>54,47,908</t>
  </si>
  <si>
    <t>23,31,03,16,503.10</t>
  </si>
  <si>
    <t>2,91,115</t>
  </si>
  <si>
    <t>1,24,04,862</t>
  </si>
  <si>
    <t>61,10,716</t>
  </si>
  <si>
    <t>20,77,68,48,848.90</t>
  </si>
  <si>
    <t>16,78,07,32,590.05</t>
  </si>
  <si>
    <t>2,32,916</t>
  </si>
  <si>
    <t>2,33,903</t>
  </si>
  <si>
    <t>31,11,512</t>
  </si>
  <si>
    <t>6,02,80,23,137.55</t>
  </si>
  <si>
    <t>1,39,457</t>
  </si>
  <si>
    <t>17,02,319</t>
  </si>
  <si>
    <t>7,26,95,88,108.95</t>
  </si>
  <si>
    <t>2,32,74,177</t>
  </si>
  <si>
    <t>1,69,788</t>
  </si>
  <si>
    <t>40,33,00,32,735.80</t>
  </si>
  <si>
    <t>1,68,81,397</t>
  </si>
  <si>
    <t>5,74,448</t>
  </si>
  <si>
    <t>45,72,68,23,453.35</t>
  </si>
  <si>
    <t>6,02,869</t>
  </si>
  <si>
    <t>81,62,822</t>
  </si>
  <si>
    <t>15,98,03,88,201.05</t>
  </si>
  <si>
    <t>2,95,717</t>
  </si>
  <si>
    <t>30,12,026</t>
  </si>
  <si>
    <t>1,00,17,219</t>
  </si>
  <si>
    <t>1,05,26,196</t>
  </si>
  <si>
    <t>1,94,37,640</t>
  </si>
  <si>
    <t>12,84,63,72,402.70</t>
  </si>
  <si>
    <t>19,91,12,46,940.10</t>
  </si>
  <si>
    <t>27,01,48,52,678.00</t>
  </si>
  <si>
    <t>33,46,73,38,354.45</t>
  </si>
  <si>
    <t>1,40,428</t>
  </si>
  <si>
    <t>3,35,832</t>
  </si>
  <si>
    <t>3,56,705</t>
  </si>
  <si>
    <t>4,11,821</t>
  </si>
  <si>
    <t>46,54,601</t>
  </si>
  <si>
    <t>8,63,93,26,330.60</t>
  </si>
  <si>
    <t>1,85,546</t>
  </si>
  <si>
    <t>77,71,830</t>
  </si>
  <si>
    <t>1,90,18,045</t>
  </si>
  <si>
    <t>21,13,03,92,926.65</t>
  </si>
  <si>
    <t>27,13,073</t>
  </si>
  <si>
    <t>33,02,15,03,108.55</t>
  </si>
  <si>
    <t>3,83,984</t>
  </si>
  <si>
    <t>11,56,74,83,701.95</t>
  </si>
  <si>
    <t>3,86,048</t>
  </si>
  <si>
    <t>1,53,942</t>
  </si>
  <si>
    <t>41,25,240</t>
  </si>
  <si>
    <t>7,66,57,99,770.25</t>
  </si>
  <si>
    <t>1,89,972</t>
  </si>
  <si>
    <t>1,54,16,129</t>
  </si>
  <si>
    <t>27,07,05,10,755.60</t>
  </si>
  <si>
    <t>3,42,755</t>
  </si>
  <si>
    <t>60,41,226</t>
  </si>
  <si>
    <t>16,39,51,16,698.50</t>
  </si>
  <si>
    <t>39,64,251</t>
  </si>
  <si>
    <t>2,95,032</t>
  </si>
  <si>
    <t>16,99,98,20,745.85</t>
  </si>
  <si>
    <t>1,85,888</t>
  </si>
  <si>
    <t>43,11,910</t>
  </si>
  <si>
    <t>8,07,26,63,538.05</t>
  </si>
  <si>
    <t>1,77,546</t>
  </si>
  <si>
    <t>1,30,65,239</t>
  </si>
  <si>
    <t>22,74,18,61,620.40</t>
  </si>
  <si>
    <t>3,37,950</t>
  </si>
  <si>
    <t>70,33,704</t>
  </si>
  <si>
    <t>19,23,30,63,988.40</t>
  </si>
  <si>
    <t>29,06,475</t>
  </si>
  <si>
    <t>2,28,845</t>
  </si>
  <si>
    <t>5,42,50,65,456.80</t>
  </si>
  <si>
    <t>1,37,718</t>
  </si>
  <si>
    <t>1,10,06,071</t>
  </si>
  <si>
    <t>19,13,04,22,535.50</t>
  </si>
  <si>
    <t>3,34,425</t>
  </si>
  <si>
    <t>79,15,980</t>
  </si>
  <si>
    <t>46,89,120</t>
  </si>
  <si>
    <t>21,43,48,71,569.75</t>
  </si>
  <si>
    <t>8,72,83,92,271.00</t>
  </si>
  <si>
    <t>1,78,97,463</t>
  </si>
  <si>
    <t>3,63,161</t>
  </si>
  <si>
    <t>1,81,283</t>
  </si>
  <si>
    <t>31,21,57,11,397.75</t>
  </si>
  <si>
    <t>3,81,375</t>
  </si>
  <si>
    <t>1,63,57,862</t>
  </si>
  <si>
    <t>70,18,940</t>
  </si>
  <si>
    <t>28,40,34,32,611.95</t>
  </si>
  <si>
    <t>13,14,06,01,455.55</t>
  </si>
  <si>
    <t>86,07,371</t>
  </si>
  <si>
    <t>3,50,916</t>
  </si>
  <si>
    <t>1,57,551</t>
  </si>
  <si>
    <t>23,13,93,46,660.10</t>
  </si>
  <si>
    <t>3,37,356</t>
  </si>
  <si>
    <t>46,21,252</t>
  </si>
  <si>
    <t>1,14,47,956</t>
  </si>
  <si>
    <t>8,50,68,71,719.80</t>
  </si>
  <si>
    <t>19,82,20,46,508.90</t>
  </si>
  <si>
    <t>1,57,581</t>
  </si>
  <si>
    <t>2,77,300</t>
  </si>
  <si>
    <t>1,10,77,967</t>
  </si>
  <si>
    <t>29,56,19,35,442.55</t>
  </si>
  <si>
    <t>3,45,601</t>
  </si>
  <si>
    <t>59,19,715</t>
  </si>
  <si>
    <t>10,73,29,32,366.35</t>
  </si>
  <si>
    <t>2,21,376</t>
  </si>
  <si>
    <t>8,79,846</t>
  </si>
  <si>
    <t>1,52,98,70,165.60</t>
  </si>
  <si>
    <t>92,98,748</t>
  </si>
  <si>
    <t>73,95,236</t>
  </si>
  <si>
    <t>13,00,90,50,347.40</t>
  </si>
  <si>
    <t>24,73,28,26,126.10</t>
  </si>
  <si>
    <t>2,83,103</t>
  </si>
  <si>
    <t>3,88,238</t>
  </si>
  <si>
    <t>1,40,44,624</t>
  </si>
  <si>
    <t>24,20,55,13,156.95</t>
  </si>
  <si>
    <t>3,42,162</t>
  </si>
  <si>
    <t>3,71,966</t>
  </si>
  <si>
    <t>65,52,84,656.85</t>
  </si>
  <si>
    <t>1,08,24,350</t>
  </si>
  <si>
    <t>14,47,97,33,719.25</t>
  </si>
  <si>
    <t>3,68,817</t>
  </si>
  <si>
    <t>73,36,722</t>
  </si>
  <si>
    <t>12,78,20,53,575.35</t>
  </si>
  <si>
    <t>2,21,16,203</t>
  </si>
  <si>
    <t>2,37,541</t>
  </si>
  <si>
    <t>38,40,25,43,188.05</t>
  </si>
  <si>
    <t>3,62,395</t>
  </si>
  <si>
    <t>1,20,08,361</t>
  </si>
  <si>
    <t>15,98,86,83,034.00</t>
  </si>
  <si>
    <t>4,36,915</t>
  </si>
  <si>
    <t>31,60,880</t>
  </si>
  <si>
    <t>5,54,47,81,198.40</t>
  </si>
  <si>
    <t>1,68,160</t>
  </si>
  <si>
    <t>1,38,93,955</t>
  </si>
  <si>
    <t>24,36,42,01,740.05</t>
  </si>
  <si>
    <t>2,49,677</t>
  </si>
  <si>
    <t>1,19,84,423</t>
  </si>
  <si>
    <t>16,07,30,73,274.15</t>
  </si>
  <si>
    <t>2,95,954</t>
  </si>
  <si>
    <t>1,04,21,494</t>
  </si>
  <si>
    <t>18,85,39,55,667.25</t>
  </si>
  <si>
    <t>3,05,870</t>
  </si>
  <si>
    <t>94,47,728</t>
  </si>
  <si>
    <t>16,50,13,84,112.80</t>
  </si>
  <si>
    <t>3,15,964</t>
  </si>
  <si>
    <t>93,31,650</t>
  </si>
  <si>
    <t>12,44,97,44,606.90</t>
  </si>
  <si>
    <t>4,14,741</t>
  </si>
  <si>
    <t>45,50,965</t>
  </si>
  <si>
    <t>8,20,30,53,863.70</t>
  </si>
  <si>
    <t>2,74,916</t>
  </si>
  <si>
    <t>21,27,335</t>
  </si>
  <si>
    <t>2,84,82,64,119.80</t>
  </si>
  <si>
    <t>99,51,493</t>
  </si>
  <si>
    <t>1,27,374</t>
  </si>
  <si>
    <t>17,46,10,70,459.45</t>
  </si>
  <si>
    <t>42,10,960</t>
  </si>
  <si>
    <t>7,71,54,46,613.70</t>
  </si>
  <si>
    <t>2,53,333</t>
  </si>
  <si>
    <t>1,99,379</t>
  </si>
  <si>
    <t>1,97,96,890</t>
  </si>
  <si>
    <t>25,76,44,50,096.55</t>
  </si>
  <si>
    <t>38,04,234</t>
  </si>
  <si>
    <t>5,54,958</t>
  </si>
  <si>
    <t>7,05,96,43,882.45</t>
  </si>
  <si>
    <t>2,40,025</t>
  </si>
  <si>
    <t>1,22,82,681</t>
  </si>
  <si>
    <t>21,72,62,35,735.65</t>
  </si>
  <si>
    <t>3,66,875</t>
  </si>
  <si>
    <t>50,12,450</t>
  </si>
  <si>
    <t>1,62,67,479</t>
  </si>
  <si>
    <t>9,38,15,50,004.50</t>
  </si>
  <si>
    <t>21,11,31,19,455.50</t>
  </si>
  <si>
    <t>1,82,346</t>
  </si>
  <si>
    <t>3,71,758</t>
  </si>
  <si>
    <t>1,56,97,703</t>
  </si>
  <si>
    <t>27,18,38,31,491.15</t>
  </si>
  <si>
    <t>4,10,691</t>
  </si>
  <si>
    <t>42,57,495</t>
  </si>
  <si>
    <t>7,94,77,52,333.85</t>
  </si>
  <si>
    <t>1,87,205</t>
  </si>
  <si>
    <t>2,16,25,209</t>
  </si>
  <si>
    <t>28,44,95,04,045.35</t>
  </si>
  <si>
    <t>3,49,627</t>
  </si>
  <si>
    <t>30,12,477</t>
  </si>
  <si>
    <t>13,03,61,44,375.45</t>
  </si>
  <si>
    <t>2,31,071</t>
  </si>
  <si>
    <t>1,78,64,250</t>
  </si>
  <si>
    <t>30,36,39,47,641.30</t>
  </si>
  <si>
    <t>3,84,592</t>
  </si>
  <si>
    <t>43,11,431</t>
  </si>
  <si>
    <t>8,04,50,09,313.65</t>
  </si>
  <si>
    <t>2,06,703</t>
  </si>
  <si>
    <t>25,03,416</t>
  </si>
  <si>
    <t>10,69,53,20,177.30</t>
  </si>
  <si>
    <t>1,35,73,235</t>
  </si>
  <si>
    <t>2,12,084</t>
  </si>
  <si>
    <t>22,97,89,07,908.45</t>
  </si>
  <si>
    <t>3,31,159</t>
  </si>
  <si>
    <t>48,39,244</t>
  </si>
  <si>
    <t>8,77,75,30,199.20</t>
  </si>
  <si>
    <t>2,07,559</t>
  </si>
  <si>
    <t>96,11,974</t>
  </si>
  <si>
    <t>12,58,18,00,339.00</t>
  </si>
  <si>
    <t>2,61,277</t>
  </si>
  <si>
    <t>1,35,40,984</t>
  </si>
  <si>
    <t>18,23,365</t>
  </si>
  <si>
    <t>23,12,71,23,855.10</t>
  </si>
  <si>
    <t>2,91,631</t>
  </si>
  <si>
    <t>7,78,89,15,830.70</t>
  </si>
  <si>
    <t>1,21,772</t>
  </si>
  <si>
    <t>46,69,769</t>
  </si>
  <si>
    <t>1,98,14,406</t>
  </si>
  <si>
    <t>8,59,22,82,283.60</t>
  </si>
  <si>
    <t>25,44,19,00,935.60</t>
  </si>
  <si>
    <t>4,77,001</t>
  </si>
  <si>
    <t>90,56,552</t>
  </si>
  <si>
    <t>11,55,10,68,872.50</t>
  </si>
  <si>
    <t>2,86,019</t>
  </si>
  <si>
    <t>1,42,990</t>
  </si>
  <si>
    <t>1,06,71,091</t>
  </si>
  <si>
    <t>2,54,90,636</t>
  </si>
  <si>
    <t>13,63,56,94,812.30</t>
  </si>
  <si>
    <t>2,99,780</t>
  </si>
  <si>
    <t>44,33,08,62,947.85</t>
  </si>
  <si>
    <t>33,50,119</t>
  </si>
  <si>
    <t>4,58,303</t>
  </si>
  <si>
    <t>54,36,504</t>
  </si>
  <si>
    <t>9,98,55,80,026.60</t>
  </si>
  <si>
    <t>2,32,740</t>
  </si>
  <si>
    <t>14,18,23,64,569.60</t>
  </si>
  <si>
    <t>1,68,212</t>
  </si>
  <si>
    <t>1,46,33,633</t>
  </si>
  <si>
    <t>18,41,82,08,535.90</t>
  </si>
  <si>
    <t>4,69,215</t>
  </si>
  <si>
    <t>63,01,486</t>
  </si>
  <si>
    <t>11,85,12,97,771.15</t>
  </si>
  <si>
    <t>1,85,473</t>
  </si>
  <si>
    <t>1,26,12,633</t>
  </si>
  <si>
    <t>15,93,89,29,092.75</t>
  </si>
  <si>
    <t>3,01,253</t>
  </si>
  <si>
    <t>1,27,64,638</t>
  </si>
  <si>
    <t>24,13,35,84,391.95</t>
  </si>
  <si>
    <t>1,96,770</t>
  </si>
  <si>
    <t>1,78,58,256</t>
  </si>
  <si>
    <t>31,13,81,62,734.40</t>
  </si>
  <si>
    <t>3,68,837</t>
  </si>
  <si>
    <t>29,65,463</t>
  </si>
  <si>
    <t>12,62,14,65,329.55</t>
  </si>
  <si>
    <t>1,94,588</t>
  </si>
  <si>
    <t>1,36,20,611</t>
  </si>
  <si>
    <t>68,50,495</t>
  </si>
  <si>
    <t>17,14,35,01,436.40</t>
  </si>
  <si>
    <t>13,19,64,71,061.70</t>
  </si>
  <si>
    <t>3,12,960</t>
  </si>
  <si>
    <t>3,01,906</t>
  </si>
  <si>
    <t>1,23,86,806</t>
  </si>
  <si>
    <t>21,59,72,23,792.50</t>
  </si>
  <si>
    <t>2,60,956</t>
  </si>
  <si>
    <t>44,47,143</t>
  </si>
  <si>
    <t>8,56,87,81,533.80</t>
  </si>
  <si>
    <t>21,38,68,637</t>
  </si>
  <si>
    <t>1,41,83,746</t>
  </si>
  <si>
    <t>1,46,524</t>
  </si>
  <si>
    <t>3,81,63,91,43,690.10</t>
  </si>
  <si>
    <t>17,94,94,63,404.35</t>
  </si>
  <si>
    <t>6,00,228</t>
  </si>
  <si>
    <t>3,55,649</t>
  </si>
  <si>
    <t>14,72,619</t>
  </si>
  <si>
    <t>6,27,89,60,109.95</t>
  </si>
  <si>
    <t>1,17,843</t>
  </si>
  <si>
    <t>1,54,67,783</t>
  </si>
  <si>
    <t>84,68,790</t>
  </si>
  <si>
    <t>27,60,60,61,237.40</t>
  </si>
  <si>
    <t>15,83,47,48,613.30</t>
  </si>
  <si>
    <t>2,61,322</t>
  </si>
  <si>
    <t>2,84,687</t>
  </si>
  <si>
    <t>1,94,33,843</t>
  </si>
  <si>
    <t>23,80,49,02,094.90</t>
  </si>
  <si>
    <t>5,53,410</t>
  </si>
  <si>
    <t>1,63,57,488</t>
  </si>
  <si>
    <t>29,46,92,24,217.60</t>
  </si>
  <si>
    <t>52,44,346</t>
  </si>
  <si>
    <t>15,41,867</t>
  </si>
  <si>
    <t>3,30,771</t>
  </si>
  <si>
    <t>9,75,41,22,115.25</t>
  </si>
  <si>
    <t>6,53,60,12,531.70</t>
  </si>
  <si>
    <t>2,04,71,957</t>
  </si>
  <si>
    <t>2,17,020</t>
  </si>
  <si>
    <t>25,53,04,60,769.30</t>
  </si>
  <si>
    <t>1,63,898</t>
  </si>
  <si>
    <t>3,23,219</t>
  </si>
  <si>
    <t>1,78,61,196</t>
  </si>
  <si>
    <t>32,30,11,09,888.90</t>
  </si>
  <si>
    <t>3,79,898</t>
  </si>
  <si>
    <t>28,68,263</t>
  </si>
  <si>
    <t>2,89,23,341</t>
  </si>
  <si>
    <t>5,36,05,64,446.55</t>
  </si>
  <si>
    <t>1,43,774</t>
  </si>
  <si>
    <t>37,35,50,89,803.05</t>
  </si>
  <si>
    <t>3,90,544</t>
  </si>
  <si>
    <t>10,82,504</t>
  </si>
  <si>
    <t>4,61,91,61,345.70</t>
  </si>
  <si>
    <t>1,38,34,768</t>
  </si>
  <si>
    <t>1,02,574</t>
  </si>
  <si>
    <t>24,81,83,89,358.55</t>
  </si>
  <si>
    <t>3,77,555</t>
  </si>
  <si>
    <t>47,15,792</t>
  </si>
  <si>
    <t>8,91,92,59,125.80</t>
  </si>
  <si>
    <t>1,65,988</t>
  </si>
  <si>
    <t>92,47,557</t>
  </si>
  <si>
    <t>11,94,81,33,607.60</t>
  </si>
  <si>
    <t>2,18,738</t>
  </si>
  <si>
    <t>75,55,438</t>
  </si>
  <si>
    <t>13,53,79,40,498.05</t>
  </si>
  <si>
    <t>2,19,254</t>
  </si>
  <si>
    <t>47,05,573</t>
  </si>
  <si>
    <t>8,91,77,17,924.90</t>
  </si>
  <si>
    <t>2,15,259</t>
  </si>
  <si>
    <t>23,78,875</t>
  </si>
  <si>
    <t>10,09,31,43,863.45</t>
  </si>
  <si>
    <t>1,76,710</t>
  </si>
  <si>
    <t>2,17,05,121</t>
  </si>
  <si>
    <t>95,72,746</t>
  </si>
  <si>
    <t>39,66,07,23,545.25</t>
  </si>
  <si>
    <t>12,38,56,14,506.45</t>
  </si>
  <si>
    <t>3,04,635</t>
  </si>
  <si>
    <t>1,96,614</t>
  </si>
  <si>
    <t>90,50,038</t>
  </si>
  <si>
    <t>2,23,34,542</t>
  </si>
  <si>
    <t>17,42,17,67,118.35</t>
  </si>
  <si>
    <t>41,42,72,49,107.90</t>
  </si>
  <si>
    <t>3,00,510</t>
  </si>
  <si>
    <t>4,36,235</t>
  </si>
  <si>
    <t>1,50,27,412</t>
  </si>
  <si>
    <t>19,24,61,53,609.30</t>
  </si>
  <si>
    <t>57,59,183</t>
  </si>
  <si>
    <t>3,11,959</t>
  </si>
  <si>
    <t>23,98,35,86,815.70</t>
  </si>
  <si>
    <t>3,77,816</t>
  </si>
  <si>
    <t>1,98,41,357</t>
  </si>
  <si>
    <t>36,95,30,40,114.30</t>
  </si>
  <si>
    <t>35,73,331</t>
  </si>
  <si>
    <t>4,36,462</t>
  </si>
  <si>
    <t>6,86,63,14,025.75</t>
  </si>
  <si>
    <t>1,33,773</t>
  </si>
  <si>
    <t>1,32,02,307</t>
  </si>
  <si>
    <t>17,04,19,75,591.70</t>
  </si>
  <si>
    <t>2,80,529</t>
  </si>
  <si>
    <t>88,91,578</t>
  </si>
  <si>
    <t>21,37,590</t>
  </si>
  <si>
    <t>16,50,93,03,748.10</t>
  </si>
  <si>
    <t>3,06,905</t>
  </si>
  <si>
    <t>42,74,645</t>
  </si>
  <si>
    <t>8,85,83,98,067.15</t>
  </si>
  <si>
    <t>8,17,49,59,449.55</t>
  </si>
  <si>
    <t>1,40,166</t>
  </si>
  <si>
    <t>1,69,220</t>
  </si>
  <si>
    <t>1,10,24,152</t>
  </si>
  <si>
    <t>14,31,59,72,962.55</t>
  </si>
  <si>
    <t>1,34,73,956</t>
  </si>
  <si>
    <t>2,72,825</t>
  </si>
  <si>
    <t>25,21,10,39,597.45</t>
  </si>
  <si>
    <t>2,34,236</t>
  </si>
  <si>
    <t>61,74,921</t>
  </si>
  <si>
    <t>12,02,30,85,384.00</t>
  </si>
  <si>
    <t>2,19,707</t>
  </si>
  <si>
    <t>27,59,474</t>
  </si>
  <si>
    <t>11,36,71,23,225.35</t>
  </si>
  <si>
    <t>66,62,740</t>
  </si>
  <si>
    <t>1,68,69,482</t>
  </si>
  <si>
    <t>1,54,340</t>
  </si>
  <si>
    <t>12,44,13,43,169.15</t>
  </si>
  <si>
    <t>22,27,92,47,257.55</t>
  </si>
  <si>
    <t>2,31,195</t>
  </si>
  <si>
    <t>3,49,204</t>
  </si>
  <si>
    <t>50,25,612</t>
  </si>
  <si>
    <t>9,89,15,78,979.60</t>
  </si>
  <si>
    <t>2,01,273</t>
  </si>
  <si>
    <t>70,22,713</t>
  </si>
  <si>
    <t>13,09,03,28,471.35</t>
  </si>
  <si>
    <t>2,33,801</t>
  </si>
  <si>
    <t>1,96,08,540</t>
  </si>
  <si>
    <t>25,70,17,43,568.80</t>
  </si>
  <si>
    <t>2,50,873</t>
  </si>
  <si>
    <t>23,59,151</t>
  </si>
  <si>
    <t>9,64,66,55,679.40</t>
  </si>
  <si>
    <t>1,92,691</t>
  </si>
  <si>
    <t>64,62,130</t>
  </si>
  <si>
    <t>12,85,46,35,035.90</t>
  </si>
  <si>
    <t>2,86,504</t>
  </si>
  <si>
    <t>86,46,895</t>
  </si>
  <si>
    <t>16,06,92,41,440.60</t>
  </si>
  <si>
    <t>2,01,479</t>
  </si>
  <si>
    <t>1,68,58,723</t>
  </si>
  <si>
    <t>22,24,98,86,629.55</t>
  </si>
  <si>
    <t>3,09,667</t>
  </si>
  <si>
    <t>53,62,693</t>
  </si>
  <si>
    <t>10,64,70,66,758.55</t>
  </si>
  <si>
    <t>2,43,211</t>
  </si>
  <si>
    <t>25,22,659</t>
  </si>
  <si>
    <t>95,04,501</t>
  </si>
  <si>
    <t>10,36,51,90,148.65</t>
  </si>
  <si>
    <t>17,66,20,74,120.80</t>
  </si>
  <si>
    <t>2,18,405</t>
  </si>
  <si>
    <t>2,15,233</t>
  </si>
  <si>
    <t>90,37,514</t>
  </si>
  <si>
    <t>11,87,97,01,933.90</t>
  </si>
  <si>
    <t>1,93,736</t>
  </si>
  <si>
    <t>65,53,541</t>
  </si>
  <si>
    <t>31,19,221</t>
  </si>
  <si>
    <t>12,21,17,02,096.00</t>
  </si>
  <si>
    <t>6,19,28,34,340.70</t>
  </si>
  <si>
    <t>1,77,602</t>
  </si>
  <si>
    <t>1,58,954</t>
  </si>
  <si>
    <t>1,46,50,002</t>
  </si>
  <si>
    <t>19,10,51,10,924.90</t>
  </si>
  <si>
    <t>23,61,000</t>
  </si>
  <si>
    <t>2,02,850</t>
  </si>
  <si>
    <t>9,73,03,15,576.70</t>
  </si>
  <si>
    <t>1,05,39,766</t>
  </si>
  <si>
    <t>1,60,733</t>
  </si>
  <si>
    <t>19,39,67,85,094.90</t>
  </si>
  <si>
    <t>58,11,050</t>
  </si>
  <si>
    <t>2,73,231</t>
  </si>
  <si>
    <t>11,45,85,71,096.45</t>
  </si>
  <si>
    <t>2,43,202</t>
  </si>
  <si>
    <t>30,64,095</t>
  </si>
  <si>
    <t>1,60,43,729</t>
  </si>
  <si>
    <t>6,05,49,11,475.20</t>
  </si>
  <si>
    <t>1,17,11,156</t>
  </si>
  <si>
    <t>20,63,95,94,557.20</t>
  </si>
  <si>
    <t>21,28,52,73,596.85</t>
  </si>
  <si>
    <t>1,38,618</t>
  </si>
  <si>
    <t>15,95,450</t>
  </si>
  <si>
    <t>2,35,785</t>
  </si>
  <si>
    <t>4,56,341</t>
  </si>
  <si>
    <t>6,53,59,79,616.10</t>
  </si>
  <si>
    <t>1,18,454</t>
  </si>
  <si>
    <t>53,23,592</t>
  </si>
  <si>
    <t>1,26,90,385</t>
  </si>
  <si>
    <t>10,33,16,27,136.20</t>
  </si>
  <si>
    <t>22,73,31,48,296.10</t>
  </si>
  <si>
    <t>1,97,114</t>
  </si>
  <si>
    <t>2,26,833</t>
  </si>
  <si>
    <t>1,17,24,373</t>
  </si>
  <si>
    <t>15,03,44,57,832.65</t>
  </si>
  <si>
    <t>2,72,365</t>
  </si>
  <si>
    <t>19,28,049</t>
  </si>
  <si>
    <t>7,81,78,58,767.15</t>
  </si>
  <si>
    <t>1,78,215</t>
  </si>
  <si>
    <t>1,28,46,174</t>
  </si>
  <si>
    <t>22,84,68,37,948.65</t>
  </si>
  <si>
    <t>2,48,859</t>
  </si>
  <si>
    <t>1,10,56,720</t>
  </si>
  <si>
    <t>21,36,76,88,611.40</t>
  </si>
  <si>
    <t>2,70,540</t>
  </si>
  <si>
    <t>2,09,06,813</t>
  </si>
  <si>
    <t>26,45,91,66,488.55</t>
  </si>
  <si>
    <t>3,63,205</t>
  </si>
  <si>
    <t>27,81,793</t>
  </si>
  <si>
    <t>55,22,296</t>
  </si>
  <si>
    <t>5,35,10,92,778.15</t>
  </si>
  <si>
    <t>1,27,723</t>
  </si>
  <si>
    <t>9,93,13,39,240.15</t>
  </si>
  <si>
    <t>19,66,476</t>
  </si>
  <si>
    <t>1,96,041</t>
  </si>
  <si>
    <t>8,00,22,29,160.45</t>
  </si>
  <si>
    <t>1,29,950</t>
  </si>
  <si>
    <t>23,60,544</t>
  </si>
  <si>
    <t>2,86,30,222</t>
  </si>
  <si>
    <t>4,52,89,21,027.25</t>
  </si>
  <si>
    <t>36,00,26,21,429.30</t>
  </si>
  <si>
    <t>4,82,467</t>
  </si>
  <si>
    <t>72,42,917</t>
  </si>
  <si>
    <t>13,02,82,70,259.60</t>
  </si>
  <si>
    <t>1,86,401</t>
  </si>
  <si>
    <t>26,76,744</t>
  </si>
  <si>
    <t>10,83,74,00,632.35</t>
  </si>
  <si>
    <t>1,11,747</t>
  </si>
  <si>
    <t>36,23,321</t>
  </si>
  <si>
    <t>6,91,34,42,832.95</t>
  </si>
  <si>
    <t>1,23,979</t>
  </si>
  <si>
    <t>94,86,781</t>
  </si>
  <si>
    <t>52,40,839</t>
  </si>
  <si>
    <t>12,06,66,29,924.30</t>
  </si>
  <si>
    <t>9,40,08,10,018.35</t>
  </si>
  <si>
    <t>2,24,571</t>
  </si>
  <si>
    <t>2,06,346</t>
  </si>
  <si>
    <t>39,37,500</t>
  </si>
  <si>
    <t>7,52,87,76,747.25</t>
  </si>
  <si>
    <t>1,08,688</t>
  </si>
  <si>
    <t>17,59,676</t>
  </si>
  <si>
    <t>1,74,62,791</t>
  </si>
  <si>
    <t>36,29,665</t>
  </si>
  <si>
    <t>7,15,02,08,882.35</t>
  </si>
  <si>
    <t>21,81,47,94,516.85</t>
  </si>
  <si>
    <t>6,51,92,60,348.40</t>
  </si>
  <si>
    <t>1,32,353</t>
  </si>
  <si>
    <t>1,18,374</t>
  </si>
  <si>
    <t>4,81,698</t>
  </si>
  <si>
    <t>77,89,055</t>
  </si>
  <si>
    <t>14,82,47,04,664.65</t>
  </si>
  <si>
    <t>1,80,342</t>
  </si>
  <si>
    <t>1,11,11,109</t>
  </si>
  <si>
    <t>19,83,56,03,545.90</t>
  </si>
  <si>
    <t>1,26,70,179</t>
  </si>
  <si>
    <t>2,42,576</t>
  </si>
  <si>
    <t>15,87,03,98,087.10</t>
  </si>
  <si>
    <t>36,13,063</t>
  </si>
  <si>
    <t>15,32,534</t>
  </si>
  <si>
    <t>2,66,155</t>
  </si>
  <si>
    <t>6,76,64,28,350.50</t>
  </si>
  <si>
    <t>6,27,11,97,563.70</t>
  </si>
  <si>
    <t>1,50,014</t>
  </si>
  <si>
    <t>1,42,44,653</t>
  </si>
  <si>
    <t>17,60,25,40,036.00</t>
  </si>
  <si>
    <t>5,03,893</t>
  </si>
  <si>
    <t>18,38,368</t>
  </si>
  <si>
    <t>3,46,52,23,831.85</t>
  </si>
  <si>
    <t>70,58,618</t>
  </si>
  <si>
    <t>12,51,54,66,451.75</t>
  </si>
  <si>
    <t>14,45,885</t>
  </si>
  <si>
    <t>1,78,863</t>
  </si>
  <si>
    <t>5,89,31,06,996.85</t>
  </si>
  <si>
    <t>1,01,205</t>
  </si>
  <si>
    <t>2,03,12,896</t>
  </si>
  <si>
    <t>24,69,94,97,247.50</t>
  </si>
  <si>
    <t>4,99,900</t>
  </si>
  <si>
    <t>70,83,645</t>
  </si>
  <si>
    <t>13,77,42,39,233.15</t>
  </si>
  <si>
    <t>2,39,506</t>
  </si>
  <si>
    <t>19,35,002</t>
  </si>
  <si>
    <t>36,56,903</t>
  </si>
  <si>
    <t>6,51,37,66,065.70</t>
  </si>
  <si>
    <t>1,00,52,824</t>
  </si>
  <si>
    <t>7,92,08,76,293.30</t>
  </si>
  <si>
    <t>12,26,20,91,651.05</t>
  </si>
  <si>
    <t>1,37,050</t>
  </si>
  <si>
    <t>1,09,837</t>
  </si>
  <si>
    <t>2,58,756</t>
  </si>
  <si>
    <t>62,18,003</t>
  </si>
  <si>
    <t>12,04,13,66,929.80</t>
  </si>
  <si>
    <t>2,26,724</t>
  </si>
  <si>
    <t>67,34,917</t>
  </si>
  <si>
    <t>8,26,46,75,853.25</t>
  </si>
  <si>
    <t>2,07,746</t>
  </si>
  <si>
    <t>92,79,288</t>
  </si>
  <si>
    <t>16,62,84,52,536.95</t>
  </si>
  <si>
    <t>71,64,403</t>
  </si>
  <si>
    <t>2,07,825</t>
  </si>
  <si>
    <t>13,92,59,86,567.85</t>
  </si>
  <si>
    <t>2,47,931</t>
  </si>
  <si>
    <t>37,40,372</t>
  </si>
  <si>
    <t>14,88,73,81,076.25</t>
  </si>
  <si>
    <t>1,00,16,178</t>
  </si>
  <si>
    <t>2,48,757</t>
  </si>
  <si>
    <t>12,21,71,76,986.80</t>
  </si>
  <si>
    <t>2,56,436</t>
  </si>
  <si>
    <t>1,22,13,097</t>
  </si>
  <si>
    <t>42,94,832</t>
  </si>
  <si>
    <t>21,47,79,58,569.15</t>
  </si>
  <si>
    <t>8,31,59,96,332.75</t>
  </si>
  <si>
    <t>2,50,125</t>
  </si>
  <si>
    <t>3,31,392</t>
  </si>
  <si>
    <t>70,00,397</t>
  </si>
  <si>
    <t>8,56,28,95,530.20</t>
  </si>
  <si>
    <t>1,54,895</t>
  </si>
  <si>
    <t>1,74,882</t>
  </si>
  <si>
    <t>54,82,050</t>
  </si>
  <si>
    <t>61,76,30,511.60</t>
  </si>
  <si>
    <t>10,50,43,91,305.45</t>
  </si>
  <si>
    <t>94,08,174</t>
  </si>
  <si>
    <t>2,10,525</t>
  </si>
  <si>
    <t>16,23,10,88,938.60</t>
  </si>
  <si>
    <t>2,86,152</t>
  </si>
  <si>
    <t>88,18,766</t>
  </si>
  <si>
    <t>10,71,22,29,377.50</t>
  </si>
  <si>
    <t>68,33,503</t>
  </si>
  <si>
    <t>3,08,317</t>
  </si>
  <si>
    <t>13,17,58,34,552.90</t>
  </si>
  <si>
    <t>2,28,829</t>
  </si>
  <si>
    <t>67,63,953</t>
  </si>
  <si>
    <t>11,58,50,14,112.50</t>
  </si>
  <si>
    <t>1,83,035</t>
  </si>
  <si>
    <t>22,69,192</t>
  </si>
  <si>
    <t>8,96,44,63,071.95</t>
  </si>
  <si>
    <t>1,99,030</t>
  </si>
  <si>
    <t>64,05,475</t>
  </si>
  <si>
    <t>80,36,913</t>
  </si>
  <si>
    <t>7,77,03,38,353.90</t>
  </si>
  <si>
    <t>15,76,18,35,256.95</t>
  </si>
  <si>
    <t>1,80,916</t>
  </si>
  <si>
    <t>3,51,137</t>
  </si>
  <si>
    <t>98,69,095</t>
  </si>
  <si>
    <t>16,71,89,30,725.70</t>
  </si>
  <si>
    <t>3,33,259</t>
  </si>
  <si>
    <t>9,67,590</t>
  </si>
  <si>
    <t>3,84,08,20,731.70</t>
  </si>
  <si>
    <t>58,04,152</t>
  </si>
  <si>
    <t>11,41,01,82,349.85</t>
  </si>
  <si>
    <t>2,24,017</t>
  </si>
  <si>
    <t>58,92,590</t>
  </si>
  <si>
    <t>7,19,48,99,836.45</t>
  </si>
  <si>
    <t>1,38,528</t>
  </si>
  <si>
    <t>2,02,10,111</t>
  </si>
  <si>
    <t>33,71,25,59,507.35</t>
  </si>
  <si>
    <t>4,84,900</t>
  </si>
  <si>
    <t>57,92,162</t>
  </si>
  <si>
    <t>1,54,86,276</t>
  </si>
  <si>
    <t>11,25,94,72,879.00</t>
  </si>
  <si>
    <t>19,11,50,27,208.35</t>
  </si>
  <si>
    <t>2,67,855</t>
  </si>
  <si>
    <t>2,71,108</t>
  </si>
  <si>
    <t>37,92,017</t>
  </si>
  <si>
    <t>87,26,640</t>
  </si>
  <si>
    <t>15,55,60,64,937.35</t>
  </si>
  <si>
    <t>14,52,68,37,756.80</t>
  </si>
  <si>
    <t>2,33,333</t>
  </si>
  <si>
    <t>2,15,325</t>
  </si>
  <si>
    <t>29,85,439</t>
  </si>
  <si>
    <t>1,55,21,102</t>
  </si>
  <si>
    <t>5,81,90,96,239.50</t>
  </si>
  <si>
    <t>19,40,67,15,598.75</t>
  </si>
  <si>
    <t>1,53,629</t>
  </si>
  <si>
    <t>2,77,290</t>
  </si>
  <si>
    <t>1,08,34,533</t>
  </si>
  <si>
    <t>17,70,90,48,137.70</t>
  </si>
  <si>
    <t>2,75,849</t>
  </si>
  <si>
    <t>37,24,349</t>
  </si>
  <si>
    <t>15,43,57,05,018.25</t>
  </si>
  <si>
    <t>1,89,460</t>
  </si>
  <si>
    <t>75,33,579</t>
  </si>
  <si>
    <t>14,61,04,85,616.25</t>
  </si>
  <si>
    <t>2,33,848</t>
  </si>
  <si>
    <t>1,48,16,766</t>
  </si>
  <si>
    <t>1,33,30,716</t>
  </si>
  <si>
    <t>18,30,86,52,263.95</t>
  </si>
  <si>
    <t>21,95,36,39,202.10</t>
  </si>
  <si>
    <t>3,17,843</t>
  </si>
  <si>
    <t>3,15,905</t>
  </si>
  <si>
    <t>1,64,09,953</t>
  </si>
  <si>
    <t>29,93,46,01,377.85</t>
  </si>
  <si>
    <t>5,03,030</t>
  </si>
  <si>
    <t>16,48,039</t>
  </si>
  <si>
    <t>6,82,53,48,802.40</t>
  </si>
  <si>
    <t>1,39,776</t>
  </si>
  <si>
    <t>70,11,446</t>
  </si>
  <si>
    <t>11,55,88,19,066.05</t>
  </si>
  <si>
    <t>43,33,011</t>
  </si>
  <si>
    <t>7,84,00,06,233.80</t>
  </si>
  <si>
    <t>2,07,907</t>
  </si>
  <si>
    <t>1,92,938</t>
  </si>
  <si>
    <t>14,06,487</t>
  </si>
  <si>
    <t>5,90,08,64,157.10</t>
  </si>
  <si>
    <t>1,49,144</t>
  </si>
  <si>
    <t>71,69,109</t>
  </si>
  <si>
    <t>13,00,65,82,697.55</t>
  </si>
  <si>
    <t>1,06,06,227</t>
  </si>
  <si>
    <t>2,52,390</t>
  </si>
  <si>
    <t>17,51,00,25,478.45</t>
  </si>
  <si>
    <t>2,15,124</t>
  </si>
  <si>
    <t>1,00,70,505</t>
  </si>
  <si>
    <t>12,46,35,97,633.45</t>
  </si>
  <si>
    <t>2,16,620</t>
  </si>
  <si>
    <t>83,73,913</t>
  </si>
  <si>
    <t>1,15,56,038</t>
  </si>
  <si>
    <t>18,90,57,38,551.00</t>
  </si>
  <si>
    <t>15,46,26,99,193.55</t>
  </si>
  <si>
    <t>15,87,640</t>
  </si>
  <si>
    <t>4,93,438</t>
  </si>
  <si>
    <t>2,14,237</t>
  </si>
  <si>
    <t>6,66,16,21,166.75</t>
  </si>
  <si>
    <t>1,02,025</t>
  </si>
  <si>
    <t>1,93,46,579</t>
  </si>
  <si>
    <t>24,43,93,45,120.55</t>
  </si>
  <si>
    <t>5,31,488</t>
  </si>
  <si>
    <t>59,07,471</t>
  </si>
  <si>
    <t>87,78,809</t>
  </si>
  <si>
    <t>11,04,03,65,439.10</t>
  </si>
  <si>
    <t>14,45,70,09,775.10</t>
  </si>
  <si>
    <t>3,05,255</t>
  </si>
  <si>
    <t>2,26,533</t>
  </si>
  <si>
    <t>10,98,813</t>
  </si>
  <si>
    <t>4,56,56,28,216.20</t>
  </si>
  <si>
    <t>48,87,027</t>
  </si>
  <si>
    <t>1,14,945</t>
  </si>
  <si>
    <t>9,19,52,42,026.10</t>
  </si>
  <si>
    <t>2,94,925</t>
  </si>
  <si>
    <t>1,55,79,072</t>
  </si>
  <si>
    <t>25,63,13,80,761.95</t>
  </si>
  <si>
    <t>1,27,94,704</t>
  </si>
  <si>
    <t>2,70,722</t>
  </si>
  <si>
    <t>16,08,88,82,554.20</t>
  </si>
  <si>
    <t>3,90,501</t>
  </si>
  <si>
    <t>76,52,371</t>
  </si>
  <si>
    <t>14,06,57,47,508.90</t>
  </si>
  <si>
    <t>2,42,782</t>
  </si>
  <si>
    <t>1,53,09,653</t>
  </si>
  <si>
    <t>18,25,432</t>
  </si>
  <si>
    <t>7,56,15,31,479.90</t>
  </si>
  <si>
    <t>25,31,98,45,164.80</t>
  </si>
  <si>
    <t>3,67,130</t>
  </si>
  <si>
    <t>1,65,379</t>
  </si>
  <si>
    <t>81,20,332</t>
  </si>
  <si>
    <t>10,11,76,85,547.70</t>
  </si>
  <si>
    <t>3,40,024</t>
  </si>
  <si>
    <t>69,99,495</t>
  </si>
  <si>
    <t>12,89,61,53,068.90</t>
  </si>
  <si>
    <t>3,43,851</t>
  </si>
  <si>
    <t>1,74,54,579</t>
  </si>
  <si>
    <t>29,07,65,66,202.70</t>
  </si>
  <si>
    <t>1,37,64,861</t>
  </si>
  <si>
    <t>4,45,411</t>
  </si>
  <si>
    <t>17,04,22,74,859.85</t>
  </si>
  <si>
    <t>3,98,257</t>
  </si>
  <si>
    <t>33,13,944</t>
  </si>
  <si>
    <t>13,49,42,96,959.70</t>
  </si>
  <si>
    <t>51,45,155</t>
  </si>
  <si>
    <t>1,78,320</t>
  </si>
  <si>
    <t>9,60,61,85,635.05</t>
  </si>
  <si>
    <t>2,08,458</t>
  </si>
  <si>
    <t>1,21,18,100</t>
  </si>
  <si>
    <t>20,10,00,37,678.05</t>
  </si>
  <si>
    <t>2,71,994</t>
  </si>
  <si>
    <t>1,30,95,266</t>
  </si>
  <si>
    <t>16,19,17,65,836.20</t>
  </si>
  <si>
    <t>2,78,977</t>
  </si>
  <si>
    <t>73,36,056</t>
  </si>
  <si>
    <t>13,64,21,83,045.25</t>
  </si>
  <si>
    <t>17,76,233</t>
  </si>
  <si>
    <t>2,03,038</t>
  </si>
  <si>
    <t>7,24,79,68,687.60</t>
  </si>
  <si>
    <t>1,14,02,083</t>
  </si>
  <si>
    <t>1,33,137</t>
  </si>
  <si>
    <t>18,61,24,39,467.95</t>
  </si>
  <si>
    <t>2,77,125</t>
  </si>
  <si>
    <t>95,78,856</t>
  </si>
  <si>
    <t>11,97,46,00,753.05</t>
  </si>
  <si>
    <t>2,20,174</t>
  </si>
  <si>
    <t>58,20,470</t>
  </si>
  <si>
    <t>10,95,11,49,690.20</t>
  </si>
  <si>
    <t>1,81,998</t>
  </si>
  <si>
    <t>1,50,89,656</t>
  </si>
  <si>
    <t>25,20,82,71,808.85</t>
  </si>
  <si>
    <t>3,50,835</t>
  </si>
  <si>
    <t>1,41,17,603</t>
  </si>
  <si>
    <t>17,82,84,86,685.90</t>
  </si>
  <si>
    <t>2,07,451</t>
  </si>
  <si>
    <t>17,01,402</t>
  </si>
  <si>
    <t>63,09,945</t>
  </si>
  <si>
    <t>3,16,87,63,954.00</t>
  </si>
  <si>
    <t>10,57,19,94,646.45</t>
  </si>
  <si>
    <t>23,84,347</t>
  </si>
  <si>
    <t>1,96,187</t>
  </si>
  <si>
    <t>9,67,63,46,995.65</t>
  </si>
  <si>
    <t>1,58,009</t>
  </si>
  <si>
    <t>2,93,66,277</t>
  </si>
  <si>
    <t>38,19,97,28,794.40</t>
  </si>
  <si>
    <t>5,94,018</t>
  </si>
  <si>
    <t>48,23,228</t>
  </si>
  <si>
    <t>8,96,45,53,565.40</t>
  </si>
  <si>
    <t>1,77,156</t>
  </si>
  <si>
    <t>1,28,72,423</t>
  </si>
  <si>
    <t>21,69,94,04,205.05</t>
  </si>
  <si>
    <t>2,63,161</t>
  </si>
  <si>
    <t>30,96,553</t>
  </si>
  <si>
    <t>1,40,40,244</t>
  </si>
  <si>
    <t>12,96,26,40,957.15</t>
  </si>
  <si>
    <t>18,36,20,47,246.70</t>
  </si>
  <si>
    <t>1,63,715</t>
  </si>
  <si>
    <t>2,80,553</t>
  </si>
  <si>
    <t>73,34,787</t>
  </si>
  <si>
    <t>13,87,97,56,408.55</t>
  </si>
  <si>
    <t>2,54,137</t>
  </si>
  <si>
    <t>79,10,843</t>
  </si>
  <si>
    <t>13,42,08,73,179.40</t>
  </si>
  <si>
    <t>2,15,938</t>
  </si>
  <si>
    <t>1,45,62,976</t>
  </si>
  <si>
    <t>18,71,03,66,859.10</t>
  </si>
  <si>
    <t>3,25,783</t>
  </si>
  <si>
    <t>49,96,744</t>
  </si>
  <si>
    <t>27,93,764</t>
  </si>
  <si>
    <t>9,50,27,54,311.35</t>
  </si>
  <si>
    <t>4,73,32,38,897.95</t>
  </si>
  <si>
    <t>1,70,651</t>
  </si>
  <si>
    <t>40,52,167</t>
  </si>
  <si>
    <t>17,43,81,78,815.15</t>
  </si>
  <si>
    <t>1,54,060</t>
  </si>
  <si>
    <t>1,02,73,590</t>
  </si>
  <si>
    <t>13,11,00,04,094.65</t>
  </si>
  <si>
    <t>2,39,816</t>
  </si>
  <si>
    <t>1,01,38,270</t>
  </si>
  <si>
    <t>17,02,70,93,333.70</t>
  </si>
  <si>
    <t>2,30,780</t>
  </si>
  <si>
    <t>87,20,682</t>
  </si>
  <si>
    <t>11,05,36,24,692.80</t>
  </si>
  <si>
    <t>1,88,421</t>
  </si>
  <si>
    <t>20,60,669</t>
  </si>
  <si>
    <t>8,93,79,80,540.10</t>
  </si>
  <si>
    <t>1,43,08,251</t>
  </si>
  <si>
    <t>47,65,255</t>
  </si>
  <si>
    <t>1,56,578</t>
  </si>
  <si>
    <t>9,10,47,91,357.40</t>
  </si>
  <si>
    <t>24,48,03,95,914.25</t>
  </si>
  <si>
    <t>1,51,924</t>
  </si>
  <si>
    <t>3,42,091</t>
  </si>
  <si>
    <t>1,42,35,970</t>
  </si>
  <si>
    <t>17,82,72,72,395.00</t>
  </si>
  <si>
    <t>2,63,461</t>
  </si>
  <si>
    <t>41,26,260</t>
  </si>
  <si>
    <t>7,84,99,62,358.05</t>
  </si>
  <si>
    <t>1,55,494</t>
  </si>
  <si>
    <t>1,18,37,753</t>
  </si>
  <si>
    <t>20,52,47,85,237.35</t>
  </si>
  <si>
    <t>2,75,185</t>
  </si>
  <si>
    <t>15,58,993</t>
  </si>
  <si>
    <t>6,77,98,87,252.40</t>
  </si>
  <si>
    <t>1,18,269</t>
  </si>
  <si>
    <t>95,36,019</t>
  </si>
  <si>
    <t>38,28,734</t>
  </si>
  <si>
    <t>11,72,31,27,883.65</t>
  </si>
  <si>
    <t>7,22,05,70,924.25</t>
  </si>
  <si>
    <t>3,68,025</t>
  </si>
  <si>
    <t>1,51,607</t>
  </si>
  <si>
    <t>1,33,80,358</t>
  </si>
  <si>
    <t>23,22,50,08,521.55</t>
  </si>
  <si>
    <t>2,25,108</t>
  </si>
  <si>
    <t>44,11,601</t>
  </si>
  <si>
    <t>1,05,68,025</t>
  </si>
  <si>
    <t>8,31,00,66,406.30</t>
  </si>
  <si>
    <t>25,58,544</t>
  </si>
  <si>
    <t>1,60,934</t>
  </si>
  <si>
    <t>13,02,66,73,067.35</t>
  </si>
  <si>
    <t>10,91,47,33,802.80</t>
  </si>
  <si>
    <t>2,86,863</t>
  </si>
  <si>
    <t>1,65,049</t>
  </si>
  <si>
    <t>1,17,54,800</t>
  </si>
  <si>
    <t>20,51,20,07,682.55</t>
  </si>
  <si>
    <t>3,26,327</t>
  </si>
  <si>
    <t>56,33,947</t>
  </si>
  <si>
    <t>10,51,69,84,029.10</t>
  </si>
  <si>
    <t>2,22,006</t>
  </si>
  <si>
    <t>59,28,156</t>
  </si>
  <si>
    <t>7,33,11,19,895.80</t>
  </si>
  <si>
    <t>1,67,073</t>
  </si>
  <si>
    <t>20,17,425</t>
  </si>
  <si>
    <t>8,59,93,33,668.25</t>
  </si>
  <si>
    <t>1,33,480</t>
  </si>
  <si>
    <t>85,97,975</t>
  </si>
  <si>
    <t>14,75,03,90,095.15</t>
  </si>
  <si>
    <t>1,75,150</t>
  </si>
  <si>
    <t>52,37,744</t>
  </si>
  <si>
    <t>9,69,61,50,378.65</t>
  </si>
  <si>
    <t>1,92,119</t>
  </si>
  <si>
    <t>92,69,259</t>
  </si>
  <si>
    <t>11,57,86,93,152.95</t>
  </si>
  <si>
    <t>2,27,871</t>
  </si>
  <si>
    <t>1,13,62,352</t>
  </si>
  <si>
    <t>52,92,961</t>
  </si>
  <si>
    <t>16,70,944</t>
  </si>
  <si>
    <t>19,31,66,30,388.15</t>
  </si>
  <si>
    <t>9,76,58,18,737.55</t>
  </si>
  <si>
    <t>1,82,730</t>
  </si>
  <si>
    <t>1,79,989</t>
  </si>
  <si>
    <t>7,13,15,39,607.80</t>
  </si>
  <si>
    <t>1,58,372</t>
  </si>
  <si>
    <t>65,84,612</t>
  </si>
  <si>
    <t>8,30,52,91,978.45</t>
  </si>
  <si>
    <t>1,69,481</t>
  </si>
  <si>
    <t>1,14,04,785</t>
  </si>
  <si>
    <t>19,34,92,71,431.55</t>
  </si>
  <si>
    <t>2,86,053</t>
  </si>
  <si>
    <t>44,28,956</t>
  </si>
  <si>
    <t>8,14,32,13,452.30</t>
  </si>
  <si>
    <t>1,49,656</t>
  </si>
  <si>
    <t>63,01,217</t>
  </si>
  <si>
    <t>10,73,02,16,799.15</t>
  </si>
  <si>
    <t>20,10,905</t>
  </si>
  <si>
    <t>2,00,278</t>
  </si>
  <si>
    <t>8,64,45,99,154.70</t>
  </si>
  <si>
    <t>71,18,453</t>
  </si>
  <si>
    <t>1,44,243</t>
  </si>
  <si>
    <t>8,97,22,48,877.35</t>
  </si>
  <si>
    <t>43,65,260</t>
  </si>
  <si>
    <t>8,07,05,46,827.05</t>
  </si>
  <si>
    <t>1,43,258</t>
  </si>
  <si>
    <t>1,00,362</t>
  </si>
  <si>
    <t>99,79,946</t>
  </si>
  <si>
    <t>16,87,06,60,139.45</t>
  </si>
  <si>
    <t>3,09,031</t>
  </si>
  <si>
    <t>46,11,411</t>
  </si>
  <si>
    <t>92,52,345</t>
  </si>
  <si>
    <t>8,39,65,92,012.20</t>
  </si>
  <si>
    <t>11,53,89,63,041.00</t>
  </si>
  <si>
    <t>2,14,412</t>
  </si>
  <si>
    <t>2,68,425</t>
  </si>
  <si>
    <t>33,02,642</t>
  </si>
  <si>
    <t>64,69,473</t>
  </si>
  <si>
    <t>11,01,19,75,039.00</t>
  </si>
  <si>
    <t>14,40,05,89,848.00</t>
  </si>
  <si>
    <t>2,62,946</t>
  </si>
  <si>
    <t>2,17,385</t>
  </si>
  <si>
    <t>22,18,020</t>
  </si>
  <si>
    <t>4,04,18,74,473.40</t>
  </si>
  <si>
    <t>1,16,360</t>
  </si>
  <si>
    <t>1,66,91,069</t>
  </si>
  <si>
    <t>21,25,84,96,964.75</t>
  </si>
  <si>
    <t>81,75,455</t>
  </si>
  <si>
    <t>14,07,06,71,116.40</t>
  </si>
  <si>
    <t>3,22,226</t>
  </si>
  <si>
    <t>37,46,747</t>
  </si>
  <si>
    <t>16,60,09,10,836.35</t>
  </si>
  <si>
    <t>33,79,879</t>
  </si>
  <si>
    <t>2,60,982</t>
  </si>
  <si>
    <t>6,14,31,29,066.35</t>
  </si>
  <si>
    <t>1,01,664</t>
  </si>
  <si>
    <t>59,42,056</t>
  </si>
  <si>
    <t>10,26,44,54,339.75</t>
  </si>
  <si>
    <t>3,00,603</t>
  </si>
  <si>
    <t>1,01,12,028</t>
  </si>
  <si>
    <t>12,96,33,36,513.05</t>
  </si>
  <si>
    <t>2,19,550</t>
  </si>
  <si>
    <t>75,94,720</t>
  </si>
  <si>
    <t>13,41,78,27,673.25</t>
  </si>
  <si>
    <t>3,62,392</t>
  </si>
  <si>
    <t>18,42,087</t>
  </si>
  <si>
    <t>8,17,75,21,134.60</t>
  </si>
  <si>
    <t>1,38,417</t>
  </si>
  <si>
    <t>99,56,001</t>
  </si>
  <si>
    <t>12,73,63,85,821.45</t>
  </si>
  <si>
    <t>2,17,888</t>
  </si>
  <si>
    <t>50,92,963</t>
  </si>
  <si>
    <t>8,99,47,61,660.15</t>
  </si>
  <si>
    <t>1,92,822</t>
  </si>
  <si>
    <t>1,31,95,255</t>
  </si>
  <si>
    <t>22,36,64,35,828.30</t>
  </si>
  <si>
    <t>2,46,655</t>
  </si>
  <si>
    <t>20,66,639</t>
  </si>
  <si>
    <t>87,64,283</t>
  </si>
  <si>
    <t>9,18,93,99,351.95</t>
  </si>
  <si>
    <t>11,13,92,40,963.05</t>
  </si>
  <si>
    <t>1,27,439</t>
  </si>
  <si>
    <t>1,74,531</t>
  </si>
  <si>
    <t>57,57,079</t>
  </si>
  <si>
    <t>10,15,21,84,052.30</t>
  </si>
  <si>
    <t>1,68,385</t>
  </si>
  <si>
    <t>78,40,470</t>
  </si>
  <si>
    <t>13,22,08,29,593.15</t>
  </si>
  <si>
    <t>2,92,907</t>
  </si>
  <si>
    <t>69,70,972</t>
  </si>
  <si>
    <t>8,72,42,86,360.55</t>
  </si>
  <si>
    <t>1,73,316</t>
  </si>
  <si>
    <t>20,87,828</t>
  </si>
  <si>
    <t>1,03,46,823</t>
  </si>
  <si>
    <t>1,21,82,167</t>
  </si>
  <si>
    <t>9,27,19,71,917.90</t>
  </si>
  <si>
    <t>17,30,34,02,535.10</t>
  </si>
  <si>
    <t>20,64,31,37,452.85</t>
  </si>
  <si>
    <t>2,45,559</t>
  </si>
  <si>
    <t>1,42,478</t>
  </si>
  <si>
    <t>4,60,200</t>
  </si>
  <si>
    <t>88,59,714</t>
  </si>
  <si>
    <t>11,02,37,57,522.95</t>
  </si>
  <si>
    <t>2,40,683</t>
  </si>
  <si>
    <t>1,20,69,354</t>
  </si>
  <si>
    <t>20,29,82,55,600.95</t>
  </si>
  <si>
    <t>2,22,521</t>
  </si>
  <si>
    <t>75,04,969</t>
  </si>
  <si>
    <t>12,84,14,55,573.45</t>
  </si>
  <si>
    <t>2,86,660</t>
  </si>
  <si>
    <t>16,35,256</t>
  </si>
  <si>
    <t>7,23,64,72,507.40</t>
  </si>
  <si>
    <t>1,08,588</t>
  </si>
  <si>
    <t>2,11,31,654</t>
  </si>
  <si>
    <t>1,78,93,400</t>
  </si>
  <si>
    <t>25,59,86,19,531.25</t>
  </si>
  <si>
    <t>30,43,73,23,745.00</t>
  </si>
  <si>
    <t>4,04,276</t>
  </si>
  <si>
    <t>3,33,728</t>
  </si>
  <si>
    <t>67,59,673</t>
  </si>
  <si>
    <t>11,39,77,44,323.60</t>
  </si>
  <si>
    <t>2,44,487</t>
  </si>
  <si>
    <t>85,11,216</t>
  </si>
  <si>
    <t>10,38,02,76,762.25</t>
  </si>
  <si>
    <t>2,66,249</t>
  </si>
  <si>
    <t>81,80,782</t>
  </si>
  <si>
    <t>14,02,60,24,448.60</t>
  </si>
  <si>
    <t>1,84,308</t>
  </si>
  <si>
    <t>2,72,58,364</t>
  </si>
  <si>
    <t>46,91,55,54,649.05</t>
  </si>
  <si>
    <t>19,14,642</t>
  </si>
  <si>
    <t>4,39,035</t>
  </si>
  <si>
    <t>1,06,10,547</t>
  </si>
  <si>
    <t>18,14,03,99,842.70</t>
  </si>
  <si>
    <t>2,36,281</t>
  </si>
  <si>
    <t>8,54,22,15,590.15</t>
  </si>
  <si>
    <t>1,49,188</t>
  </si>
  <si>
    <t>1,02,98,145</t>
  </si>
  <si>
    <t>12,51,32,77,266.75</t>
  </si>
  <si>
    <t>2,02,314</t>
  </si>
  <si>
    <t>1,06,02,682</t>
  </si>
  <si>
    <t>18,12,28,15,702.35</t>
  </si>
  <si>
    <t>2,98,350</t>
  </si>
  <si>
    <t>80,19,331</t>
  </si>
  <si>
    <t>13,52,31,83,544.05</t>
  </si>
  <si>
    <t>2,34,031</t>
  </si>
  <si>
    <t>81,66,683</t>
  </si>
  <si>
    <t>99,60,479</t>
  </si>
  <si>
    <t>16,99,55,92,810.65</t>
  </si>
  <si>
    <t>9,96,02,41,446.85</t>
  </si>
  <si>
    <t>3,23,741</t>
  </si>
  <si>
    <t>2,20,670</t>
  </si>
  <si>
    <t>19,67,048</t>
  </si>
  <si>
    <t>8,76,83,79,842.00</t>
  </si>
  <si>
    <t>75,58,981</t>
  </si>
  <si>
    <t>1,53,642</t>
  </si>
  <si>
    <t>12,87,40,09,178.00</t>
  </si>
  <si>
    <t>1,84,536</t>
  </si>
  <si>
    <t>1,07,91,936</t>
  </si>
  <si>
    <t>18,30,27,95,483.00</t>
  </si>
  <si>
    <t>3,61,183</t>
  </si>
  <si>
    <t>66,73,250</t>
  </si>
  <si>
    <t>8,16,76,61,853.95</t>
  </si>
  <si>
    <t>1,26,71,234</t>
  </si>
  <si>
    <t>1,81,273</t>
  </si>
  <si>
    <t>20,97,17,94,102.35</t>
  </si>
  <si>
    <t>2,59,181</t>
  </si>
  <si>
    <t>1,64,83,044</t>
  </si>
  <si>
    <t>27,79,26,85,275.85</t>
  </si>
  <si>
    <t>3,99,697</t>
  </si>
  <si>
    <t>1,48,70,008</t>
  </si>
  <si>
    <t>23,59,13,64,599.50</t>
  </si>
  <si>
    <t>62,17,338</t>
  </si>
  <si>
    <t>4,91,121</t>
  </si>
  <si>
    <t>66,86,457</t>
  </si>
  <si>
    <t>7,62,66,01,753.25</t>
  </si>
  <si>
    <t>11,30,45,55,576.90</t>
  </si>
  <si>
    <t>1,91,461</t>
  </si>
  <si>
    <t>1,78,165</t>
  </si>
  <si>
    <t>78,22,888</t>
  </si>
  <si>
    <t>78,02,025</t>
  </si>
  <si>
    <t>16,46,224</t>
  </si>
  <si>
    <t>12,37,82,47,563.85</t>
  </si>
  <si>
    <t>13,18,28,46,005.05</t>
  </si>
  <si>
    <t>2,84,969</t>
  </si>
  <si>
    <t>2,58,464</t>
  </si>
  <si>
    <t>7,28,48,53,956.40</t>
  </si>
  <si>
    <t>1,32,903</t>
  </si>
  <si>
    <t>77,95,582</t>
  </si>
  <si>
    <t>9,61,92,77,166.50</t>
  </si>
  <si>
    <t>1,62,561</t>
  </si>
  <si>
    <t>99,49,215</t>
  </si>
  <si>
    <t>16,77,09,18,814.65</t>
  </si>
  <si>
    <t>2,72,484</t>
  </si>
  <si>
    <t>75,26,032</t>
  </si>
  <si>
    <t>11,90,39,59,172.65</t>
  </si>
  <si>
    <t>2,20,262</t>
  </si>
  <si>
    <t>32,25,027</t>
  </si>
  <si>
    <t>14,01,68,05,137.00</t>
  </si>
  <si>
    <t>93,92,053</t>
  </si>
  <si>
    <t>1,72,049</t>
  </si>
  <si>
    <t>16,06,45,64,334.10</t>
  </si>
  <si>
    <t>2,77,146</t>
  </si>
  <si>
    <t>62,98,054</t>
  </si>
  <si>
    <t>69,04,025</t>
  </si>
  <si>
    <t>10,09,21,66,910.70</t>
  </si>
  <si>
    <t>1,57,097</t>
  </si>
  <si>
    <t>8,50,13,82,497.70</t>
  </si>
  <si>
    <t>2,13,824</t>
  </si>
  <si>
    <t>78,68,132</t>
  </si>
  <si>
    <t>13,46,32,15,400.70</t>
  </si>
  <si>
    <t>1,85,351</t>
  </si>
  <si>
    <t>73,87,068</t>
  </si>
  <si>
    <t>11,69,47,51,809.10</t>
  </si>
  <si>
    <t>2,50,311</t>
  </si>
  <si>
    <t>15,75,404</t>
  </si>
  <si>
    <t>6,82,77,36,370.00</t>
  </si>
  <si>
    <t>1,06,590</t>
  </si>
  <si>
    <t>71,72,498</t>
  </si>
  <si>
    <t>94,75,957</t>
  </si>
  <si>
    <t>16,21,46,35,449.55</t>
  </si>
  <si>
    <t>8,72,10,21,715.35</t>
  </si>
  <si>
    <t>3,65,060</t>
  </si>
  <si>
    <t>2,00,264</t>
  </si>
  <si>
    <t>71,86,750</t>
  </si>
  <si>
    <t>11,61,60,04,800.30</t>
  </si>
  <si>
    <t>2,29,276</t>
  </si>
  <si>
    <t>30,15,763</t>
  </si>
  <si>
    <t>1,09,53,589</t>
  </si>
  <si>
    <t>12,97,46,63,426.65</t>
  </si>
  <si>
    <t>18,94,17,85,563.70</t>
  </si>
  <si>
    <t>2,17,876</t>
  </si>
  <si>
    <t>2,48,631</t>
  </si>
  <si>
    <t>1,00,74,677</t>
  </si>
  <si>
    <t>16,03,22,62,527.35</t>
  </si>
  <si>
    <t>2,41,185</t>
  </si>
  <si>
    <t>1,15,52,182</t>
  </si>
  <si>
    <t>76,10,703</t>
  </si>
  <si>
    <t>13,97,34,92,939.80</t>
  </si>
  <si>
    <t>13,27,09,34,759.25</t>
  </si>
  <si>
    <t>2,13,192</t>
  </si>
  <si>
    <t>2,01,878</t>
  </si>
  <si>
    <t>41,16,989</t>
  </si>
  <si>
    <t>88,57,726</t>
  </si>
  <si>
    <t>17,45,52,42,238.80</t>
  </si>
  <si>
    <t>14,07,28,23,625.15</t>
  </si>
  <si>
    <t>2,50,512</t>
  </si>
  <si>
    <t>2,14,598</t>
  </si>
  <si>
    <t>1,15,09,215</t>
  </si>
  <si>
    <t>13,88,36,37,029.45</t>
  </si>
  <si>
    <t>2,36,188</t>
  </si>
  <si>
    <t>98,90,140</t>
  </si>
  <si>
    <t>16,08,22,64,118.35</t>
  </si>
  <si>
    <t>2,66,112</t>
  </si>
  <si>
    <t>89,16,989</t>
  </si>
  <si>
    <t>15,69,93,98,473.15</t>
  </si>
  <si>
    <t>2,18,030</t>
  </si>
  <si>
    <t>21,95,338</t>
  </si>
  <si>
    <t>9,11,28,20,726.95</t>
  </si>
  <si>
    <t>1,49,845</t>
  </si>
  <si>
    <t>2,30,07,298</t>
  </si>
  <si>
    <t>27,73,81,25,737.60</t>
  </si>
  <si>
    <t>66,51,302</t>
  </si>
  <si>
    <t>3,55,378</t>
  </si>
  <si>
    <t>10,71,37,71,940.10</t>
  </si>
  <si>
    <t>2,22,554</t>
  </si>
  <si>
    <t>1,67,54,132</t>
  </si>
  <si>
    <t>29,60,41,96,148.95</t>
  </si>
  <si>
    <t>2,10,244</t>
  </si>
  <si>
    <t>11,81,886</t>
  </si>
  <si>
    <t>94,26,573</t>
  </si>
  <si>
    <t>15,09,58,08,795.90</t>
  </si>
  <si>
    <t>4,94,75,71,708.95</t>
  </si>
  <si>
    <t>2,01,020</t>
  </si>
  <si>
    <t>1,79,44,938</t>
  </si>
  <si>
    <t>20,96,99,45,818.55</t>
  </si>
  <si>
    <t>6,82,013</t>
  </si>
  <si>
    <t>86,96,868</t>
  </si>
  <si>
    <t>15,60,46,55,158.80</t>
  </si>
  <si>
    <t>2,86,856</t>
  </si>
  <si>
    <t>67,99,047</t>
  </si>
  <si>
    <t>10,71,81,60,396.85</t>
  </si>
  <si>
    <t>2,17,515</t>
  </si>
  <si>
    <t>1,13,77,373</t>
  </si>
  <si>
    <t>12,08,464</t>
  </si>
  <si>
    <t>13,25,37,11,939.15</t>
  </si>
  <si>
    <t>5,03,13,52,687.20</t>
  </si>
  <si>
    <t>1,95,50,708</t>
  </si>
  <si>
    <t>2,75,459</t>
  </si>
  <si>
    <t>1,06,756</t>
  </si>
  <si>
    <t>35,69,65,16,139.20</t>
  </si>
  <si>
    <t>4,07,401</t>
  </si>
  <si>
    <t>1,26,80,733</t>
  </si>
  <si>
    <t>19,39,40,47,386.75</t>
  </si>
  <si>
    <t>3,28,764</t>
  </si>
  <si>
    <t>1,22,39,221</t>
  </si>
  <si>
    <t>86,64,095</t>
  </si>
  <si>
    <t>22,20,33,11,052.10</t>
  </si>
  <si>
    <t>10,16,64,51,492.55</t>
  </si>
  <si>
    <t>2,65,431</t>
  </si>
  <si>
    <t>8,58,100</t>
  </si>
  <si>
    <t>61,93,478</t>
  </si>
  <si>
    <t>1,96,774</t>
  </si>
  <si>
    <t>3,57,24,37,410.85</t>
  </si>
  <si>
    <t>9,58,18,59,877.35</t>
  </si>
  <si>
    <t>1,83,381</t>
  </si>
  <si>
    <t>2,08,29,050</t>
  </si>
  <si>
    <t>1,04,59,504</t>
  </si>
  <si>
    <t>38,06,61,30,418.30</t>
  </si>
  <si>
    <t>15,68,70,69,999.20</t>
  </si>
  <si>
    <t>1,44,68,014</t>
  </si>
  <si>
    <t>4,16,415</t>
  </si>
  <si>
    <t>3,90,507</t>
  </si>
  <si>
    <t>17,34,79,17,723.20</t>
  </si>
  <si>
    <t>2,50,467</t>
  </si>
  <si>
    <t>15,27,169</t>
  </si>
  <si>
    <t>6,34,09,28,576.30</t>
  </si>
  <si>
    <t>1,16,250</t>
  </si>
  <si>
    <t>95,90,254</t>
  </si>
  <si>
    <t>13,98,88,55,633.45</t>
  </si>
  <si>
    <t>2,45,192</t>
  </si>
  <si>
    <t>1,43,86,824</t>
  </si>
  <si>
    <t>26,21,10,31,845.90</t>
  </si>
  <si>
    <t>1,64,74,965</t>
  </si>
  <si>
    <t>2,76,619</t>
  </si>
  <si>
    <t>20,49,40,65,096.80</t>
  </si>
  <si>
    <t>4,24,924</t>
  </si>
  <si>
    <t>2,17,15,252</t>
  </si>
  <si>
    <t>29,64,62,33,824.90</t>
  </si>
  <si>
    <t>15,55,429</t>
  </si>
  <si>
    <t>4,45,720</t>
  </si>
  <si>
    <t>6,34,57,00,031.05</t>
  </si>
  <si>
    <t>1,62,877</t>
  </si>
  <si>
    <t>1,42,55,503</t>
  </si>
  <si>
    <t>25,39,96,32,617.35</t>
  </si>
  <si>
    <t>4,09,481</t>
  </si>
  <si>
    <t>1,19,31,051</t>
  </si>
  <si>
    <t>14,86,43,40,065.65</t>
  </si>
  <si>
    <t>1,28,05,001</t>
  </si>
  <si>
    <t>2,88,299</t>
  </si>
  <si>
    <t>18,38,44,91,521.00</t>
  </si>
  <si>
    <t>2,54,762</t>
  </si>
  <si>
    <t>7,63,161</t>
  </si>
  <si>
    <t>57,86,782</t>
  </si>
  <si>
    <t>3,13,86,92,117.15</t>
  </si>
  <si>
    <t>10,36,55,35,361.90</t>
  </si>
  <si>
    <t>1,44,509</t>
  </si>
  <si>
    <t>85,46,854</t>
  </si>
  <si>
    <t>11,93,33,54,452.15</t>
  </si>
  <si>
    <t>2,20,436</t>
  </si>
  <si>
    <t>1,00,89,838</t>
  </si>
  <si>
    <t>12,52,86,23,904.20</t>
  </si>
  <si>
    <t>1,55,065</t>
  </si>
  <si>
    <t>56,25,019</t>
  </si>
  <si>
    <t>1,25,67,440</t>
  </si>
  <si>
    <t>10,09,18,17,304.10</t>
  </si>
  <si>
    <t>17,82,18,40,695.45</t>
  </si>
  <si>
    <t>1,47,618</t>
  </si>
  <si>
    <t>2,62,867</t>
  </si>
  <si>
    <t>17,20,835</t>
  </si>
  <si>
    <t>7,15,82,73,705.25</t>
  </si>
  <si>
    <t>1,24,549</t>
  </si>
  <si>
    <t>1,19,77,555</t>
  </si>
  <si>
    <t>15,00,75,14,668.90</t>
  </si>
  <si>
    <t>1,61,536</t>
  </si>
  <si>
    <t>1,01,78,530</t>
  </si>
  <si>
    <t>14,49,79,63,348.80</t>
  </si>
  <si>
    <t>1,67,70,227</t>
  </si>
  <si>
    <t>30,59,26,39,918.20</t>
  </si>
  <si>
    <t>2,58,203</t>
  </si>
  <si>
    <t>3,16,416</t>
  </si>
  <si>
    <t>1,20,22,740</t>
  </si>
  <si>
    <t>16,95,05,24,011.30</t>
  </si>
  <si>
    <t>3,31,555</t>
  </si>
  <si>
    <t>17,91,953</t>
  </si>
  <si>
    <t>95,05,270</t>
  </si>
  <si>
    <t>7,37,24,04,407.85</t>
  </si>
  <si>
    <t>1,89,97,725</t>
  </si>
  <si>
    <t>11,92,17,66,653.80</t>
  </si>
  <si>
    <t>33,41,98,75,202.00</t>
  </si>
  <si>
    <t>1,25,354</t>
  </si>
  <si>
    <t>3,74,557</t>
  </si>
  <si>
    <t>1,42,64,227</t>
  </si>
  <si>
    <t>19,97,23,55,994.00</t>
  </si>
  <si>
    <t>3,49,779</t>
  </si>
  <si>
    <t>1,77,81,936</t>
  </si>
  <si>
    <t>31,45,90,03,790.15</t>
  </si>
  <si>
    <t>1,66,40,952</t>
  </si>
  <si>
    <t>3,55,184</t>
  </si>
  <si>
    <t>20,63,08,43,725.15</t>
  </si>
  <si>
    <t>20,85,593</t>
  </si>
  <si>
    <t>2,69,824</t>
  </si>
  <si>
    <t>1,56,48,970</t>
  </si>
  <si>
    <t>8,56,58,22,653.70</t>
  </si>
  <si>
    <t>22,72,93,78,761.10</t>
  </si>
  <si>
    <t>1,58,660</t>
  </si>
  <si>
    <t>2,71,048</t>
  </si>
  <si>
    <t>1,12,27,304</t>
  </si>
  <si>
    <t>19,77,87,28,957.55</t>
  </si>
  <si>
    <t>2,07,950</t>
  </si>
  <si>
    <t>1,57,45,877</t>
  </si>
  <si>
    <t>19,50,88,93,454.65</t>
  </si>
  <si>
    <t>93,99,738</t>
  </si>
  <si>
    <t>13,39,59,56,021.30</t>
  </si>
  <si>
    <t>3,12,315</t>
  </si>
  <si>
    <t>2,45,817</t>
  </si>
  <si>
    <t>26,69,054</t>
  </si>
  <si>
    <t>10,79,86,29,271.20</t>
  </si>
  <si>
    <t>1,77,825</t>
  </si>
  <si>
    <t>1,63,87,883</t>
  </si>
  <si>
    <t>29,55,24,99,474.85</t>
  </si>
  <si>
    <t>3,95,826</t>
  </si>
  <si>
    <t>1,11,36,642</t>
  </si>
  <si>
    <t>1,61,62,399</t>
  </si>
  <si>
    <t>16,38,71,81,464.50</t>
  </si>
  <si>
    <t>2,49,560</t>
  </si>
  <si>
    <t>20,15,80,06,340.60</t>
  </si>
  <si>
    <t>2,17,782</t>
  </si>
  <si>
    <t>2,46,49,172</t>
  </si>
  <si>
    <t>46,01,41,08,976.00</t>
  </si>
  <si>
    <t>3,60,194</t>
  </si>
  <si>
    <t>71,14,292</t>
  </si>
  <si>
    <t>10,46,95,60,317.20</t>
  </si>
  <si>
    <t>1,75,991</t>
  </si>
  <si>
    <t>21,81,277</t>
  </si>
  <si>
    <t>1,59,71,477</t>
  </si>
  <si>
    <t>8,84,76,52,251.50</t>
  </si>
  <si>
    <t>20,16,45,61,988.35</t>
  </si>
  <si>
    <t>1,80,073</t>
  </si>
  <si>
    <t>2,19,527</t>
  </si>
  <si>
    <t>95,68,410</t>
  </si>
  <si>
    <t>17,93,26,65,363.90</t>
  </si>
  <si>
    <t>2,52,887</t>
  </si>
  <si>
    <t>83,29,979</t>
  </si>
  <si>
    <t>12,36,55,98,001.80</t>
  </si>
  <si>
    <t>1,99,876</t>
  </si>
  <si>
    <t>2,17,80,769</t>
  </si>
  <si>
    <t>27,79,96,53,516.40</t>
  </si>
  <si>
    <t>2,30,001</t>
  </si>
  <si>
    <t>1,78,51,542</t>
  </si>
  <si>
    <t>33,94,31,68,763.20</t>
  </si>
  <si>
    <t>3,94,807</t>
  </si>
  <si>
    <t>23,92,472</t>
  </si>
  <si>
    <t>9,74,61,49,398.35</t>
  </si>
  <si>
    <t>1,83,446</t>
  </si>
  <si>
    <t>58,86,253</t>
  </si>
  <si>
    <t>8,70,10,29,482.70</t>
  </si>
  <si>
    <t>1,46,345</t>
  </si>
  <si>
    <t>1,71,23,649</t>
  </si>
  <si>
    <t>33,06,28,32,499.30</t>
  </si>
  <si>
    <t>2,02,99,319</t>
  </si>
  <si>
    <t>4,11,337</t>
  </si>
  <si>
    <t>26,33,59,01,171.15</t>
  </si>
  <si>
    <t>3,47,056</t>
  </si>
  <si>
    <t>80,56,743</t>
  </si>
  <si>
    <t>12,05,18,62,382.60</t>
  </si>
  <si>
    <t>78,94,300</t>
  </si>
  <si>
    <t>2,29,80,875</t>
  </si>
  <si>
    <t>2,07,221</t>
  </si>
  <si>
    <t>33,47,68,09,439.65</t>
  </si>
  <si>
    <t>44,97,72,15,852.40</t>
  </si>
  <si>
    <t>5,12,026</t>
  </si>
  <si>
    <t>4,36,975</t>
  </si>
  <si>
    <t>1,37,13,899</t>
  </si>
  <si>
    <t>17,69,95,68,389.85</t>
  </si>
  <si>
    <t>2,71,251</t>
  </si>
  <si>
    <t>77,04,183</t>
  </si>
  <si>
    <t>11,55,57,16,056.40</t>
  </si>
  <si>
    <t>1,28,359</t>
  </si>
  <si>
    <t>1,52,85,321</t>
  </si>
  <si>
    <t>29,63,89,23,676.10</t>
  </si>
  <si>
    <t>2,47,823</t>
  </si>
  <si>
    <t>1,20,74,747</t>
  </si>
  <si>
    <t>15,44,40,62,345.35</t>
  </si>
  <si>
    <t>2,92,138</t>
  </si>
  <si>
    <t>40,03,771</t>
  </si>
  <si>
    <t>17,19,23,53,666.25</t>
  </si>
  <si>
    <t>1,29,65,877</t>
  </si>
  <si>
    <t>2,70,932</t>
  </si>
  <si>
    <t>87,33,014</t>
  </si>
  <si>
    <t>13,18,20,67,260.50</t>
  </si>
  <si>
    <t>24,85,20,91,752.80</t>
  </si>
  <si>
    <t>2,27,034</t>
  </si>
  <si>
    <t>2,35,475</t>
  </si>
  <si>
    <t>1,50,28,056</t>
  </si>
  <si>
    <t>19,21,93,99,902.90</t>
  </si>
  <si>
    <t>42,82,493</t>
  </si>
  <si>
    <t>6,46,63,87,044.70</t>
  </si>
  <si>
    <t>1,30,549</t>
  </si>
  <si>
    <t>2,24,828</t>
  </si>
  <si>
    <t>92,50,439</t>
  </si>
  <si>
    <t>17,68,10,17,343.80</t>
  </si>
  <si>
    <t>34,41,709</t>
  </si>
  <si>
    <t>2,01,781</t>
  </si>
  <si>
    <t>14,63,43,69,218.50</t>
  </si>
  <si>
    <t>1,80,842</t>
  </si>
  <si>
    <t>42,70,530</t>
  </si>
  <si>
    <t>6,44,66,98,483.90</t>
  </si>
  <si>
    <t>1,05,354</t>
  </si>
  <si>
    <t>69,60,246</t>
  </si>
  <si>
    <t>13,37,87,45,824.70</t>
  </si>
  <si>
    <t>1,55,527</t>
  </si>
  <si>
    <t>56,91,799</t>
  </si>
  <si>
    <t>8,58,91,04,210.90</t>
  </si>
  <si>
    <t>1,44,103</t>
  </si>
  <si>
    <t>16,53,474</t>
  </si>
  <si>
    <t>94,59,154</t>
  </si>
  <si>
    <t>6,99,36,67,215.60</t>
  </si>
  <si>
    <t>18,06,24,38,512.30</t>
  </si>
  <si>
    <t>1,30,857</t>
  </si>
  <si>
    <t>1,86,299</t>
  </si>
  <si>
    <t>84,24,409</t>
  </si>
  <si>
    <t>12,71,07,83,626.50</t>
  </si>
  <si>
    <t>2,17,543</t>
  </si>
  <si>
    <t>1,81,47,129</t>
  </si>
  <si>
    <t>1,59,68,435</t>
  </si>
  <si>
    <t>30,73,94,92,241.20</t>
  </si>
  <si>
    <t>2,75,126</t>
  </si>
  <si>
    <t>44,78,653</t>
  </si>
  <si>
    <t>23,19,47,74,030.90</t>
  </si>
  <si>
    <t>6,73,67,82,019.20</t>
  </si>
  <si>
    <t>1,44,158</t>
  </si>
  <si>
    <t>2,65,113</t>
  </si>
  <si>
    <t>26,37,705</t>
  </si>
  <si>
    <t>11,11,24,18,871.40</t>
  </si>
  <si>
    <t>1,76,306</t>
  </si>
  <si>
    <t>1,13,72,857</t>
  </si>
  <si>
    <t>18,12,71,26,262.50</t>
  </si>
  <si>
    <t>2,90,108</t>
  </si>
  <si>
    <t>1,20,99,648</t>
  </si>
  <si>
    <t>15,25,42,61,046.80</t>
  </si>
  <si>
    <t>1,14,06,024</t>
  </si>
  <si>
    <t>2,60,862</t>
  </si>
  <si>
    <t>22,02,08,20,771.50</t>
  </si>
  <si>
    <t>2,36,285</t>
  </si>
  <si>
    <t>1,28,46,210</t>
  </si>
  <si>
    <t>20,29,22,58,361.30</t>
  </si>
  <si>
    <t>3,35,293</t>
  </si>
  <si>
    <t>17,61,466</t>
  </si>
  <si>
    <t>7,27,94,36,408.25</t>
  </si>
  <si>
    <t>1,01,42,590</t>
  </si>
  <si>
    <t>75,34,012</t>
  </si>
  <si>
    <t>1,57,671</t>
  </si>
  <si>
    <t>14,62,19,40,034.00</t>
  </si>
  <si>
    <t>12,68,88,02,512.15</t>
  </si>
  <si>
    <t>1,60,044</t>
  </si>
  <si>
    <t>1,77,979</t>
  </si>
  <si>
    <t>48,70,057</t>
  </si>
  <si>
    <t>7,73,76,87,686.00</t>
  </si>
  <si>
    <t>1,44,908</t>
  </si>
  <si>
    <t>87,45,078</t>
  </si>
  <si>
    <t>74,34,366</t>
  </si>
  <si>
    <t>16,89,44,88,689.10</t>
  </si>
  <si>
    <t>1,40,830</t>
  </si>
  <si>
    <t>9,26,55,30,670.85</t>
  </si>
  <si>
    <t>12,87,799</t>
  </si>
  <si>
    <t>1,46,316</t>
  </si>
  <si>
    <t>5,26,13,20,398.80</t>
  </si>
  <si>
    <t>1,48,489</t>
  </si>
  <si>
    <t>1,11,51,167</t>
  </si>
  <si>
    <t>17,84,60,28,418.30</t>
  </si>
  <si>
    <t>2,26,053</t>
  </si>
  <si>
    <t>1,07,10,389</t>
  </si>
  <si>
    <t>20,77,71,45,511.00</t>
  </si>
  <si>
    <t>1,78,998</t>
  </si>
  <si>
    <t>1,79,08,652</t>
  </si>
  <si>
    <t>21,60,89,77,995.10</t>
  </si>
  <si>
    <t>45,76,751</t>
  </si>
  <si>
    <t>5,42,347</t>
  </si>
  <si>
    <t>7,28,30,67,573.40</t>
  </si>
  <si>
    <t>1,32,211</t>
  </si>
  <si>
    <t>19,71,591</t>
  </si>
  <si>
    <t>8,01,50,45,148.00</t>
  </si>
  <si>
    <t>1,48,666</t>
  </si>
  <si>
    <t>1,74,01,715</t>
  </si>
  <si>
    <t>33,65,14,32,174.30</t>
  </si>
  <si>
    <t>2,80,256</t>
  </si>
  <si>
    <t>88,55,798</t>
  </si>
  <si>
    <t>13,86,32,31,180.10</t>
  </si>
  <si>
    <t>2,21,56,106</t>
  </si>
  <si>
    <t>1,86,064</t>
  </si>
  <si>
    <t>25,49,15,01,838.90</t>
  </si>
  <si>
    <t>6,77,564</t>
  </si>
  <si>
    <t>24,09,223</t>
  </si>
  <si>
    <t>9,95,60,65,096.70</t>
  </si>
  <si>
    <t>1,53,702</t>
  </si>
  <si>
    <t>71,43,998</t>
  </si>
  <si>
    <t>11,19,44,55,092.90</t>
  </si>
  <si>
    <t>1,60,169</t>
  </si>
  <si>
    <t>1,95,55,040</t>
  </si>
  <si>
    <t>23,06,52,09,423.00</t>
  </si>
  <si>
    <t>3,14,171</t>
  </si>
  <si>
    <t>85,94,398</t>
  </si>
  <si>
    <t>16,28,61,44,558.60</t>
  </si>
  <si>
    <t>2,92,155</t>
  </si>
  <si>
    <t>41,57,309</t>
  </si>
  <si>
    <t>6,51,04,14,089.90</t>
  </si>
  <si>
    <t>1,12,304</t>
  </si>
  <si>
    <t>18,22,998</t>
  </si>
  <si>
    <t>7,58,57,18,475.40</t>
  </si>
  <si>
    <t>1,39,860</t>
  </si>
  <si>
    <t>1,02,23,104</t>
  </si>
  <si>
    <t>12,09,47,49,463.20</t>
  </si>
  <si>
    <t>93,09,486</t>
  </si>
  <si>
    <t>1,93,325</t>
  </si>
  <si>
    <t>18,14,28,65,391.20</t>
  </si>
  <si>
    <t>2,07,249</t>
  </si>
  <si>
    <t>61,58,990</t>
  </si>
  <si>
    <t>9,53,89,94,454.70</t>
  </si>
  <si>
    <t>1,62,974</t>
  </si>
  <si>
    <t>19,10,099</t>
  </si>
  <si>
    <t>7,93,76,40,859.20</t>
  </si>
  <si>
    <t>1,12,24,242</t>
  </si>
  <si>
    <t>1,21,21,051</t>
  </si>
  <si>
    <t>13,62,68,31,085.65</t>
  </si>
  <si>
    <t>23,40,09,36,924.40</t>
  </si>
  <si>
    <t>1,87,059</t>
  </si>
  <si>
    <t>2,34,495</t>
  </si>
  <si>
    <t>50,38,421</t>
  </si>
  <si>
    <t>7,92,95,81,517.50</t>
  </si>
  <si>
    <t>1,19,392</t>
  </si>
  <si>
    <t>15,51,782</t>
  </si>
  <si>
    <t>6,34,46,44,149.25</t>
  </si>
  <si>
    <t>1,33,78,535</t>
  </si>
  <si>
    <t>1,43,859</t>
  </si>
  <si>
    <t>31,70,102</t>
  </si>
  <si>
    <t>77,22,654</t>
  </si>
  <si>
    <t>16,62,71,77,949.10</t>
  </si>
  <si>
    <t>5,00,09,73,812.70</t>
  </si>
  <si>
    <t>14,78,70,00,374.50</t>
  </si>
  <si>
    <t>1,99,888</t>
  </si>
  <si>
    <t>1,89,542</t>
  </si>
  <si>
    <t>82,48,464</t>
  </si>
  <si>
    <t>1,61,20,729</t>
  </si>
  <si>
    <t>10,19,18,64,641.70</t>
  </si>
  <si>
    <t>24,68,272</t>
  </si>
  <si>
    <t>31,00,03,29,957.90</t>
  </si>
  <si>
    <t>1,64,065</t>
  </si>
  <si>
    <t>10,01,45,14,674.15</t>
  </si>
  <si>
    <t>2,24,596</t>
  </si>
  <si>
    <t>77,75,714</t>
  </si>
  <si>
    <t>1,50,121</t>
  </si>
  <si>
    <t>12,19,07,51,506.20</t>
  </si>
  <si>
    <t>2,06,543</t>
  </si>
  <si>
    <t>1,53,98,401</t>
  </si>
  <si>
    <t>19,40,78,71,411.00</t>
  </si>
  <si>
    <t>79,34,005</t>
  </si>
  <si>
    <t>3,21,235</t>
  </si>
  <si>
    <t>36,23,370</t>
  </si>
  <si>
    <t>15,34,04,26,257.00</t>
  </si>
  <si>
    <t>1,75,140</t>
  </si>
  <si>
    <t>5,71,25,74,459.00</t>
  </si>
  <si>
    <t>1,36,660</t>
  </si>
  <si>
    <t>12,17,089</t>
  </si>
  <si>
    <t>4,97,92,53,773.00</t>
  </si>
  <si>
    <t>1,08,284</t>
  </si>
  <si>
    <t>86,09,500</t>
  </si>
  <si>
    <t>51,01,482</t>
  </si>
  <si>
    <t>1,04,29,964</t>
  </si>
  <si>
    <t>13,67,58,17,253.90</t>
  </si>
  <si>
    <t>9,88,73,38,159.20</t>
  </si>
  <si>
    <t>13,46,99,49,890.00</t>
  </si>
  <si>
    <t>1,94,291</t>
  </si>
  <si>
    <t>1,56,815</t>
  </si>
  <si>
    <t>2,57,857</t>
  </si>
  <si>
    <t>15,31,251</t>
  </si>
  <si>
    <t>6,27,64,04,777.90</t>
  </si>
  <si>
    <t>1,19,39,545</t>
  </si>
  <si>
    <t>22,90,66,55,882.10</t>
  </si>
  <si>
    <t>1,31,48,092</t>
  </si>
  <si>
    <t>1,76,524</t>
  </si>
  <si>
    <t>20,55,12,63,119.00</t>
  </si>
  <si>
    <t>1,67,400</t>
  </si>
  <si>
    <t>1,30,51,707</t>
  </si>
  <si>
    <t>16,91,49,00,850.30</t>
  </si>
  <si>
    <t>2,29,331</t>
  </si>
  <si>
    <t>75,66,020</t>
  </si>
  <si>
    <t>14,60,55,82,585.70</t>
  </si>
  <si>
    <t>2,05,548</t>
  </si>
  <si>
    <t>14,92,943</t>
  </si>
  <si>
    <t>43,74,509</t>
  </si>
  <si>
    <t>6,13,01,03,902.20</t>
  </si>
  <si>
    <t>6,78,15,87,274.00</t>
  </si>
  <si>
    <t>1,21,858</t>
  </si>
  <si>
    <t>1,31,906</t>
  </si>
  <si>
    <t>1,04,80,888</t>
  </si>
  <si>
    <t>13,59,45,97,555.00</t>
  </si>
  <si>
    <t>2,32,149</t>
  </si>
  <si>
    <t>1,06,53,335</t>
  </si>
  <si>
    <t>20,39,94,11,133.40</t>
  </si>
  <si>
    <t>2,55,429</t>
  </si>
  <si>
    <t>68,53,403</t>
  </si>
  <si>
    <t>10,59,78,70,232.10</t>
  </si>
  <si>
    <t>1,95,003</t>
  </si>
  <si>
    <t>4,37,172</t>
  </si>
  <si>
    <t>1,04,68,940</t>
  </si>
  <si>
    <t>1,78,47,47,121.10</t>
  </si>
  <si>
    <t>13,59,20,84,385.00</t>
  </si>
  <si>
    <t>47,83,036</t>
  </si>
  <si>
    <t>1,81,309</t>
  </si>
  <si>
    <t>9,23,11,50,800.40</t>
  </si>
  <si>
    <t>1,16,301</t>
  </si>
  <si>
    <t>45,48,307</t>
  </si>
  <si>
    <t>7,05,21,04,860.60</t>
  </si>
  <si>
    <t>1,18,648</t>
  </si>
  <si>
    <t>54,01,430</t>
  </si>
  <si>
    <t>10,47,59,11,940.90</t>
  </si>
  <si>
    <t>1,44,31,012</t>
  </si>
  <si>
    <t>2,01,842</t>
  </si>
  <si>
    <t>12,65,713</t>
  </si>
  <si>
    <t>18,80,79,07,514.70</t>
  </si>
  <si>
    <t>5,12,10,41,211.00</t>
  </si>
  <si>
    <t>3,07,093</t>
  </si>
  <si>
    <t>69,48,539</t>
  </si>
  <si>
    <t>10,80,34,74,457.10</t>
  </si>
  <si>
    <t>1,55,134</t>
  </si>
  <si>
    <t>1,28,309</t>
  </si>
  <si>
    <t>1,30,81,074</t>
  </si>
  <si>
    <t>25,20,87,51,300.70</t>
  </si>
  <si>
    <t>3,11,04,496</t>
  </si>
  <si>
    <t>39,60,020</t>
  </si>
  <si>
    <t>42,14,71,23,069.00</t>
  </si>
  <si>
    <t>6,16,62,93,295.00</t>
  </si>
  <si>
    <t>2,02,672</t>
  </si>
  <si>
    <t>8,93,347</t>
  </si>
  <si>
    <t>25,47,132</t>
  </si>
  <si>
    <t>10,43,81,41,551.80</t>
  </si>
  <si>
    <t>1,41,942</t>
  </si>
  <si>
    <t>29,03,202</t>
  </si>
  <si>
    <t>3,25,38,970</t>
  </si>
  <si>
    <t>4,57,89,75,981.40</t>
  </si>
  <si>
    <t>45,41,70,61,104.50</t>
  </si>
  <si>
    <t>1,13,233</t>
  </si>
  <si>
    <t>6,80,195</t>
  </si>
  <si>
    <t>90,78,797</t>
  </si>
  <si>
    <t>16,93,912</t>
  </si>
  <si>
    <t>17,45,78,06,722.10</t>
  </si>
  <si>
    <t>1,79,687</t>
  </si>
  <si>
    <t>6,93,87,52,665.75</t>
  </si>
  <si>
    <t>1,30,235</t>
  </si>
  <si>
    <t>85,91,925</t>
  </si>
  <si>
    <t>13,70,46,98,707.80</t>
  </si>
  <si>
    <t>2,22,769</t>
  </si>
  <si>
    <t>2,54,80,745</t>
  </si>
  <si>
    <t>35,79,72,20,282.00</t>
  </si>
  <si>
    <t>5,98,769</t>
  </si>
  <si>
    <t>1,44,58,897</t>
  </si>
  <si>
    <t>27,77,95,60,938.60</t>
  </si>
  <si>
    <t>2,15,462</t>
  </si>
  <si>
    <t>22,84,536</t>
  </si>
  <si>
    <t>1,05,97,410</t>
  </si>
  <si>
    <t>9,32,23,89,842.50</t>
  </si>
  <si>
    <t>17,14,35,54,884.60</t>
  </si>
  <si>
    <t>1,83,903</t>
  </si>
  <si>
    <t>2,19,452</t>
  </si>
  <si>
    <t>1,75,35,402</t>
  </si>
  <si>
    <t>24,89,41,40,200.00</t>
  </si>
  <si>
    <t>3,78,385</t>
  </si>
  <si>
    <t>1,04,83,574</t>
  </si>
  <si>
    <t>16,90,24,14,982.00</t>
  </si>
  <si>
    <t>3,16,383</t>
  </si>
  <si>
    <t>1,43,74,039</t>
  </si>
  <si>
    <t>27,87,63,95,261.10</t>
  </si>
  <si>
    <t>1,52,055</t>
  </si>
  <si>
    <t>1,26,85,649</t>
  </si>
  <si>
    <t>18,16,58,43,553.00</t>
  </si>
  <si>
    <t>2,04,503</t>
  </si>
  <si>
    <t>69,68,315</t>
  </si>
  <si>
    <t>11,13,66,53,004.60</t>
  </si>
  <si>
    <t>2,16,576</t>
  </si>
  <si>
    <t>73,34,411</t>
  </si>
  <si>
    <t>14,11,61,52,681.30</t>
  </si>
  <si>
    <t>2,02,297</t>
  </si>
  <si>
    <t>1,40,84,117</t>
  </si>
  <si>
    <t>19,98,55,59,677.40</t>
  </si>
  <si>
    <t>15,48,940</t>
  </si>
  <si>
    <t>2,26,761</t>
  </si>
  <si>
    <t>6,24,69,65,406.40</t>
  </si>
  <si>
    <t>1,77,110</t>
  </si>
  <si>
    <t>55,91,842</t>
  </si>
  <si>
    <t>9,06,79,22,727.70</t>
  </si>
  <si>
    <t>1,38,140</t>
  </si>
  <si>
    <t>1,21,88,792</t>
  </si>
  <si>
    <t>23,57,13,32,796.70</t>
  </si>
  <si>
    <t>2,02,204</t>
  </si>
  <si>
    <t>1,34,40,169</t>
  </si>
  <si>
    <t>18,98,81,26,278.30</t>
  </si>
  <si>
    <t>2,22,903</t>
  </si>
  <si>
    <t>76,22,083</t>
  </si>
  <si>
    <t>12,48,48,37,334.90</t>
  </si>
  <si>
    <t>2,12,796</t>
  </si>
  <si>
    <t>64,80,771</t>
  </si>
  <si>
    <t>12,54,36,93,178.60</t>
  </si>
  <si>
    <t>13,39,511</t>
  </si>
  <si>
    <t>2,05,372</t>
  </si>
  <si>
    <t>5,40,52,79,190.45</t>
  </si>
  <si>
    <t>1,33,697</t>
  </si>
  <si>
    <t>56,29,707</t>
  </si>
  <si>
    <t>1,11,27,709</t>
  </si>
  <si>
    <t>21,70,06,98,216.20</t>
  </si>
  <si>
    <t>1,61,06,175</t>
  </si>
  <si>
    <t>2,16,860</t>
  </si>
  <si>
    <t>22,71,78,78,064.30</t>
  </si>
  <si>
    <t>2,31,342</t>
  </si>
  <si>
    <t>9,18,57,42,882.60</t>
  </si>
  <si>
    <t>1,40,846</t>
  </si>
  <si>
    <t>18,10,908</t>
  </si>
  <si>
    <t>7,22,47,58,107.05</t>
  </si>
  <si>
    <t>1,21,478</t>
  </si>
  <si>
    <t>1,50,63,504</t>
  </si>
  <si>
    <t>29,76,59,91,590.30</t>
  </si>
  <si>
    <t>3,54,572</t>
  </si>
  <si>
    <t>1,36,68,904</t>
  </si>
  <si>
    <t>18,89,57,51,340.10</t>
  </si>
  <si>
    <t>51,47,760</t>
  </si>
  <si>
    <t>3,88,013</t>
  </si>
  <si>
    <t>8,33,34,49,709.60</t>
  </si>
  <si>
    <t>1,62,048</t>
  </si>
  <si>
    <t>16,78,002</t>
  </si>
  <si>
    <t>6,67,56,28,781.95</t>
  </si>
  <si>
    <t>1,28,576</t>
  </si>
  <si>
    <t>66,01,294</t>
  </si>
  <si>
    <t>13,08,47,80,209.80</t>
  </si>
  <si>
    <t>2,03,285</t>
  </si>
  <si>
    <t>92,02,821</t>
  </si>
  <si>
    <t>14,92,05,07,153.70</t>
  </si>
  <si>
    <t>1,06,74,081</t>
  </si>
  <si>
    <t>1,35,603</t>
  </si>
  <si>
    <t>15,22,49,70,250.50</t>
  </si>
  <si>
    <t>3,10,602</t>
  </si>
  <si>
    <t>22,77,310</t>
  </si>
  <si>
    <t>77,66,563</t>
  </si>
  <si>
    <t>8,95,16,39,767.60</t>
  </si>
  <si>
    <t>15,28,41,54,944.50</t>
  </si>
  <si>
    <t>1,63,030</t>
  </si>
  <si>
    <t>2,81,306</t>
  </si>
  <si>
    <t>79,43,676</t>
  </si>
  <si>
    <t>12,59,69,45,674.40</t>
  </si>
  <si>
    <t>2,06,475</t>
  </si>
  <si>
    <t>1,14,07,896</t>
  </si>
  <si>
    <t>16,23,61,02,678.90</t>
  </si>
  <si>
    <t>2,81,992</t>
  </si>
  <si>
    <t>55,48,197</t>
  </si>
  <si>
    <t>10,85,38,32,767.00</t>
  </si>
  <si>
    <t>80,83,992</t>
  </si>
  <si>
    <t>12,85,56,08,766.60</t>
  </si>
  <si>
    <t>1,81,762</t>
  </si>
  <si>
    <t>1,57,878</t>
  </si>
  <si>
    <t>16,81,975</t>
  </si>
  <si>
    <t>6,59,59,86,554.05</t>
  </si>
  <si>
    <t>1,63,805</t>
  </si>
  <si>
    <t>55,70,160</t>
  </si>
  <si>
    <t>7,92,80,45,614.70</t>
  </si>
  <si>
    <t>1,45,014</t>
  </si>
  <si>
    <t>78,13,533</t>
  </si>
  <si>
    <t>81,74,565</t>
  </si>
  <si>
    <t>12,56,99,66,638.70</t>
  </si>
  <si>
    <t>15,90,10,14,848.90</t>
  </si>
  <si>
    <t>1,87,869</t>
  </si>
  <si>
    <t>1,79,174</t>
  </si>
  <si>
    <t>17,99,806</t>
  </si>
  <si>
    <t>7,04,04,39,519.80</t>
  </si>
  <si>
    <t>2,01,77,211</t>
  </si>
  <si>
    <t>1,68,626</t>
  </si>
  <si>
    <t>29,08,36,83,834.80</t>
  </si>
  <si>
    <t>3,14,261</t>
  </si>
  <si>
    <t>60,58,881</t>
  </si>
  <si>
    <t>11,63,35,22,704.60</t>
  </si>
  <si>
    <t>1,87,789</t>
  </si>
  <si>
    <t>65,19,233</t>
  </si>
  <si>
    <t>10,52,96,69,764.00</t>
  </si>
  <si>
    <t>1,43,707</t>
  </si>
  <si>
    <t>21,49,879</t>
  </si>
  <si>
    <t>90,36,695</t>
  </si>
  <si>
    <t>8,36,65,96,747.55</t>
  </si>
  <si>
    <t>13,14,97,97,875.40</t>
  </si>
  <si>
    <t>1,35,773</t>
  </si>
  <si>
    <t>1,96,322</t>
  </si>
  <si>
    <t>82,56,873</t>
  </si>
  <si>
    <t>15,96,31,22,374.70</t>
  </si>
  <si>
    <t>1,99,177</t>
  </si>
  <si>
    <t>89,12,268</t>
  </si>
  <si>
    <t>14,35,77,11,409.20</t>
  </si>
  <si>
    <t>1,76,021</t>
  </si>
  <si>
    <t>61,95,791</t>
  </si>
  <si>
    <t>8,94,47,05,922.30</t>
  </si>
  <si>
    <t>84,89,368</t>
  </si>
  <si>
    <t>16,36,36,91,276.80</t>
  </si>
  <si>
    <t>1,44,606</t>
  </si>
  <si>
    <t>2,19,738</t>
  </si>
  <si>
    <t>62,94,505</t>
  </si>
  <si>
    <t>10,09,23,87,934.00</t>
  </si>
  <si>
    <t>1,83,538</t>
  </si>
  <si>
    <t>43,66,672</t>
  </si>
  <si>
    <t>16,57,80,04,180.70</t>
  </si>
  <si>
    <t>2,29,923</t>
  </si>
  <si>
    <t>1,12,70,560</t>
  </si>
  <si>
    <t>16,11,59,06,328.30</t>
  </si>
  <si>
    <t>92,16,908</t>
  </si>
  <si>
    <t>1,82,531</t>
  </si>
  <si>
    <t>17,77,13,02,525.40</t>
  </si>
  <si>
    <t>41,78,937</t>
  </si>
  <si>
    <t>2,51,910</t>
  </si>
  <si>
    <t>6,71,63,11,825.10</t>
  </si>
  <si>
    <t>1,51,406</t>
  </si>
  <si>
    <t>28,88,572</t>
  </si>
  <si>
    <t>10,89,85,64,437.85</t>
  </si>
  <si>
    <t>61,36,364</t>
  </si>
  <si>
    <t>1,84,053</t>
  </si>
  <si>
    <t>8,76,12,09,045.90</t>
  </si>
  <si>
    <t>84,38,110</t>
  </si>
  <si>
    <t>86,53,641</t>
  </si>
  <si>
    <t>2,32,529</t>
  </si>
  <si>
    <t>16,34,97,32,658.70</t>
  </si>
  <si>
    <t>14,04,14,32,376.70</t>
  </si>
  <si>
    <t>2,02,215</t>
  </si>
  <si>
    <t>1,74,866</t>
  </si>
  <si>
    <t>1,21,34,466</t>
  </si>
  <si>
    <t>52,59,695</t>
  </si>
  <si>
    <t>1,64,50,204</t>
  </si>
  <si>
    <t>17,07,14,02,011.90</t>
  </si>
  <si>
    <t>8,53,29,44,662.10</t>
  </si>
  <si>
    <t>18,33,931</t>
  </si>
  <si>
    <t>2,28,031</t>
  </si>
  <si>
    <t>1,57,372</t>
  </si>
  <si>
    <t>32,24,88,39,586.40</t>
  </si>
  <si>
    <t>2,61,970</t>
  </si>
  <si>
    <t>6,95,43,38,537.80</t>
  </si>
  <si>
    <t>1,25,392</t>
  </si>
  <si>
    <t>64,74,883</t>
  </si>
  <si>
    <t>58,69,759</t>
  </si>
  <si>
    <t>9,22,43,12,172.60</t>
  </si>
  <si>
    <t>11,43,53,95,881.10</t>
  </si>
  <si>
    <t>1,35,371</t>
  </si>
  <si>
    <t>1,76,324</t>
  </si>
  <si>
    <t>44,11,273</t>
  </si>
  <si>
    <t>7,19,68,24,362.20</t>
  </si>
  <si>
    <t>1,13,037</t>
  </si>
  <si>
    <t>25,08,516</t>
  </si>
  <si>
    <t>48,42,944</t>
  </si>
  <si>
    <t>9,28,45,23,845.20</t>
  </si>
  <si>
    <t>32,94,523</t>
  </si>
  <si>
    <t>6,96,01,05,851.40</t>
  </si>
  <si>
    <t>1,72,279</t>
  </si>
  <si>
    <t>1,13,12,661</t>
  </si>
  <si>
    <t>1,71,837</t>
  </si>
  <si>
    <t>5,37,18,40,769.70</t>
  </si>
  <si>
    <t>22,21,94,42,191.50</t>
  </si>
  <si>
    <t>1,27,270</t>
  </si>
  <si>
    <t>2,31,814</t>
  </si>
  <si>
    <t>1,26,40,414</t>
  </si>
  <si>
    <t>17,97,22,11,281.70</t>
  </si>
  <si>
    <t>2,11,047</t>
  </si>
  <si>
    <t>41,01,954</t>
  </si>
  <si>
    <t>45,90,681</t>
  </si>
  <si>
    <t>92,02,966</t>
  </si>
  <si>
    <t>14,92,56,47,967.55</t>
  </si>
  <si>
    <t>7,51,02,64,528.10</t>
  </si>
  <si>
    <t>18,19,54,46,515.70</t>
  </si>
  <si>
    <t>1,31,513</t>
  </si>
  <si>
    <t>1,98,489</t>
  </si>
  <si>
    <t>2,06,190</t>
  </si>
  <si>
    <t>59,44,611</t>
  </si>
  <si>
    <t>45,80,828</t>
  </si>
  <si>
    <t>8,41,15,75,745.50</t>
  </si>
  <si>
    <t>7,47,08,23,010.30</t>
  </si>
  <si>
    <t>1,69,185</t>
  </si>
  <si>
    <t>1,71,713</t>
  </si>
  <si>
    <t>2,50,42,415</t>
  </si>
  <si>
    <t>50,36,56,56,414.50</t>
  </si>
  <si>
    <t>3,43,662</t>
  </si>
  <si>
    <t>38,23,856</t>
  </si>
  <si>
    <t>13,81,74,96,735.80</t>
  </si>
  <si>
    <t>2,12,465</t>
  </si>
  <si>
    <t>53,30,179</t>
  </si>
  <si>
    <t>1,37,71,917</t>
  </si>
  <si>
    <t>8,62,16,69,458.80</t>
  </si>
  <si>
    <t>19,48,34,24,681.60</t>
  </si>
  <si>
    <t>1,47,697</t>
  </si>
  <si>
    <t>2,65,116</t>
  </si>
  <si>
    <t>1,41,06,692</t>
  </si>
  <si>
    <t>28,37,90,71,385.70</t>
  </si>
  <si>
    <t>2,26,961</t>
  </si>
  <si>
    <t>70,85,018</t>
  </si>
  <si>
    <t>24,73,94,64,379.85</t>
  </si>
  <si>
    <t>3,40,110</t>
  </si>
  <si>
    <t>1,37,88,484</t>
  </si>
  <si>
    <t>19,57,81,54,095.00</t>
  </si>
  <si>
    <t>1,55,127</t>
  </si>
  <si>
    <t>1,13,91,755</t>
  </si>
  <si>
    <t>18,11,65,97,961.40</t>
  </si>
  <si>
    <t>4,24,033</t>
  </si>
  <si>
    <t>68,24,510</t>
  </si>
  <si>
    <t>13,65,69,39,181.00</t>
  </si>
  <si>
    <t>1,99,780</t>
  </si>
  <si>
    <t>49,90,439</t>
  </si>
  <si>
    <t>17,45,63,99,246.20</t>
  </si>
  <si>
    <t>80,98,668</t>
  </si>
  <si>
    <t>2,48,034</t>
  </si>
  <si>
    <t>11,40,08,64,785.00</t>
  </si>
  <si>
    <t>1,89,977</t>
  </si>
  <si>
    <t>71,94,693</t>
  </si>
  <si>
    <t>14,46,24,21,818.60</t>
  </si>
  <si>
    <t>1,69,976</t>
  </si>
  <si>
    <t>91,73,426</t>
  </si>
  <si>
    <t>14,39,66,57,160.90</t>
  </si>
  <si>
    <t>3,34,884</t>
  </si>
  <si>
    <t>94,39,125</t>
  </si>
  <si>
    <t>18,78,62,19,250.60</t>
  </si>
  <si>
    <t>1,12,52,626</t>
  </si>
  <si>
    <t>2,68,429</t>
  </si>
  <si>
    <t>27,97,737</t>
  </si>
  <si>
    <t>15,89,25,72,174.10</t>
  </si>
  <si>
    <t>9,84,28,80,030.30</t>
  </si>
  <si>
    <t>2,30,110</t>
  </si>
  <si>
    <t>1,57,084</t>
  </si>
  <si>
    <t>76,14,807</t>
  </si>
  <si>
    <t>12,07,92,52,385.60</t>
  </si>
  <si>
    <t>2,08,916</t>
  </si>
  <si>
    <t>84,30,253</t>
  </si>
  <si>
    <t>16,80,33,71,805.60</t>
  </si>
  <si>
    <t>1,82,242</t>
  </si>
  <si>
    <t>81,26,827</t>
  </si>
  <si>
    <t>11,50,58,06,730.50</t>
  </si>
  <si>
    <t>62,23,491</t>
  </si>
  <si>
    <t>9,96,99,27,355.90</t>
  </si>
  <si>
    <t>1,52,064</t>
  </si>
  <si>
    <t>1,44,773</t>
  </si>
  <si>
    <t>25,01,894</t>
  </si>
  <si>
    <t>8,91,09,37,236.55</t>
  </si>
  <si>
    <t>1,45,336</t>
  </si>
  <si>
    <t>39,31,972</t>
  </si>
  <si>
    <t>7,81,48,32,915.60</t>
  </si>
  <si>
    <t>1,50,676</t>
  </si>
  <si>
    <t>73,74,814</t>
  </si>
  <si>
    <t>1,37,16,817</t>
  </si>
  <si>
    <t>11,72,78,38,015.50</t>
  </si>
  <si>
    <t>1,71,441</t>
  </si>
  <si>
    <t>19,78,94,68,217.00</t>
  </si>
  <si>
    <t>3,04,069</t>
  </si>
  <si>
    <t>56,74,713</t>
  </si>
  <si>
    <t>11,28,90,78,543.00</t>
  </si>
  <si>
    <t>1,63,393</t>
  </si>
  <si>
    <t>27,86,513</t>
  </si>
  <si>
    <t>9,95,23,39,476.20</t>
  </si>
  <si>
    <t>2,01,910</t>
  </si>
  <si>
    <t>51,61,833</t>
  </si>
  <si>
    <t>8,19,05,10,577.60</t>
  </si>
  <si>
    <t>1,13,626</t>
  </si>
  <si>
    <t>81,82,161</t>
  </si>
  <si>
    <t>11,81,68,75,426.10</t>
  </si>
  <si>
    <t>76,12,158</t>
  </si>
  <si>
    <t>1,79,734</t>
  </si>
  <si>
    <t>15,17,00,95,365.50</t>
  </si>
  <si>
    <t>1,99,823</t>
  </si>
  <si>
    <t>36,82,661</t>
  </si>
  <si>
    <t>20,51,315</t>
  </si>
  <si>
    <t>5,81,67,01,900.10</t>
  </si>
  <si>
    <t>7,39,56,90,221.35</t>
  </si>
  <si>
    <t>1,23,969</t>
  </si>
  <si>
    <t>1,31,372</t>
  </si>
  <si>
    <t>78,85,125</t>
  </si>
  <si>
    <t>11,43,30,33,631.80</t>
  </si>
  <si>
    <t>1,59,916</t>
  </si>
  <si>
    <t>69,30,714</t>
  </si>
  <si>
    <t>13,91,06,45,549.40</t>
  </si>
  <si>
    <t>1,51,284</t>
  </si>
  <si>
    <t>84,73,741</t>
  </si>
  <si>
    <t>13,33,98,59,186.70</t>
  </si>
  <si>
    <t>1,76,472</t>
  </si>
  <si>
    <t>10,04,626</t>
  </si>
  <si>
    <t>3,61,87,76,661.30</t>
  </si>
  <si>
    <t>85,15,155</t>
  </si>
  <si>
    <t>79,13,181</t>
  </si>
  <si>
    <t>17,10,30,52,403.80</t>
  </si>
  <si>
    <t>11,41,54,76,580.50</t>
  </si>
  <si>
    <t>1,84,619</t>
  </si>
  <si>
    <t>1,67,203</t>
  </si>
  <si>
    <t>80,35,026</t>
  </si>
  <si>
    <t>12,69,87,18,376.80</t>
  </si>
  <si>
    <t>1,73,368</t>
  </si>
  <si>
    <t>19,95,450</t>
  </si>
  <si>
    <t>7,11,96,17,263.55</t>
  </si>
  <si>
    <t>62,58,461</t>
  </si>
  <si>
    <t>1,42,820</t>
  </si>
  <si>
    <t>12,43,81,53,798.20</t>
  </si>
  <si>
    <t>1,41,69,664</t>
  </si>
  <si>
    <t>81,95,700</t>
  </si>
  <si>
    <t>1,25,871</t>
  </si>
  <si>
    <t>22,07,36,17,144.50</t>
  </si>
  <si>
    <t>11,93,38,50,942.70</t>
  </si>
  <si>
    <t>2,70,970</t>
  </si>
  <si>
    <t>1,84,593</t>
  </si>
  <si>
    <t>1,08,51,259</t>
  </si>
  <si>
    <t>16,53,37,25,148.10</t>
  </si>
  <si>
    <t>2,41,673</t>
  </si>
  <si>
    <t>31,74,167</t>
  </si>
  <si>
    <t>11,12,48,52,701.55</t>
  </si>
  <si>
    <t>88,28,114</t>
  </si>
  <si>
    <t>1,75,588</t>
  </si>
  <si>
    <t>12,75,06,12,321.30</t>
  </si>
  <si>
    <t>1,90,194</t>
  </si>
  <si>
    <t>65,44,425</t>
  </si>
  <si>
    <t>12,95,00,97,345.90</t>
  </si>
  <si>
    <t>1,32,854</t>
  </si>
  <si>
    <t>64,39,855</t>
  </si>
  <si>
    <t>9,71,32,23,437.60</t>
  </si>
  <si>
    <t>2,09,764</t>
  </si>
  <si>
    <t>97,57,276</t>
  </si>
  <si>
    <t>16,93,004</t>
  </si>
  <si>
    <t>13,89,39,05,321.30</t>
  </si>
  <si>
    <t>72,49,084</t>
  </si>
  <si>
    <t>5,93,34,91,139.45</t>
  </si>
  <si>
    <t>14,44,75,99,382.10</t>
  </si>
  <si>
    <t>2,02,256</t>
  </si>
  <si>
    <t>1,57,806</t>
  </si>
  <si>
    <t>70,70,448</t>
  </si>
  <si>
    <t>10,67,02,96,870.50</t>
  </si>
  <si>
    <t>2,29,718</t>
  </si>
  <si>
    <t>89,97,306</t>
  </si>
  <si>
    <t>84,58,093</t>
  </si>
  <si>
    <t>18,04,44,32,313.40</t>
  </si>
  <si>
    <t>12,14,94,12,490.70</t>
  </si>
  <si>
    <t>2,16,845</t>
  </si>
  <si>
    <t>57,19,051</t>
  </si>
  <si>
    <t>26,90,906</t>
  </si>
  <si>
    <t>2,13,623</t>
  </si>
  <si>
    <t>8,66,45,75,239.60</t>
  </si>
  <si>
    <t>9,40,90,68,295.75</t>
  </si>
  <si>
    <t>1,17,771</t>
  </si>
  <si>
    <t>1,71,510</t>
  </si>
  <si>
    <t>1,12,64,579</t>
  </si>
  <si>
    <t>68,51,407</t>
  </si>
  <si>
    <t>22,43,74,06,105.60</t>
  </si>
  <si>
    <t>10,34,86,81,107.70</t>
  </si>
  <si>
    <t>2,56,020</t>
  </si>
  <si>
    <t>1,03,66,599</t>
  </si>
  <si>
    <t>2,44,747</t>
  </si>
  <si>
    <t>14,84,65,17,402.40</t>
  </si>
  <si>
    <t>1,91,173</t>
  </si>
  <si>
    <t>30,69,109</t>
  </si>
  <si>
    <t>10,83,52,99,304.90</t>
  </si>
  <si>
    <t>1,39,204</t>
  </si>
  <si>
    <t>80,64,723</t>
  </si>
  <si>
    <t>87,02,978</t>
  </si>
  <si>
    <t>15,87,78,08,287.50</t>
  </si>
  <si>
    <t>12,87,86,42,442.30</t>
  </si>
  <si>
    <t>2,45,779</t>
  </si>
  <si>
    <t>2,21,823</t>
  </si>
  <si>
    <t>66,81,735</t>
  </si>
  <si>
    <t>9,56,36,29,434.00</t>
  </si>
  <si>
    <t>1,38,211</t>
  </si>
  <si>
    <t>86,10,216</t>
  </si>
  <si>
    <t>12,65,31,81,879.40</t>
  </si>
  <si>
    <t>2,03,292</t>
  </si>
  <si>
    <t>30,51,244</t>
  </si>
  <si>
    <t>10,63,29,94,898.70</t>
  </si>
  <si>
    <t>1,81,144</t>
  </si>
  <si>
    <t>1,11,54,539</t>
  </si>
  <si>
    <t>22,23,60,41,336.40</t>
  </si>
  <si>
    <t>2,75,691</t>
  </si>
  <si>
    <t>1,00,07,230</t>
  </si>
  <si>
    <t>14,34,83,70,217.60</t>
  </si>
  <si>
    <t>1,79,473</t>
  </si>
  <si>
    <t>1,02,13,323</t>
  </si>
  <si>
    <t>14,92,22,02,900.20</t>
  </si>
  <si>
    <t>2,59,533</t>
  </si>
  <si>
    <t>28,45,192</t>
  </si>
  <si>
    <t>10,12,83,43,015.65</t>
  </si>
  <si>
    <t>74,18,407</t>
  </si>
  <si>
    <t>1,56,792</t>
  </si>
  <si>
    <t>14,90,39,39,836.30</t>
  </si>
  <si>
    <t>2,90,10,635</t>
  </si>
  <si>
    <t>2,26,727</t>
  </si>
  <si>
    <t>1,05,66,934</t>
  </si>
  <si>
    <t>42,43,33,00,495.60</t>
  </si>
  <si>
    <t>15,22,06,82,581.70</t>
  </si>
  <si>
    <t>2,76,278</t>
  </si>
  <si>
    <t>3,24,361</t>
  </si>
  <si>
    <t>68,17,458</t>
  </si>
  <si>
    <t>41,61,925</t>
  </si>
  <si>
    <t>13,77,10,89,884.70</t>
  </si>
  <si>
    <t>14,82,34,64,307.85</t>
  </si>
  <si>
    <t>1,91,989</t>
  </si>
  <si>
    <t>1,88,951</t>
  </si>
  <si>
    <t>59,89,078</t>
  </si>
  <si>
    <t>8,70,50,05,211.50</t>
  </si>
  <si>
    <t>2,26,309</t>
  </si>
  <si>
    <t>98,92,020</t>
  </si>
  <si>
    <t>14,13,37,71,799.70</t>
  </si>
  <si>
    <t>2,74,685</t>
  </si>
  <si>
    <t>95,53,588</t>
  </si>
  <si>
    <t>19,28,98,76,404.20</t>
  </si>
  <si>
    <t>1,83,573</t>
  </si>
  <si>
    <t>18,34,751</t>
  </si>
  <si>
    <t>6,63,29,70,557.70</t>
  </si>
  <si>
    <t>1,07,825</t>
  </si>
  <si>
    <t>1,64,02,744</t>
  </si>
  <si>
    <t>1,00,48,009</t>
  </si>
  <si>
    <t>23,89,35,22,923.20</t>
  </si>
  <si>
    <t>14,31,27,81,899.70</t>
  </si>
  <si>
    <t>3,10,037</t>
  </si>
  <si>
    <t>2,84,313</t>
  </si>
  <si>
    <t>46,53,299</t>
  </si>
  <si>
    <t>9,33,28,02,398.80</t>
  </si>
  <si>
    <t>1,63,735</t>
  </si>
  <si>
    <t>31,35,390</t>
  </si>
  <si>
    <t>66,25,368</t>
  </si>
  <si>
    <t>11,51,79,85,340.80</t>
  </si>
  <si>
    <t>9,44,51,85,928.90</t>
  </si>
  <si>
    <t>75,25,851</t>
  </si>
  <si>
    <t>2,87,957</t>
  </si>
  <si>
    <t>1,81,313</t>
  </si>
  <si>
    <t>11,04,38,61,535.40</t>
  </si>
  <si>
    <t>1,97,720</t>
  </si>
  <si>
    <t>60,29,790</t>
  </si>
  <si>
    <t>12,12,64,12,272.80</t>
  </si>
  <si>
    <t>2,19,624</t>
  </si>
  <si>
    <t>98,99,184</t>
  </si>
  <si>
    <t>14,16,66,00,704.20</t>
  </si>
  <si>
    <t>2,96,874</t>
  </si>
  <si>
    <t>17,34,499</t>
  </si>
  <si>
    <t>1,46,57,893</t>
  </si>
  <si>
    <t>6,34,15,97,992.40</t>
  </si>
  <si>
    <t>21,81,33,25,246.10</t>
  </si>
  <si>
    <t>1,41,204</t>
  </si>
  <si>
    <t>2,47,215</t>
  </si>
  <si>
    <t>99,47,848</t>
  </si>
  <si>
    <t>20,04,56,35,384.90</t>
  </si>
  <si>
    <t>1,03,18,063</t>
  </si>
  <si>
    <t>2,34,546</t>
  </si>
  <si>
    <t>14,72,55,70,609.00</t>
  </si>
  <si>
    <t>2,82,240</t>
  </si>
  <si>
    <t>1,29,02,347</t>
  </si>
  <si>
    <t>18,73,25,83,333.60</t>
  </si>
  <si>
    <t>1,11,17,052</t>
  </si>
  <si>
    <t>2,16,803</t>
  </si>
  <si>
    <t>25,28,474</t>
  </si>
  <si>
    <t>16,80,89,08,375.40</t>
  </si>
  <si>
    <t>75,77,018</t>
  </si>
  <si>
    <t>9,22,64,48,354.45</t>
  </si>
  <si>
    <t>15,33,54,57,713.70</t>
  </si>
  <si>
    <t>2,69,877</t>
  </si>
  <si>
    <t>1,25,080</t>
  </si>
  <si>
    <t>1,52,763</t>
  </si>
  <si>
    <t>72,54,561</t>
  </si>
  <si>
    <t>10,43,72,79,703.70</t>
  </si>
  <si>
    <t>1,82,842</t>
  </si>
  <si>
    <t>1,10,91,516</t>
  </si>
  <si>
    <t>84,09,527</t>
  </si>
  <si>
    <t>22,41,37,95,872.20</t>
  </si>
  <si>
    <t>1,99,191</t>
  </si>
  <si>
    <t>39,86,094</t>
  </si>
  <si>
    <t>5,74,93,06,331.60</t>
  </si>
  <si>
    <t>1,47,879</t>
  </si>
  <si>
    <t>12,69,23,29,820.10</t>
  </si>
  <si>
    <t>2,42,195</t>
  </si>
  <si>
    <t>56,58,629</t>
  </si>
  <si>
    <t>11,40,34,73,962.30</t>
  </si>
  <si>
    <t>1,38,595</t>
  </si>
  <si>
    <t>1,04,13,061</t>
  </si>
  <si>
    <t>15,43,98,23,972.40</t>
  </si>
  <si>
    <t>3,07,308</t>
  </si>
  <si>
    <t>1,03,68,523</t>
  </si>
  <si>
    <t>15,79,07,50,945.40</t>
  </si>
  <si>
    <t>69,66,973</t>
  </si>
  <si>
    <t>2,32,573</t>
  </si>
  <si>
    <t>65,65,539</t>
  </si>
  <si>
    <t>13,91,97,56,957.20</t>
  </si>
  <si>
    <t>9,82,97,15,323.00</t>
  </si>
  <si>
    <t>2,48,150</t>
  </si>
  <si>
    <t>2,08,499</t>
  </si>
  <si>
    <t>20,51,919</t>
  </si>
  <si>
    <t>7,41,51,24,946.40</t>
  </si>
  <si>
    <t>1,29,740</t>
  </si>
  <si>
    <t>63,61,002</t>
  </si>
  <si>
    <t>9,65,78,44,399.40</t>
  </si>
  <si>
    <t>1,83,873</t>
  </si>
  <si>
    <t>55,43,397</t>
  </si>
  <si>
    <t>1,19,89,029</t>
  </si>
  <si>
    <t>8,27,13,10,707.60</t>
  </si>
  <si>
    <t>23,68,56,33,703.60</t>
  </si>
  <si>
    <t>1,81,180</t>
  </si>
  <si>
    <t>1,94,332</t>
  </si>
  <si>
    <t>1,12,83,291</t>
  </si>
  <si>
    <t>17,15,69,79,936.80</t>
  </si>
  <si>
    <t>2,58,008</t>
  </si>
  <si>
    <t>1,06,94,531</t>
  </si>
  <si>
    <t>16,36,24,27,034.30</t>
  </si>
  <si>
    <t>2,93,354</t>
  </si>
  <si>
    <t>70,40,102</t>
  </si>
  <si>
    <t>13,92,80,74,705.90</t>
  </si>
  <si>
    <t>2,11,058</t>
  </si>
  <si>
    <t>26,18,493</t>
  </si>
  <si>
    <t>66,03,501</t>
  </si>
  <si>
    <t>9,29,04,45,221.40</t>
  </si>
  <si>
    <t>1,59,94,798</t>
  </si>
  <si>
    <t>10,06,09,08,691.00</t>
  </si>
  <si>
    <t>24,45,13,97,801.60</t>
  </si>
  <si>
    <t>1,67,344</t>
  </si>
  <si>
    <t>1,67,255</t>
  </si>
  <si>
    <t>2,29,265</t>
  </si>
  <si>
    <t>65,40,593</t>
  </si>
  <si>
    <t>12,99,02,37,207.70</t>
  </si>
  <si>
    <t>2,23,527</t>
  </si>
  <si>
    <t>54,43,364</t>
  </si>
  <si>
    <t>8,19,56,06,188.20</t>
  </si>
  <si>
    <t>1,91,326</t>
  </si>
  <si>
    <t>72,51,074</t>
  </si>
  <si>
    <t>11,15,98,58,745.50</t>
  </si>
  <si>
    <t>2,05,134</t>
  </si>
  <si>
    <t>17,64,313</t>
  </si>
  <si>
    <t>6,25,82,90,323.80</t>
  </si>
  <si>
    <t>81,69,075</t>
  </si>
  <si>
    <t>12,08,84,73,402.60</t>
  </si>
  <si>
    <t>1,80,969</t>
  </si>
  <si>
    <t>69,47,632</t>
  </si>
  <si>
    <t>13,74,92,88,126.40</t>
  </si>
  <si>
    <t>71,71,261</t>
  </si>
  <si>
    <t>11,01,66,84,351.60</t>
  </si>
  <si>
    <t>1,91,265</t>
  </si>
  <si>
    <t>45,37,821</t>
  </si>
  <si>
    <t>15,53,18,09,156.15</t>
  </si>
  <si>
    <t>45,46,057</t>
  </si>
  <si>
    <t>2,48,807</t>
  </si>
  <si>
    <t>6,80,76,59,263.50</t>
  </si>
  <si>
    <t>2,51,323</t>
  </si>
  <si>
    <t>45,52,927</t>
  </si>
  <si>
    <t>9,04,61,55,578.70</t>
  </si>
  <si>
    <t>1,65,998</t>
  </si>
  <si>
    <t>88,70,660</t>
  </si>
  <si>
    <t>13,59,84,41,338.60</t>
  </si>
  <si>
    <t>2,54,524</t>
  </si>
  <si>
    <t>52,18,763</t>
  </si>
  <si>
    <t>7,83,60,67,856.90</t>
  </si>
  <si>
    <t>2,30,255</t>
  </si>
  <si>
    <t>64,68,901</t>
  </si>
  <si>
    <t>53,17,367</t>
  </si>
  <si>
    <t>12,79,89,99,218.20</t>
  </si>
  <si>
    <t>2,37,925</t>
  </si>
  <si>
    <t>17,64,35,41,008.05</t>
  </si>
  <si>
    <t>2,16,133</t>
  </si>
  <si>
    <t>1,00,47,129</t>
  </si>
  <si>
    <t>15,23,34,58,376.40</t>
  </si>
  <si>
    <t>2,89,035</t>
  </si>
  <si>
    <t>67,88,698</t>
  </si>
  <si>
    <t>46,23,483</t>
  </si>
  <si>
    <t>13,42,21,76,534.10</t>
  </si>
  <si>
    <t>6,84,03,88,121.30</t>
  </si>
  <si>
    <t>1,77,703</t>
  </si>
  <si>
    <t>1,94,968</t>
  </si>
  <si>
    <t>66,23,955</t>
  </si>
  <si>
    <t>20,98,14,63,559.10</t>
  </si>
  <si>
    <t>3,86,019</t>
  </si>
  <si>
    <t>87,55,858</t>
  </si>
  <si>
    <t>72,34,991</t>
  </si>
  <si>
    <t>17,42,57,42,818.70</t>
  </si>
  <si>
    <t>10,82,39,82,872.20</t>
  </si>
  <si>
    <t>1,74,342</t>
  </si>
  <si>
    <t>57,87,724</t>
  </si>
  <si>
    <t>8,50,25,79,414.80</t>
  </si>
  <si>
    <t>1,78,490</t>
  </si>
  <si>
    <t>1,87,871</t>
  </si>
  <si>
    <t>96,42,398</t>
  </si>
  <si>
    <t>19,36,89,89,917.90</t>
  </si>
  <si>
    <t>2,20,027</t>
  </si>
  <si>
    <t>54,66,487</t>
  </si>
  <si>
    <t>7,90,03,95,050.80</t>
  </si>
  <si>
    <t>1,66,130</t>
  </si>
  <si>
    <t>55,57,558</t>
  </si>
  <si>
    <t>18,31,89,27,917.45</t>
  </si>
  <si>
    <t>2,36,248</t>
  </si>
  <si>
    <t>1,03,11,846</t>
  </si>
  <si>
    <t>15,34,15,29,534.70</t>
  </si>
  <si>
    <t>1,86,122</t>
  </si>
  <si>
    <t>61,76,219</t>
  </si>
  <si>
    <t>38,11,567</t>
  </si>
  <si>
    <t>12,32,45,74,114.90</t>
  </si>
  <si>
    <t>5,47,69,95,827.20</t>
  </si>
  <si>
    <t>1,70,899</t>
  </si>
  <si>
    <t>1,51,828</t>
  </si>
  <si>
    <t>81,32,454</t>
  </si>
  <si>
    <t>29,90,265</t>
  </si>
  <si>
    <t>1,30,72,640</t>
  </si>
  <si>
    <t>49,75,114</t>
  </si>
  <si>
    <t>12,10,04,48,372.90</t>
  </si>
  <si>
    <t>19,54,41,74,524.90</t>
  </si>
  <si>
    <t>9,71,41,05,049.50</t>
  </si>
  <si>
    <t>9,87,62,63,155.30</t>
  </si>
  <si>
    <t>3,02,959</t>
  </si>
  <si>
    <t>1,84,251</t>
  </si>
  <si>
    <t>1,73,424</t>
  </si>
  <si>
    <t>1,73,756</t>
  </si>
  <si>
    <t>62,19,925</t>
  </si>
  <si>
    <t>12,38,77,22,464.00</t>
  </si>
  <si>
    <t>1,60,599</t>
  </si>
  <si>
    <t>72,81,071</t>
  </si>
  <si>
    <t>11,12,90,62,219.70</t>
  </si>
  <si>
    <t>2,09,861</t>
  </si>
  <si>
    <t>1,04,09,983</t>
  </si>
  <si>
    <t>99,16,751</t>
  </si>
  <si>
    <t>15,42,16,36,574.60</t>
  </si>
  <si>
    <t>19,52,27,14,269.10</t>
  </si>
  <si>
    <t>1,91,598</t>
  </si>
  <si>
    <t>2,53,318</t>
  </si>
  <si>
    <t>80,03,662</t>
  </si>
  <si>
    <t>12,10,43,67,139.30</t>
  </si>
  <si>
    <t>2,25,605</t>
  </si>
  <si>
    <t>71,08,961</t>
  </si>
  <si>
    <t>23,05,46,18,625.45</t>
  </si>
  <si>
    <t>3,54,463</t>
  </si>
  <si>
    <t>1,28,56,963</t>
  </si>
  <si>
    <t>19,66,94,25,031.10</t>
  </si>
  <si>
    <t>3,32,492</t>
  </si>
  <si>
    <t>87,59,022</t>
  </si>
  <si>
    <t>1,18,54,613</t>
  </si>
  <si>
    <t>17,23,13,88,424.40</t>
  </si>
  <si>
    <t>17,54,22,05,685.80</t>
  </si>
  <si>
    <t>2,17,503</t>
  </si>
  <si>
    <t>1,89,733</t>
  </si>
  <si>
    <t>61,67,414</t>
  </si>
  <si>
    <t>35,12,160</t>
  </si>
  <si>
    <t>9,31,14,10,949.80</t>
  </si>
  <si>
    <t>1,73,954</t>
  </si>
  <si>
    <t>11,44,21,74,035.70</t>
  </si>
  <si>
    <t>1,66,106</t>
  </si>
  <si>
    <t>1,69,17,731</t>
  </si>
  <si>
    <t>16,46,54,10,030.90</t>
  </si>
  <si>
    <t>1,02,96,318</t>
  </si>
  <si>
    <t>2,96,302</t>
  </si>
  <si>
    <t>15,18,91,04,342.00</t>
  </si>
  <si>
    <t>2,22,241</t>
  </si>
  <si>
    <t>89,23,112</t>
  </si>
  <si>
    <t>13,45,44,16,476.30</t>
  </si>
  <si>
    <t>2,02,258</t>
  </si>
  <si>
    <t>2,54,38,255</t>
  </si>
  <si>
    <t>24,47,38,86,027.80</t>
  </si>
  <si>
    <t>3,77,835</t>
  </si>
  <si>
    <t>47,95,698</t>
  </si>
  <si>
    <t>2,24,42,744</t>
  </si>
  <si>
    <t>7,29,62,93,565.90</t>
  </si>
  <si>
    <t>32,21,07,51,693.50</t>
  </si>
  <si>
    <t>1,37,197</t>
  </si>
  <si>
    <t>23,84,391</t>
  </si>
  <si>
    <t>6,30,358</t>
  </si>
  <si>
    <t>7,77,53,04,840.90</t>
  </si>
  <si>
    <t>1,31,199</t>
  </si>
  <si>
    <t>93,31,945</t>
  </si>
  <si>
    <t>14,41,90,61,402.30</t>
  </si>
  <si>
    <t>3,41,731</t>
  </si>
  <si>
    <t>1,48,23,813</t>
  </si>
  <si>
    <t>14,16,03,14,228.10</t>
  </si>
  <si>
    <t>2,60,839</t>
  </si>
  <si>
    <t>29,32,346</t>
  </si>
  <si>
    <t>1,29,88,129</t>
  </si>
  <si>
    <t>2,03,96,320</t>
  </si>
  <si>
    <t>9,56,78,36,127.70</t>
  </si>
  <si>
    <t>19,95,04,22,136.70</t>
  </si>
  <si>
    <t>1,52,059</t>
  </si>
  <si>
    <t>28,90,27,00,383.40</t>
  </si>
  <si>
    <t>1,83,984</t>
  </si>
  <si>
    <t>5,04,145</t>
  </si>
  <si>
    <t>2,01,78,344</t>
  </si>
  <si>
    <t>19,18,19,19,082.15</t>
  </si>
  <si>
    <t>4,10,933</t>
  </si>
  <si>
    <t>1,56,55,204</t>
  </si>
  <si>
    <t>23,47,83,11,082.40</t>
  </si>
  <si>
    <t>4,36,891</t>
  </si>
  <si>
    <t>83,54,596</t>
  </si>
  <si>
    <t>24,32,946</t>
  </si>
  <si>
    <t>11,87,53,15,134.70</t>
  </si>
  <si>
    <t>8,09,18,78,392.80</t>
  </si>
  <si>
    <t>2,25,103</t>
  </si>
  <si>
    <t>1,41,96,320</t>
  </si>
  <si>
    <t>1,27,748</t>
  </si>
  <si>
    <t>13,46,94,17,784.70</t>
  </si>
  <si>
    <t>3,43,637</t>
  </si>
  <si>
    <t>98,32,164</t>
  </si>
  <si>
    <t>14,75,41,26,838.70</t>
  </si>
  <si>
    <t>1,64,451</t>
  </si>
  <si>
    <t>1,47,40,507</t>
  </si>
  <si>
    <t>1,60,83,481</t>
  </si>
  <si>
    <t>20,74,07,88,758.30</t>
  </si>
  <si>
    <t>15,24,17,46,460.65</t>
  </si>
  <si>
    <t>49,37,004</t>
  </si>
  <si>
    <t>3,14,670</t>
  </si>
  <si>
    <t>7,36,10,23,173.70</t>
  </si>
  <si>
    <t>2,88,240</t>
  </si>
  <si>
    <t>27,10,498</t>
  </si>
  <si>
    <t>1,43,787</t>
  </si>
  <si>
    <t>8,98,58,99,446.70</t>
  </si>
  <si>
    <t>1,51,282</t>
  </si>
  <si>
    <t>94,91,867</t>
  </si>
  <si>
    <t>14,12,31,54,812.70</t>
  </si>
  <si>
    <t>1,85,456</t>
  </si>
  <si>
    <t>1,18,54,722</t>
  </si>
  <si>
    <t>16,52,80,44,233.50</t>
  </si>
  <si>
    <t>2,37,018</t>
  </si>
  <si>
    <t>1,75,97,657</t>
  </si>
  <si>
    <t>16,91,73,00,954.60</t>
  </si>
  <si>
    <t>2,12,281</t>
  </si>
  <si>
    <t>35,43,923</t>
  </si>
  <si>
    <t>12,04,48,99,557.30</t>
  </si>
  <si>
    <t>1,64,989</t>
  </si>
  <si>
    <t>85,97,058</t>
  </si>
  <si>
    <t>12,53,19,71,834.70</t>
  </si>
  <si>
    <t>4,45,150</t>
  </si>
  <si>
    <t>77,48,361</t>
  </si>
  <si>
    <t>10,80,25,52,328.10</t>
  </si>
  <si>
    <t>1,98,421</t>
  </si>
  <si>
    <t>1,16,02,111</t>
  </si>
  <si>
    <t>11,14,62,02,039.65</t>
  </si>
  <si>
    <t>2,10,037</t>
  </si>
  <si>
    <t>1,05,13,117</t>
  </si>
  <si>
    <t>15,21,31,02,142.10</t>
  </si>
  <si>
    <t>22,52,175</t>
  </si>
  <si>
    <t>1,81,113</t>
  </si>
  <si>
    <t>7,65,50,36,870.70</t>
  </si>
  <si>
    <t>1,58,061</t>
  </si>
  <si>
    <t>1,17,11,307</t>
  </si>
  <si>
    <t>11,33,16,77,355.70</t>
  </si>
  <si>
    <t>1,93,535</t>
  </si>
  <si>
    <t>75,56,305</t>
  </si>
  <si>
    <t>10,90,77,07,364.40</t>
  </si>
  <si>
    <t>2,47,554</t>
  </si>
  <si>
    <t>27,42,991</t>
  </si>
  <si>
    <t>9,44,14,14,787.60</t>
  </si>
  <si>
    <t>1,51,400</t>
  </si>
  <si>
    <t>1,07,50,072</t>
  </si>
  <si>
    <t>15,08,22,11,933.30</t>
  </si>
  <si>
    <t>1,39,85,539</t>
  </si>
  <si>
    <t>1,87,813</t>
  </si>
  <si>
    <t>13,53,53,96,477.20</t>
  </si>
  <si>
    <t>1,81,800</t>
  </si>
  <si>
    <t>62,50,692</t>
  </si>
  <si>
    <t>8,99,81,33,310.60</t>
  </si>
  <si>
    <t>1,94,062</t>
  </si>
  <si>
    <t>15,93,296</t>
  </si>
  <si>
    <t>5,47,86,82,188.50</t>
  </si>
  <si>
    <t>1,80,91,100</t>
  </si>
  <si>
    <t>17,47,97,79,505.30</t>
  </si>
  <si>
    <t>68,77,533</t>
  </si>
  <si>
    <t>2,18,336</t>
  </si>
  <si>
    <t>9,91,92,77,058.40</t>
  </si>
  <si>
    <t>1,56,026</t>
  </si>
  <si>
    <t>72,09,849</t>
  </si>
  <si>
    <t>10,17,67,19,970.80</t>
  </si>
  <si>
    <t>1,67,311</t>
  </si>
  <si>
    <t>1,51,13,633</t>
  </si>
  <si>
    <t>15,78,332</t>
  </si>
  <si>
    <t>14,59,89,45,433.15</t>
  </si>
  <si>
    <t>46,30,590</t>
  </si>
  <si>
    <t>2,20,801</t>
  </si>
  <si>
    <t>5,47,70,91,995.80</t>
  </si>
  <si>
    <t>6,78,68,47,790.90</t>
  </si>
  <si>
    <t>1,05,537</t>
  </si>
  <si>
    <t>1,70,65,827</t>
  </si>
  <si>
    <t>23,76,63,74,015.30</t>
  </si>
  <si>
    <t>3,73,516</t>
  </si>
  <si>
    <t>1,43,63,519</t>
  </si>
  <si>
    <t>13,88,44,30,847.50</t>
  </si>
  <si>
    <t>2,65,851</t>
  </si>
  <si>
    <t>55,70,320</t>
  </si>
  <si>
    <t>8,15,23,22,227.90</t>
  </si>
  <si>
    <t>1,71,449</t>
  </si>
  <si>
    <t>28,09,332</t>
  </si>
  <si>
    <t>9,73,15,86,389.30</t>
  </si>
  <si>
    <t>1,03,21,171</t>
  </si>
  <si>
    <t>1,29,048</t>
  </si>
  <si>
    <t>14,42,34,88,951.80</t>
  </si>
  <si>
    <t>2,08,431</t>
  </si>
  <si>
    <t>1,44,86,377</t>
  </si>
  <si>
    <t>14,03,12,09,535.60</t>
  </si>
  <si>
    <t>1,98,502</t>
  </si>
  <si>
    <t>46,57,192</t>
  </si>
  <si>
    <t>6,93,56,05,075.60</t>
  </si>
  <si>
    <t>1,25,936</t>
  </si>
  <si>
    <t>63,12,820</t>
  </si>
  <si>
    <t>8,90,49,07,900.60</t>
  </si>
  <si>
    <t>1,86,61,794</t>
  </si>
  <si>
    <t>21,15,624</t>
  </si>
  <si>
    <t>1,88,246</t>
  </si>
  <si>
    <t>18,03,32,79,292.75</t>
  </si>
  <si>
    <t>7,30,05,05,304.30</t>
  </si>
  <si>
    <t>2,01,920</t>
  </si>
  <si>
    <t>1,24,212</t>
  </si>
  <si>
    <t>70,28,753</t>
  </si>
  <si>
    <t>10,57,24,16,602.70</t>
  </si>
  <si>
    <t>1,77,885</t>
  </si>
  <si>
    <t>1,73,61,476</t>
  </si>
  <si>
    <t>16,81,26,55,777.90</t>
  </si>
  <si>
    <t>2,69,236</t>
  </si>
  <si>
    <t>37,38,353</t>
  </si>
  <si>
    <t>12,84,443</t>
  </si>
  <si>
    <t>5,65,95,44,676.20</t>
  </si>
  <si>
    <t>4,45,26,37,028.70</t>
  </si>
  <si>
    <t>1,12,569</t>
  </si>
  <si>
    <t>93,15,972</t>
  </si>
  <si>
    <t>12,99,11,63,046.80</t>
  </si>
  <si>
    <t>2,38,858</t>
  </si>
  <si>
    <t>1,77,91,598</t>
  </si>
  <si>
    <t>17,34,08,47,521.60</t>
  </si>
  <si>
    <t>2,67,040</t>
  </si>
  <si>
    <t>58,59,355</t>
  </si>
  <si>
    <t>8,74,42,11,054.50</t>
  </si>
  <si>
    <t>1,44,645</t>
  </si>
  <si>
    <t>13,24,763</t>
  </si>
  <si>
    <t>4,58,11,01,196.30</t>
  </si>
  <si>
    <t>58,34,312</t>
  </si>
  <si>
    <t>8,11,30,06,686.00</t>
  </si>
  <si>
    <t>3,12,43,267</t>
  </si>
  <si>
    <t>1,56,725</t>
  </si>
  <si>
    <t>30,21,92,30,008.15</t>
  </si>
  <si>
    <t>2,20,137</t>
  </si>
  <si>
    <t>56,00,789</t>
  </si>
  <si>
    <t>8,37,13,48,792.60</t>
  </si>
  <si>
    <t>1,36,364</t>
  </si>
  <si>
    <t>99,76,705</t>
  </si>
  <si>
    <t>13,78,30,47,743.50</t>
  </si>
  <si>
    <t>1,08,54,415</t>
  </si>
  <si>
    <t>2,93,767</t>
  </si>
  <si>
    <t>14,77,128</t>
  </si>
  <si>
    <t>10,48,97,24,995.75</t>
  </si>
  <si>
    <t>5,08,43,83,270.50</t>
  </si>
  <si>
    <t>1,39,126</t>
  </si>
  <si>
    <t>69,86,098</t>
  </si>
  <si>
    <t>10,30,60,28,748.90</t>
  </si>
  <si>
    <t>1,64,747</t>
  </si>
  <si>
    <t>87,93,606</t>
  </si>
  <si>
    <t>2,10,22,298</t>
  </si>
  <si>
    <t>12,09,05,91,567.60</t>
  </si>
  <si>
    <t>20,18,34,27,172.90</t>
  </si>
  <si>
    <t>2,08,137</t>
  </si>
  <si>
    <t>1,90,721</t>
  </si>
  <si>
    <t>25,43,591</t>
  </si>
  <si>
    <t>8,77,94,05,820.40</t>
  </si>
  <si>
    <t>1,16,139</t>
  </si>
  <si>
    <t>80,05,748</t>
  </si>
  <si>
    <t>11,75,52,32,719.60</t>
  </si>
  <si>
    <t>1,78,279</t>
  </si>
  <si>
    <t>99,97,486</t>
  </si>
  <si>
    <t>13,75,43,51,256.50</t>
  </si>
  <si>
    <t>2,26,304</t>
  </si>
  <si>
    <t>1,51,17,220</t>
  </si>
  <si>
    <t>14,34,94,11,269.75</t>
  </si>
  <si>
    <t>1,69,59,378</t>
  </si>
  <si>
    <t>24,49,18,95,479.50</t>
  </si>
  <si>
    <t>2,48,417</t>
  </si>
  <si>
    <t>4,08,253</t>
  </si>
  <si>
    <t>25,31,757</t>
  </si>
  <si>
    <t>8,67,99,86,664.60</t>
  </si>
  <si>
    <t>1,51,453</t>
  </si>
  <si>
    <t>1,22,44,664</t>
  </si>
  <si>
    <t>16,98,03,68,560.10</t>
  </si>
  <si>
    <t>69,94,246</t>
  </si>
  <si>
    <t>10,21,26,38,243.40</t>
  </si>
  <si>
    <t>1,79,433</t>
  </si>
  <si>
    <t>2,18,283</t>
  </si>
  <si>
    <t>3,14,13,279</t>
  </si>
  <si>
    <t>74,57,021</t>
  </si>
  <si>
    <t>16,98,704</t>
  </si>
  <si>
    <t>2,50,73,52,685.60</t>
  </si>
  <si>
    <t>10,32,19,69,058.70</t>
  </si>
  <si>
    <t>2,08,576</t>
  </si>
  <si>
    <t>22,28,678</t>
  </si>
  <si>
    <t>29,90,63,81,362.70</t>
  </si>
  <si>
    <t>2,56,060</t>
  </si>
  <si>
    <t>7,97,40,51,782.10</t>
  </si>
  <si>
    <t>2,03,58,624</t>
  </si>
  <si>
    <t>1,46,104</t>
  </si>
  <si>
    <t>31,16,16,87,039.20</t>
  </si>
  <si>
    <t>4,58,468</t>
  </si>
  <si>
    <t>71,26,128</t>
  </si>
  <si>
    <t>9,79,96,29,519.90</t>
  </si>
  <si>
    <t>86,52,257</t>
  </si>
  <si>
    <t>13,20,11,69,899.70</t>
  </si>
  <si>
    <t>2,17,512</t>
  </si>
  <si>
    <t>1,17,85,109</t>
  </si>
  <si>
    <t>16,31,30,18,769.80</t>
  </si>
  <si>
    <t>3,19,844</t>
  </si>
  <si>
    <t>72,73,211</t>
  </si>
  <si>
    <t>10,95,71,13,552.60</t>
  </si>
  <si>
    <t>1,31,339</t>
  </si>
  <si>
    <t>1,43,84,719</t>
  </si>
  <si>
    <t>20,33,42,96,972.40</t>
  </si>
  <si>
    <t>2,88,664</t>
  </si>
  <si>
    <t>30,62,887</t>
  </si>
  <si>
    <t>10,84,72,50,162.20</t>
  </si>
  <si>
    <t>2,21,289</t>
  </si>
  <si>
    <t>1,48,74,656</t>
  </si>
  <si>
    <t>14,07,07,86,048.15</t>
  </si>
  <si>
    <t>82,11,019</t>
  </si>
  <si>
    <t>2,09,563</t>
  </si>
  <si>
    <t>12,29,73,45,650.30</t>
  </si>
  <si>
    <t>1,85,479</t>
  </si>
  <si>
    <t>87,25,641</t>
  </si>
  <si>
    <t>12,37,79,83,949.70</t>
  </si>
  <si>
    <t>1,96,554</t>
  </si>
  <si>
    <t>48,84,976</t>
  </si>
  <si>
    <t>7,37,91,12,106.40</t>
  </si>
  <si>
    <t>3,23,98,179</t>
  </si>
  <si>
    <t>1,77,757</t>
  </si>
  <si>
    <t>21,19,499</t>
  </si>
  <si>
    <t>30,78,38,88,581.80</t>
  </si>
  <si>
    <t>7,50,94,59,955.30</t>
  </si>
  <si>
    <t>2,96,694</t>
  </si>
  <si>
    <t>1,36,543</t>
  </si>
  <si>
    <t>1,10,21,323</t>
  </si>
  <si>
    <t>15,73,34,74,504.40</t>
  </si>
  <si>
    <t>2,31,863</t>
  </si>
  <si>
    <t>56,08,867</t>
  </si>
  <si>
    <t>8,38,48,10,481.60</t>
  </si>
  <si>
    <t>1,58,047</t>
  </si>
  <si>
    <t>2,82,96,687</t>
  </si>
  <si>
    <t>26,92,36,71,201.95</t>
  </si>
  <si>
    <t>2,54,597</t>
  </si>
  <si>
    <t>58,18,868</t>
  </si>
  <si>
    <t>35,48,330</t>
  </si>
  <si>
    <t>8,22,78,76,997.30</t>
  </si>
  <si>
    <t>12,65,17,35,793.00</t>
  </si>
  <si>
    <t>48,19,814</t>
  </si>
  <si>
    <t>1,37,165</t>
  </si>
  <si>
    <t>1,72,937</t>
  </si>
  <si>
    <t>7,16,08,28,351.20</t>
  </si>
  <si>
    <t>1,85,234</t>
  </si>
  <si>
    <t>2,53,50,832</t>
  </si>
  <si>
    <t>24,38,10,70,597.70</t>
  </si>
  <si>
    <t>2,84,713</t>
  </si>
  <si>
    <t>54,70,600</t>
  </si>
  <si>
    <t>8,10,80,37,412.10</t>
  </si>
  <si>
    <t>1,66,500</t>
  </si>
  <si>
    <t>59,79,407</t>
  </si>
  <si>
    <t>16,66,727</t>
  </si>
  <si>
    <t>8,44,57,89,682.30</t>
  </si>
  <si>
    <t>5,93,32,24,873.80</t>
  </si>
  <si>
    <t>1,84,067</t>
  </si>
  <si>
    <t>1,17,749</t>
  </si>
  <si>
    <t>2,66,58,296</t>
  </si>
  <si>
    <t>25,61,34,77,189.50</t>
  </si>
  <si>
    <t>2,62,320</t>
  </si>
  <si>
    <t>86,91,330</t>
  </si>
  <si>
    <t>12,78,15,68,402.80</t>
  </si>
  <si>
    <t>2,50,131</t>
  </si>
  <si>
    <t>1,21,45,259</t>
  </si>
  <si>
    <t>16,89,13,59,345.30</t>
  </si>
  <si>
    <t>2,01,578</t>
  </si>
  <si>
    <t>25,37,377</t>
  </si>
  <si>
    <t>8,93,75,85,448.80</t>
  </si>
  <si>
    <t>1,29,050</t>
  </si>
  <si>
    <t>1,85,42,683</t>
  </si>
  <si>
    <t>18,04,81,85,820.20</t>
  </si>
  <si>
    <t>2,42,243</t>
  </si>
  <si>
    <t>79,44,752</t>
  </si>
  <si>
    <t>11,69,46,18,273.50</t>
  </si>
  <si>
    <t>2,88,667</t>
  </si>
  <si>
    <t>1,31,61,813</t>
  </si>
  <si>
    <t>18,17,35,99,832.00</t>
  </si>
  <si>
    <t>2,52,423</t>
  </si>
  <si>
    <t>2,55,35,736</t>
  </si>
  <si>
    <t>25,11,54,33,186.60</t>
  </si>
  <si>
    <t>87,65,759</t>
  </si>
  <si>
    <t>20,38,374</t>
  </si>
  <si>
    <t>2,46,182</t>
  </si>
  <si>
    <t>12,85,50,16,020.60</t>
  </si>
  <si>
    <t>7,16,65,41,410.90</t>
  </si>
  <si>
    <t>2,54,091</t>
  </si>
  <si>
    <t>1,38,343</t>
  </si>
  <si>
    <t>1,87,58,842</t>
  </si>
  <si>
    <t>25,79,60,85,387.60</t>
  </si>
  <si>
    <t>3,48,532</t>
  </si>
  <si>
    <t>97,87,975</t>
  </si>
  <si>
    <t>14,78,79,62,928.50</t>
  </si>
  <si>
    <t>1,59,39,710</t>
  </si>
  <si>
    <t>2,23,666</t>
  </si>
  <si>
    <t>15,61,39,97,664.15</t>
  </si>
  <si>
    <t>14,40,153</t>
  </si>
  <si>
    <t>5,07,50,75,089.30</t>
  </si>
  <si>
    <t>1,12,32,238</t>
  </si>
  <si>
    <t>15,20,83,77,268.50</t>
  </si>
  <si>
    <t>2,49,574</t>
  </si>
  <si>
    <t>1,36,92,989</t>
  </si>
  <si>
    <t>20,86,62,99,929.10</t>
  </si>
  <si>
    <t>2,55,611</t>
  </si>
  <si>
    <t>1,53,70,950</t>
  </si>
  <si>
    <t>15,00,19,96,973.25</t>
  </si>
  <si>
    <t>2,13,008</t>
  </si>
  <si>
    <t>1,15,17,006</t>
  </si>
  <si>
    <t>15,82,76,20,364.30</t>
  </si>
  <si>
    <t>2,35,433</t>
  </si>
  <si>
    <t>20,34,383</t>
  </si>
  <si>
    <t>1,46,35,417</t>
  </si>
  <si>
    <t>7,06,65,03,817.80</t>
  </si>
  <si>
    <t>22,70,27,69,740.90</t>
  </si>
  <si>
    <t>3,94,127</t>
  </si>
  <si>
    <t>1,38,574</t>
  </si>
  <si>
    <t>1,37,57,080</t>
  </si>
  <si>
    <t>13,51,71,76,056.05</t>
  </si>
  <si>
    <t>2,37,034</t>
  </si>
  <si>
    <t>78,47,563</t>
  </si>
  <si>
    <t>10,74,21,61,678.40</t>
  </si>
  <si>
    <t>1,96,55,689</t>
  </si>
  <si>
    <t>2,09,277</t>
  </si>
  <si>
    <t>30,39,11,36,875.00</t>
  </si>
  <si>
    <t>3,84,451</t>
  </si>
  <si>
    <t>12,74,331</t>
  </si>
  <si>
    <t>1,86,34,254</t>
  </si>
  <si>
    <t>4,47,54,40,377.40</t>
  </si>
  <si>
    <t>18,20,84,00,781.70</t>
  </si>
  <si>
    <t>2,80,003</t>
  </si>
  <si>
    <t>1,32,23,177</t>
  </si>
  <si>
    <t>97,39,549</t>
  </si>
  <si>
    <t>14,63,71,69,031.70</t>
  </si>
  <si>
    <t>18,03,59,88,833.70</t>
  </si>
  <si>
    <t>2,36,102</t>
  </si>
  <si>
    <t>2,00,473</t>
  </si>
  <si>
    <t>2,29,34,382</t>
  </si>
  <si>
    <t>22,37,09,80,681.75</t>
  </si>
  <si>
    <t>9,67,470</t>
  </si>
  <si>
    <t>79,10,354</t>
  </si>
  <si>
    <t>2,17,173</t>
  </si>
  <si>
    <t>3,42,13,30,419.50</t>
  </si>
  <si>
    <t>11,88,42,61,119.20</t>
  </si>
  <si>
    <t>57,77,575</t>
  </si>
  <si>
    <t>2,71,436</t>
  </si>
  <si>
    <t>7,91,73,73,815.60</t>
  </si>
  <si>
    <t>1,42,951</t>
  </si>
  <si>
    <t>2,33,10,447</t>
  </si>
  <si>
    <t>75,25,119</t>
  </si>
  <si>
    <t>11,20,73,98,254.70</t>
  </si>
  <si>
    <t>22,82,77,42,875.95</t>
  </si>
  <si>
    <t>1,64,811</t>
  </si>
  <si>
    <t>2,51,500</t>
  </si>
  <si>
    <t>69,86,720</t>
  </si>
  <si>
    <t>9,63,76,80,456.60</t>
  </si>
  <si>
    <t>1,31,052</t>
  </si>
  <si>
    <t>24,67,680</t>
  </si>
  <si>
    <t>8,63,77,18,829.70</t>
  </si>
  <si>
    <t>1,65,908</t>
  </si>
  <si>
    <t>1,09,81,126</t>
  </si>
  <si>
    <t>16,81,73,87,454.20</t>
  </si>
  <si>
    <t>2,12,749</t>
  </si>
  <si>
    <t>2,29,36,566</t>
  </si>
  <si>
    <t>22,69,06,15,843.35</t>
  </si>
  <si>
    <t>3,62,882</t>
  </si>
  <si>
    <t>97,54,452</t>
  </si>
  <si>
    <t>13,41,66,75,656.70</t>
  </si>
  <si>
    <t>2,09,637</t>
  </si>
  <si>
    <t>12,22,933</t>
  </si>
  <si>
    <t>73,87,584</t>
  </si>
  <si>
    <t>11,37,39,29,222.90</t>
  </si>
  <si>
    <t>4,28,18,80,586.60</t>
  </si>
  <si>
    <t>1,74,272</t>
  </si>
  <si>
    <t>2,52,10,511</t>
  </si>
  <si>
    <t>25,25,47,61,309.80</t>
  </si>
  <si>
    <t>3,71,430</t>
  </si>
  <si>
    <t>77,90,815</t>
  </si>
  <si>
    <t>10,75,22,66,849.20</t>
  </si>
  <si>
    <t>2,22,655</t>
  </si>
  <si>
    <t>91,86,302</t>
  </si>
  <si>
    <t>14,18,20,74,317.80</t>
  </si>
  <si>
    <t>2,27,357</t>
  </si>
  <si>
    <t>2,21,95,202</t>
  </si>
  <si>
    <t>31,88,072</t>
  </si>
  <si>
    <t>22,30,79,32,790.70</t>
  </si>
  <si>
    <t>11,15,90,21,439.90</t>
  </si>
  <si>
    <t>4,16,206</t>
  </si>
  <si>
    <t>1,46,463</t>
  </si>
  <si>
    <t>97,66,072</t>
  </si>
  <si>
    <t>13,50,14,79,258.50</t>
  </si>
  <si>
    <t>1,73,431</t>
  </si>
  <si>
    <t>1,92,70,381</t>
  </si>
  <si>
    <t>30,03,69,94,341.40</t>
  </si>
  <si>
    <t>2,67,249</t>
  </si>
  <si>
    <t>74,03,368</t>
  </si>
  <si>
    <t>10,31,06,08,459.50</t>
  </si>
  <si>
    <t>81,07,952</t>
  </si>
  <si>
    <t>1,56,369</t>
  </si>
  <si>
    <t>12,42,17,20,830.60</t>
  </si>
  <si>
    <t>34,71,600</t>
  </si>
  <si>
    <t>1,70,664</t>
  </si>
  <si>
    <t>3,49,99,06,215.35</t>
  </si>
  <si>
    <t>34,04,365</t>
  </si>
  <si>
    <t>11,82,60,74,213.60</t>
  </si>
  <si>
    <t>1,04,081</t>
  </si>
  <si>
    <t>53,96,697</t>
  </si>
  <si>
    <t>7,53,36,35,758.20</t>
  </si>
  <si>
    <t>1,30,728</t>
  </si>
  <si>
    <t>4,35,26,526</t>
  </si>
  <si>
    <t>75,75,038</t>
  </si>
  <si>
    <t>44,10,04,30,667.15</t>
  </si>
  <si>
    <t>11,74,67,21,789.00</t>
  </si>
  <si>
    <t>5,18,216</t>
  </si>
  <si>
    <t>1,22,796</t>
  </si>
  <si>
    <t>86,86,961</t>
  </si>
  <si>
    <t>12,19,64,51,860.10</t>
  </si>
  <si>
    <t>18,77,585</t>
  </si>
  <si>
    <t>1,70,452</t>
  </si>
  <si>
    <t>6,46,16,35,240.30</t>
  </si>
  <si>
    <t>1,05,414</t>
  </si>
  <si>
    <t>75,52,252</t>
  </si>
  <si>
    <t>11,80,76,63,907.20</t>
  </si>
  <si>
    <t>1,77,07,768</t>
  </si>
  <si>
    <t>1,68,875</t>
  </si>
  <si>
    <t>17,69,70,89,817.30</t>
  </si>
  <si>
    <t>3,62,016</t>
  </si>
  <si>
    <t>75,19,417</t>
  </si>
  <si>
    <t>10,61,78,06,261.00</t>
  </si>
  <si>
    <t>1,89,638</t>
  </si>
  <si>
    <t>44,53,221</t>
  </si>
  <si>
    <t>6,95,56,03,409.70</t>
  </si>
  <si>
    <t>1,15,190</t>
  </si>
  <si>
    <t>28,48,125</t>
  </si>
  <si>
    <t>1,57,00,796</t>
  </si>
  <si>
    <t>9,73,61,54,029.80</t>
  </si>
  <si>
    <t>15,76,22,65,430.25</t>
  </si>
  <si>
    <t>1,95,278</t>
  </si>
  <si>
    <t>2,97,938</t>
  </si>
  <si>
    <t>93,32,642</t>
  </si>
  <si>
    <t>53,41,800</t>
  </si>
  <si>
    <t>13,20,85,89,778.10</t>
  </si>
  <si>
    <t>8,35,68,20,751.00</t>
  </si>
  <si>
    <t>1,82,559</t>
  </si>
  <si>
    <t>1,89,364</t>
  </si>
  <si>
    <t>3,39,04,289</t>
  </si>
  <si>
    <t>33,94,41,77,651.40</t>
  </si>
  <si>
    <t>4,23,621</t>
  </si>
  <si>
    <t>25,44,807</t>
  </si>
  <si>
    <t>63,35,969</t>
  </si>
  <si>
    <t>8,60,87,17,239.60</t>
  </si>
  <si>
    <t>9,91,08,27,669.40</t>
  </si>
  <si>
    <t>2,43,238</t>
  </si>
  <si>
    <t>1,85,107</t>
  </si>
  <si>
    <t>1,34,61,373</t>
  </si>
  <si>
    <t>18,95,93,42,246.10</t>
  </si>
  <si>
    <t>1,28,95,312</t>
  </si>
  <si>
    <t>1,43,644</t>
  </si>
  <si>
    <t>20,29,91,83,597.60</t>
  </si>
  <si>
    <t>3,39,751</t>
  </si>
  <si>
    <t>1,77,69,445</t>
  </si>
  <si>
    <t>17,90,96,76,109.65</t>
  </si>
  <si>
    <t>2,81,715</t>
  </si>
  <si>
    <t>35,84,683</t>
  </si>
  <si>
    <t>12,11,76,23,680.00</t>
  </si>
  <si>
    <t>1,26,09,619</t>
  </si>
  <si>
    <t>1,29,913</t>
  </si>
  <si>
    <t>20,06,84,24,408.50</t>
  </si>
  <si>
    <t>3,25,755</t>
  </si>
  <si>
    <t>77,57,970</t>
  </si>
  <si>
    <t>10,86,82,28,760.60</t>
  </si>
  <si>
    <t>1,36,991</t>
  </si>
  <si>
    <t>1,99,62,917</t>
  </si>
  <si>
    <t>19,99,35,06,579.25</t>
  </si>
  <si>
    <t>3,65,104</t>
  </si>
  <si>
    <t>1,03,44,725</t>
  </si>
  <si>
    <t>16,73,55,28,909.20</t>
  </si>
  <si>
    <t>3,27,955</t>
  </si>
  <si>
    <t>1,40,14,702</t>
  </si>
  <si>
    <t>20,70,390</t>
  </si>
  <si>
    <t>19,44,63,55,038.70</t>
  </si>
  <si>
    <t>6,99,08,55,288.40</t>
  </si>
  <si>
    <t>2,10,931</t>
  </si>
  <si>
    <t>2,32,21,330</t>
  </si>
  <si>
    <t>22,97,45,58,984.15</t>
  </si>
  <si>
    <t>4,54,775</t>
  </si>
  <si>
    <t>75,50,413</t>
  </si>
  <si>
    <t>12,20,75,31,800.50</t>
  </si>
  <si>
    <t>3,02,234</t>
  </si>
  <si>
    <t>1,66,07,180</t>
  </si>
  <si>
    <t>59,22,759</t>
  </si>
  <si>
    <t>16,46,02,36,700.55</t>
  </si>
  <si>
    <t>17,18,678</t>
  </si>
  <si>
    <t>8,21,67,78,017.50</t>
  </si>
  <si>
    <t>69,57,599</t>
  </si>
  <si>
    <t>2,88,032</t>
  </si>
  <si>
    <t>5,87,90,53,289.40</t>
  </si>
  <si>
    <t>11,10,62,55,546.90</t>
  </si>
  <si>
    <t>1,20,399</t>
  </si>
  <si>
    <t>1,56,650</t>
  </si>
  <si>
    <t>51,16,140</t>
  </si>
  <si>
    <t>2,00,24,544</t>
  </si>
  <si>
    <t>8,13,89,64,777.00</t>
  </si>
  <si>
    <t>1,91,185</t>
  </si>
  <si>
    <t>19,82,85,27,608.75</t>
  </si>
  <si>
    <t>1,14,11,143</t>
  </si>
  <si>
    <t>3,02,828</t>
  </si>
  <si>
    <t>15,69,63,73,894.00</t>
  </si>
  <si>
    <t>1,55,102</t>
  </si>
  <si>
    <t>24,19,874</t>
  </si>
  <si>
    <t>8,37,90,90,971.30</t>
  </si>
  <si>
    <t>1,09,195</t>
  </si>
  <si>
    <t>51,59,319</t>
  </si>
  <si>
    <t>8,21,79,52,937.00</t>
  </si>
  <si>
    <t>1,54,906</t>
  </si>
  <si>
    <t>2,22,79,516</t>
  </si>
  <si>
    <t>21,93,38,18,395.90</t>
  </si>
  <si>
    <t>98,79,109</t>
  </si>
  <si>
    <t>2,78,532</t>
  </si>
  <si>
    <t>13,59,73,42,647.00</t>
  </si>
  <si>
    <t>1,48,644</t>
  </si>
  <si>
    <t>46,33,912</t>
  </si>
  <si>
    <t>7,38,61,37,017.50</t>
  </si>
  <si>
    <t>28,47,013</t>
  </si>
  <si>
    <t>1,44,042</t>
  </si>
  <si>
    <t>9,88,45,49,517.90</t>
  </si>
  <si>
    <t>1,63,525</t>
  </si>
  <si>
    <t>1,50,04,568</t>
  </si>
  <si>
    <t>1,42,31,999</t>
  </si>
  <si>
    <t>14,70,38,32,279.80</t>
  </si>
  <si>
    <t>19,58,01,10,793.70</t>
  </si>
  <si>
    <t>3,15,369</t>
  </si>
  <si>
    <t>2,13,268</t>
  </si>
  <si>
    <t>41,90,558</t>
  </si>
  <si>
    <t>6,72,11,34,417.80</t>
  </si>
  <si>
    <t>1,63,737</t>
  </si>
  <si>
    <t>40,60,134</t>
  </si>
  <si>
    <t>13,99,57,94,452.10</t>
  </si>
  <si>
    <t>1,64,333</t>
  </si>
  <si>
    <t>1,59,88,262</t>
  </si>
  <si>
    <t>15,76,73,86,584.00</t>
  </si>
  <si>
    <t>3,73,004</t>
  </si>
  <si>
    <t>54,99,258</t>
  </si>
  <si>
    <t>8,75,35,33,458.70</t>
  </si>
  <si>
    <t>2,20,591</t>
  </si>
  <si>
    <t>1,46,04,684</t>
  </si>
  <si>
    <t>19,95,75,82,304.90</t>
  </si>
  <si>
    <t>2,23,375</t>
  </si>
  <si>
    <t>1,02,00,530</t>
  </si>
  <si>
    <t>48,17,628</t>
  </si>
  <si>
    <t>21,78,493</t>
  </si>
  <si>
    <t>10,07,05,24,484.25</t>
  </si>
  <si>
    <t>7,70,92,07,454.90</t>
  </si>
  <si>
    <t>2,29,810</t>
  </si>
  <si>
    <t>7,48,56,89,915.90</t>
  </si>
  <si>
    <t>1,55,044</t>
  </si>
  <si>
    <t>1,40,820</t>
  </si>
  <si>
    <t>1,20,45,916</t>
  </si>
  <si>
    <t>16,49,76,35,567.10</t>
  </si>
  <si>
    <t>2,58,017</t>
  </si>
  <si>
    <t>65,77,293</t>
  </si>
  <si>
    <t>10,67,94,09,219.40</t>
  </si>
  <si>
    <t>1,31,37,263</t>
  </si>
  <si>
    <t>2,88,341</t>
  </si>
  <si>
    <t>13,03,40,39,694.95</t>
  </si>
  <si>
    <t>19,34,088</t>
  </si>
  <si>
    <t>6,75,57,88,711.20</t>
  </si>
  <si>
    <t>1,28,42,347</t>
  </si>
  <si>
    <t>1,09,847</t>
  </si>
  <si>
    <t>17,49,29,14,973.80</t>
  </si>
  <si>
    <t>2,16,161</t>
  </si>
  <si>
    <t>1,31,49,023</t>
  </si>
  <si>
    <t>21,56,46,29,614.10</t>
  </si>
  <si>
    <t>2,01,281</t>
  </si>
  <si>
    <t>1,41,24,839</t>
  </si>
  <si>
    <t>13,93,18,55,903.95</t>
  </si>
  <si>
    <t>2,89,471</t>
  </si>
  <si>
    <t>1,23,96,580</t>
  </si>
  <si>
    <t>16,95,66,55,218.30</t>
  </si>
  <si>
    <t>21,11,940</t>
  </si>
  <si>
    <t>2,30,98,923</t>
  </si>
  <si>
    <t>1,84,550</t>
  </si>
  <si>
    <t>7,41,55,51,942.20</t>
  </si>
  <si>
    <t>38,87,22,18,965.50</t>
  </si>
  <si>
    <t>1,45,498</t>
  </si>
  <si>
    <t>4,12,335</t>
  </si>
  <si>
    <t>2,13,86,965</t>
  </si>
  <si>
    <t>21,06,50,33,481.45</t>
  </si>
  <si>
    <t>3,01,431</t>
  </si>
  <si>
    <t>65,93,060</t>
  </si>
  <si>
    <t>1,12,44,040</t>
  </si>
  <si>
    <t>10,98,63,62,727.70</t>
  </si>
  <si>
    <t>15,59,31,76,402.20</t>
  </si>
  <si>
    <t>2,28,310</t>
  </si>
  <si>
    <t>1,96,055</t>
  </si>
  <si>
    <t>26,96,327</t>
  </si>
  <si>
    <t>9,39,33,97,237.60</t>
  </si>
  <si>
    <t>1,03,359</t>
  </si>
  <si>
    <t>1,83,96,408</t>
  </si>
  <si>
    <t>18,28,36,67,280.45</t>
  </si>
  <si>
    <t>1,97,155</t>
  </si>
  <si>
    <t>42,71,167</t>
  </si>
  <si>
    <t>7,09,24,30,849.40</t>
  </si>
  <si>
    <t>1,42,602</t>
  </si>
  <si>
    <t>85,25,081</t>
  </si>
  <si>
    <t>11,69,32,12,975.10</t>
  </si>
  <si>
    <t>2,14,245</t>
  </si>
  <si>
    <t>2,00,02,640</t>
  </si>
  <si>
    <t>19,89,62,87,879.55</t>
  </si>
  <si>
    <t>2,17,914</t>
  </si>
  <si>
    <t>26,72,768</t>
  </si>
  <si>
    <t>20,06,491</t>
  </si>
  <si>
    <t>9,15,83,51,862.50</t>
  </si>
  <si>
    <t>3,32,65,44,399.90</t>
  </si>
  <si>
    <t>1,25,292</t>
  </si>
  <si>
    <t>88,26,633</t>
  </si>
  <si>
    <t>12,14,76,69,213.50</t>
  </si>
  <si>
    <t>2,17,890</t>
  </si>
  <si>
    <t>1,98,13,847</t>
  </si>
  <si>
    <t>19,60,91,99,278.35</t>
  </si>
  <si>
    <t>2,01,324</t>
  </si>
  <si>
    <t>40,62,817</t>
  </si>
  <si>
    <t>6,69,26,75,971.00</t>
  </si>
  <si>
    <t>1,03,013</t>
  </si>
  <si>
    <t>23,51,248</t>
  </si>
  <si>
    <t>8,06,98,55,528.70</t>
  </si>
  <si>
    <t>63,73,084</t>
  </si>
  <si>
    <t>1,00,374</t>
  </si>
  <si>
    <t>8,81,53,17,323.10</t>
  </si>
  <si>
    <t>1,93,985</t>
  </si>
  <si>
    <t>1,98,50,865</t>
  </si>
  <si>
    <t>19,92,64,17,239.25</t>
  </si>
  <si>
    <t>2,54,686</t>
  </si>
  <si>
    <t>93,95,937</t>
  </si>
  <si>
    <t>15,27,51,31,268.30</t>
  </si>
  <si>
    <t>1,50,131</t>
  </si>
  <si>
    <t>76,00,682</t>
  </si>
  <si>
    <t>31,23,421</t>
  </si>
  <si>
    <t>10,43,34,92,493.50</t>
  </si>
  <si>
    <t>1,75,585</t>
  </si>
  <si>
    <t>10,59,52,71,627.80</t>
  </si>
  <si>
    <t>1,53,401</t>
  </si>
  <si>
    <t>1,74,99,897</t>
  </si>
  <si>
    <t>65,38,656</t>
  </si>
  <si>
    <t>10,57,02,70,246.20</t>
  </si>
  <si>
    <t>17,51,86,94,760.00</t>
  </si>
  <si>
    <t>1,02,413</t>
  </si>
  <si>
    <t>2,71,649</t>
  </si>
  <si>
    <t>97,68,174</t>
  </si>
  <si>
    <t>13,45,53,95,764.80</t>
  </si>
  <si>
    <t>1,64,937</t>
  </si>
  <si>
    <t>36,58,165</t>
  </si>
  <si>
    <t>5,96,56,15,873.20</t>
  </si>
  <si>
    <t>34,03,048</t>
  </si>
  <si>
    <t>3,22,04,053</t>
  </si>
  <si>
    <t>11,59,91,75,864.40</t>
  </si>
  <si>
    <t>32,26,16,18,761.75</t>
  </si>
  <si>
    <t>1,78,183</t>
  </si>
  <si>
    <t>2,80,226</t>
  </si>
  <si>
    <t>1,08,82,743</t>
  </si>
  <si>
    <t>14,98,71,55,897.30</t>
  </si>
  <si>
    <t>25,24,526</t>
  </si>
  <si>
    <t>2,39,811</t>
  </si>
  <si>
    <t>4,13,68,08,012.60</t>
  </si>
  <si>
    <t>2,49,89,383</t>
  </si>
  <si>
    <t>24,86,65,05,641.80</t>
  </si>
  <si>
    <t>2,75,451</t>
  </si>
  <si>
    <t>17,57,699</t>
  </si>
  <si>
    <t>6,01,54,21,913.00</t>
  </si>
  <si>
    <t>1,01,280</t>
  </si>
  <si>
    <t>59,17,885</t>
  </si>
  <si>
    <t>1,23,15,932</t>
  </si>
  <si>
    <t>9,48,52,45,520.40</t>
  </si>
  <si>
    <t>17,08,46,36,046.80</t>
  </si>
  <si>
    <t>2,20,171</t>
  </si>
  <si>
    <t>2,87,913</t>
  </si>
  <si>
    <t>1,94,94,356</t>
  </si>
  <si>
    <t>19,48,61,97,443.70</t>
  </si>
  <si>
    <t>2,07,998</t>
  </si>
  <si>
    <t>44,66,729</t>
  </si>
  <si>
    <t>7,20,15,00,282.70</t>
  </si>
  <si>
    <t>1,93,35,561</t>
  </si>
  <si>
    <t>1,32,512</t>
  </si>
  <si>
    <t>28,79,106</t>
  </si>
  <si>
    <t>27,33,62,05,033.00</t>
  </si>
  <si>
    <t>3,50,761</t>
  </si>
  <si>
    <t>9,89,75,01,153.90</t>
  </si>
  <si>
    <t>1,43,687</t>
  </si>
  <si>
    <t>2,55,36,848</t>
  </si>
  <si>
    <t>25,81,63,56,116.10</t>
  </si>
  <si>
    <t>3,13,073</t>
  </si>
  <si>
    <t>45,08,079</t>
  </si>
  <si>
    <t>7,36,27,15,155.00</t>
  </si>
  <si>
    <t>1,29,457</t>
  </si>
  <si>
    <t>2,47,21,978</t>
  </si>
  <si>
    <t>36,13,76,73,257.50</t>
  </si>
  <si>
    <t>5,12,798</t>
  </si>
  <si>
    <t>1,59,88,807</t>
  </si>
  <si>
    <t>16,13,15,18,093.40</t>
  </si>
  <si>
    <t>39,42,131</t>
  </si>
  <si>
    <t>17,78,433</t>
  </si>
  <si>
    <t>1,78,196</t>
  </si>
  <si>
    <t>6,38,48,66,730.40</t>
  </si>
  <si>
    <t>1,30,780</t>
  </si>
  <si>
    <t>6,12,69,78,962.50</t>
  </si>
  <si>
    <t>20,66,169</t>
  </si>
  <si>
    <t>1,22,369</t>
  </si>
  <si>
    <t>3,03,28,61,642.80</t>
  </si>
  <si>
    <t>68,16,681</t>
  </si>
  <si>
    <t>11,01,81,32,001.70</t>
  </si>
  <si>
    <t>1,67,46,566</t>
  </si>
  <si>
    <t>1,31,498</t>
  </si>
  <si>
    <t>16,84,13,29,243.20</t>
  </si>
  <si>
    <t>2,82,719</t>
  </si>
  <si>
    <t>1,87,07,090</t>
  </si>
  <si>
    <t>27,40,03,74,842.50</t>
  </si>
  <si>
    <t>3,76,220</t>
  </si>
  <si>
    <t>14,68,351</t>
  </si>
  <si>
    <t>5,06,88,27,379.20</t>
  </si>
  <si>
    <t>1,30,938</t>
  </si>
  <si>
    <t>69,85,362</t>
  </si>
  <si>
    <t>11,17,42,99,825.40</t>
  </si>
  <si>
    <t>2,10,446</t>
  </si>
  <si>
    <t>2,73,16,662</t>
  </si>
  <si>
    <t>27,05,01,86,723.20</t>
  </si>
  <si>
    <t>3,63,303</t>
  </si>
  <si>
    <t>97,00,837</t>
  </si>
  <si>
    <t>14,06,86,22,023.20</t>
  </si>
  <si>
    <t>2,21,258</t>
  </si>
  <si>
    <t>80,80,618</t>
  </si>
  <si>
    <t>12,89,05,13,857.40</t>
  </si>
  <si>
    <t>1,76,411</t>
  </si>
  <si>
    <t>23,75,183</t>
  </si>
  <si>
    <t>1,54,48,777</t>
  </si>
  <si>
    <t>8,16,83,54,151.00</t>
  </si>
  <si>
    <t>15,35,36,18,863.90</t>
  </si>
  <si>
    <t>1,41,13,867</t>
  </si>
  <si>
    <t>1,25,874</t>
  </si>
  <si>
    <t>2,22,651</t>
  </si>
  <si>
    <t>20,89,18,82,342.50</t>
  </si>
  <si>
    <t>2,74,839</t>
  </si>
  <si>
    <t>75,57,157</t>
  </si>
  <si>
    <t>12,07,98,66,717.30</t>
  </si>
  <si>
    <t>1,57,399</t>
  </si>
  <si>
    <t>1,76,31,577</t>
  </si>
  <si>
    <t>26,18,22,48,923.90</t>
  </si>
  <si>
    <t>3,14,894</t>
  </si>
  <si>
    <t>1,45,28,169</t>
  </si>
  <si>
    <t>14,50,32,48,744.00</t>
  </si>
  <si>
    <t>2,41,847</t>
  </si>
  <si>
    <t>30,90,585</t>
  </si>
  <si>
    <t>10,64,84,36,048.10</t>
  </si>
  <si>
    <t>1,93,35,957</t>
  </si>
  <si>
    <t>1,11,947</t>
  </si>
  <si>
    <t>32,47,32,41,076.50</t>
  </si>
  <si>
    <t>4,04,792</t>
  </si>
  <si>
    <t>1,18,84,745</t>
  </si>
  <si>
    <t>17,85,88,00,582.60</t>
  </si>
  <si>
    <t>2,19,504</t>
  </si>
  <si>
    <t>1,28,43,366</t>
  </si>
  <si>
    <t>12,85,43,50,197.30</t>
  </si>
  <si>
    <t>1,92,024</t>
  </si>
  <si>
    <t>51,04,958</t>
  </si>
  <si>
    <t>8,57,11,26,563.30</t>
  </si>
  <si>
    <t>1,44,195</t>
  </si>
  <si>
    <t>93,18,663</t>
  </si>
  <si>
    <t>13,90,59,20,959.90</t>
  </si>
  <si>
    <t>25,31,870</t>
  </si>
  <si>
    <t>2,76,397</t>
  </si>
  <si>
    <t>8,64,52,07,975.40</t>
  </si>
  <si>
    <t>1,31,370</t>
  </si>
  <si>
    <t>1,29,01,022</t>
  </si>
  <si>
    <t>12,92,94,80,947.90</t>
  </si>
  <si>
    <t>87,58,053</t>
  </si>
  <si>
    <t>64,06,503</t>
  </si>
  <si>
    <t>2,19,872</t>
  </si>
  <si>
    <t>13,03,02,57,785.30</t>
  </si>
  <si>
    <t>10,66,17,23,561.20</t>
  </si>
  <si>
    <t>2,06,898</t>
  </si>
  <si>
    <t>1,90,297</t>
  </si>
  <si>
    <t>11,09,320</t>
  </si>
  <si>
    <t>3,78,71,17,009.90</t>
  </si>
  <si>
    <t>84,52,085</t>
  </si>
  <si>
    <t>12,57,91,61,982.90</t>
  </si>
  <si>
    <t>2,45,664</t>
  </si>
  <si>
    <t>1,52,94,322</t>
  </si>
  <si>
    <t>62,24,582</t>
  </si>
  <si>
    <t>15,27,41,86,067.40</t>
  </si>
  <si>
    <t>10,26,01,52,588.00</t>
  </si>
  <si>
    <t>2,06,598</t>
  </si>
  <si>
    <t>1,95,264</t>
  </si>
  <si>
    <t>1,00,07,806</t>
  </si>
  <si>
    <t>14,82,11,44,472.70</t>
  </si>
  <si>
    <t>2,18,103</t>
  </si>
  <si>
    <t>62,28,892</t>
  </si>
  <si>
    <t>1,53,22,830</t>
  </si>
  <si>
    <t>10,34,66,90,586.50</t>
  </si>
  <si>
    <t>15,18,34,09,188.40</t>
  </si>
  <si>
    <t>1,84,046</t>
  </si>
  <si>
    <t>2,75,347</t>
  </si>
  <si>
    <t>1,67,72,678</t>
  </si>
  <si>
    <t>25,05,96,56,533.30</t>
  </si>
  <si>
    <t>2,69,902</t>
  </si>
  <si>
    <t>58,69,137</t>
  </si>
  <si>
    <t>9,79,45,71,597.00</t>
  </si>
  <si>
    <t>78,21,765</t>
  </si>
  <si>
    <t>1,52,342</t>
  </si>
  <si>
    <t>1,18,44,809</t>
  </si>
  <si>
    <t>11,62,87,33,264.10</t>
  </si>
  <si>
    <t>1,39,608</t>
  </si>
  <si>
    <t>16,39,174</t>
  </si>
  <si>
    <t>11,80,88,32,354.30</t>
  </si>
  <si>
    <t>5,60,22,06,127.80</t>
  </si>
  <si>
    <t>1,77,935</t>
  </si>
  <si>
    <t>70,68,438</t>
  </si>
  <si>
    <t>1,06,73,087</t>
  </si>
  <si>
    <t>10,55,09,78,254.30</t>
  </si>
  <si>
    <t>17,92,05,91,239.00</t>
  </si>
  <si>
    <t>1,54,602</t>
  </si>
  <si>
    <t>2,23,960</t>
  </si>
  <si>
    <t>1,19,88,618</t>
  </si>
  <si>
    <t>12,00,68,83,854.10</t>
  </si>
  <si>
    <t>1,53,825</t>
  </si>
  <si>
    <t>23,25,242</t>
  </si>
  <si>
    <t>7,92,21,16,743.70</t>
  </si>
  <si>
    <t>71,27,506</t>
  </si>
  <si>
    <t>1,78,045</t>
  </si>
  <si>
    <t>10,61,69,76,771.80</t>
  </si>
  <si>
    <t>1,49,607</t>
  </si>
  <si>
    <t>85,88,664</t>
  </si>
  <si>
    <t>14,28,12,57,133.20</t>
  </si>
  <si>
    <t>1,80,512</t>
  </si>
  <si>
    <t>97,90,060</t>
  </si>
  <si>
    <t>9,75,03,88,373.60</t>
  </si>
  <si>
    <t>1,82,612</t>
  </si>
  <si>
    <t>1,23,84,459</t>
  </si>
  <si>
    <t>18,76,25,17,172.20</t>
  </si>
  <si>
    <t>2,52,417</t>
  </si>
  <si>
    <t>47,49,582</t>
  </si>
  <si>
    <t>7,86,42,68,075.70</t>
  </si>
  <si>
    <t>20,34,938</t>
  </si>
  <si>
    <t>1,59,472</t>
  </si>
  <si>
    <t>6,89,26,61,354.30</t>
  </si>
  <si>
    <t>1,91,376</t>
  </si>
  <si>
    <t>71,96,443</t>
  </si>
  <si>
    <t>10,89,79,56,389.70</t>
  </si>
  <si>
    <t>2,00,49,088</t>
  </si>
  <si>
    <t>2,09,774</t>
  </si>
  <si>
    <t>19,94,36,98,733.60</t>
  </si>
  <si>
    <t>3,07,140</t>
  </si>
  <si>
    <t>92,07,926</t>
  </si>
  <si>
    <t>15,05,03,41,851.30</t>
  </si>
  <si>
    <t>1,67,212</t>
  </si>
  <si>
    <t>76,82,823</t>
  </si>
  <si>
    <t>11,65,10,84,505.30</t>
  </si>
  <si>
    <t>1,94,941</t>
  </si>
  <si>
    <t>30,35,012</t>
  </si>
  <si>
    <t>1,90,80,922</t>
  </si>
  <si>
    <t>10,25,53,61,029.90</t>
  </si>
  <si>
    <t>18,79,88,80,243.80</t>
  </si>
  <si>
    <t>2,88,605</t>
  </si>
  <si>
    <t>1,76,792</t>
  </si>
  <si>
    <t>62,41,188</t>
  </si>
  <si>
    <t>10,25,61,30,696.20</t>
  </si>
  <si>
    <t>58,71,416</t>
  </si>
  <si>
    <t>1,56,229</t>
  </si>
  <si>
    <t>8,90,62,94,222.30</t>
  </si>
  <si>
    <t>1,23,473</t>
  </si>
  <si>
    <t>1,49,12,404</t>
  </si>
  <si>
    <t>67,84,887</t>
  </si>
  <si>
    <t>1,10,45,042</t>
  </si>
  <si>
    <t>14,63,61,96,743.00</t>
  </si>
  <si>
    <t>11,06,91,32,917.00</t>
  </si>
  <si>
    <t>16,79,05,05,249.50</t>
  </si>
  <si>
    <t>4,12,559</t>
  </si>
  <si>
    <t>1,65,850</t>
  </si>
  <si>
    <t>2,21,651</t>
  </si>
  <si>
    <t>76,35,550</t>
  </si>
  <si>
    <t>25,16,25,51,686.40</t>
  </si>
  <si>
    <t>5,52,284</t>
  </si>
  <si>
    <t>88,05,868</t>
  </si>
  <si>
    <t>56,92,366</t>
  </si>
  <si>
    <t>2,59,52,384</t>
  </si>
  <si>
    <t>14,73,90,39,549.50</t>
  </si>
  <si>
    <t>25,56,06,67,946.00</t>
  </si>
  <si>
    <t>2,13,721</t>
  </si>
  <si>
    <t>8,64,46,40,452.70</t>
  </si>
  <si>
    <t>2,46,675</t>
  </si>
  <si>
    <t>1,31,481</t>
  </si>
  <si>
    <t>39,24,009</t>
  </si>
  <si>
    <t>12,65,38,11,861.80</t>
  </si>
  <si>
    <t>3,96,894</t>
  </si>
  <si>
    <t>2,88,28,622</t>
  </si>
  <si>
    <t>1,81,71,724</t>
  </si>
  <si>
    <t>44,37,79,56,079.30</t>
  </si>
  <si>
    <t>28,04,93,06,041.50</t>
  </si>
  <si>
    <t>7,08,823</t>
  </si>
  <si>
    <t>1,35,40,411</t>
  </si>
  <si>
    <t>2,46,552</t>
  </si>
  <si>
    <t>13,37,28,75,582.70</t>
  </si>
  <si>
    <t>2,53,393</t>
  </si>
  <si>
    <t>25,90,889</t>
  </si>
  <si>
    <t>96,15,271</t>
  </si>
  <si>
    <t>8,40,30,81,368.10</t>
  </si>
  <si>
    <t>1,06,28,127</t>
  </si>
  <si>
    <t>14,89,73,85,970.30</t>
  </si>
  <si>
    <t>1,71,257</t>
  </si>
  <si>
    <t>16,24,44,89,094.30</t>
  </si>
  <si>
    <t>2,40,250</t>
  </si>
  <si>
    <t>3,21,300</t>
  </si>
  <si>
    <t>1,79,27,849</t>
  </si>
  <si>
    <t>17,83,48,64,449.30</t>
  </si>
  <si>
    <t>2,27,121</t>
  </si>
  <si>
    <t>1,84,33,951</t>
  </si>
  <si>
    <t>28,33,78,41,303.40</t>
  </si>
  <si>
    <t>1,98,313</t>
  </si>
  <si>
    <t>1,39,00,866</t>
  </si>
  <si>
    <t>20,86,19,38,490.90</t>
  </si>
  <si>
    <t>3,78,234</t>
  </si>
  <si>
    <t>25,40,733</t>
  </si>
  <si>
    <t>8,22,15,86,412.60</t>
  </si>
  <si>
    <t>1,72,998</t>
  </si>
  <si>
    <t>1,36,99,996</t>
  </si>
  <si>
    <t>13,64,98,27,358.40</t>
  </si>
  <si>
    <t>2,03,107</t>
  </si>
  <si>
    <t>1,50,33,482</t>
  </si>
  <si>
    <t>23,24,69,09,829.70</t>
  </si>
  <si>
    <t>82,94,615</t>
  </si>
  <si>
    <t>2,99,805</t>
  </si>
  <si>
    <t>12,45,24,82,086.60</t>
  </si>
  <si>
    <t>2,17,667</t>
  </si>
  <si>
    <t>93,60,853</t>
  </si>
  <si>
    <t>9,28,89,52,052.70</t>
  </si>
  <si>
    <t>1,96,688</t>
  </si>
  <si>
    <t>1,40,54,299</t>
  </si>
  <si>
    <t>86,57,000</t>
  </si>
  <si>
    <t>21,96,65,88,733.90</t>
  </si>
  <si>
    <t>12,99,71,37,147.00</t>
  </si>
  <si>
    <t>2,85,274</t>
  </si>
  <si>
    <t>1,93,569</t>
  </si>
  <si>
    <t>29,47,640</t>
  </si>
  <si>
    <t>9,49,28,07,475.50</t>
  </si>
  <si>
    <t>1,57,207</t>
  </si>
  <si>
    <t>1,35,45,749</t>
  </si>
  <si>
    <t>13,42,79,99,756.00</t>
  </si>
  <si>
    <t>1,90,711</t>
  </si>
  <si>
    <t>97,94,643</t>
  </si>
  <si>
    <t>15,31,57,04,900.90</t>
  </si>
  <si>
    <t>79,34,411</t>
  </si>
  <si>
    <t>2,78,929</t>
  </si>
  <si>
    <t>11,76,44,23,683.40</t>
  </si>
  <si>
    <t>2,15,446</t>
  </si>
  <si>
    <t>34,32,645</t>
  </si>
  <si>
    <t>3,31,55,849</t>
  </si>
  <si>
    <t>10,98,83,48,160.40</t>
  </si>
  <si>
    <t>32,79,62,79,701.40</t>
  </si>
  <si>
    <t>3,93,869</t>
  </si>
  <si>
    <t>1,95,464</t>
  </si>
  <si>
    <t>2,60,48,896</t>
  </si>
  <si>
    <t>89,59,508</t>
  </si>
  <si>
    <t>36,43,18,34,029.50</t>
  </si>
  <si>
    <t>14,08,38,38,960.40</t>
  </si>
  <si>
    <t>6,97,120</t>
  </si>
  <si>
    <t>2,29,373</t>
  </si>
  <si>
    <t>4,57,85,709</t>
  </si>
  <si>
    <t>1,09,63,454</t>
  </si>
  <si>
    <t>61,16,34,53,152.00</t>
  </si>
  <si>
    <t>89,20,233</t>
  </si>
  <si>
    <t>10,88,24,83,821.40</t>
  </si>
  <si>
    <t>8,66,417</t>
  </si>
  <si>
    <t>14,01,64,86,649.50</t>
  </si>
  <si>
    <t>1,93,549</t>
  </si>
  <si>
    <t>2,92,601</t>
  </si>
  <si>
    <t>38,44,346</t>
  </si>
  <si>
    <t>12,15,75,19,336.90</t>
  </si>
  <si>
    <t>1,95,683</t>
  </si>
  <si>
    <t>1,46,21,891</t>
  </si>
  <si>
    <t>19,74,79,51,582.00</t>
  </si>
  <si>
    <t>2,65,381</t>
  </si>
  <si>
    <t>71,32,074</t>
  </si>
  <si>
    <t>1,13,89,150</t>
  </si>
  <si>
    <t>7,07,41,47,525.95</t>
  </si>
  <si>
    <t>17,66,02,97,036.30</t>
  </si>
  <si>
    <t>1,26,886</t>
  </si>
  <si>
    <t>3,23,713</t>
  </si>
  <si>
    <t>31,98,036</t>
  </si>
  <si>
    <t>2,53,47,684</t>
  </si>
  <si>
    <t>10,11,71,07,299.10</t>
  </si>
  <si>
    <t>1,38,279</t>
  </si>
  <si>
    <t>35,63,69,67,386.40</t>
  </si>
  <si>
    <t>4,37,387</t>
  </si>
  <si>
    <t>1,17,51,459</t>
  </si>
  <si>
    <t>11,73,33,33,129.85</t>
  </si>
  <si>
    <t>60,90,883</t>
  </si>
  <si>
    <t>1,78,613</t>
  </si>
  <si>
    <t>9,37,65,93,978.90</t>
  </si>
  <si>
    <t>1,56,721</t>
  </si>
  <si>
    <t>2,02,41,373</t>
  </si>
  <si>
    <t>27,66,83,63,802.90</t>
  </si>
  <si>
    <t>3,32,674</t>
  </si>
  <si>
    <t>1,18,67,930</t>
  </si>
  <si>
    <t>19,22,875</t>
  </si>
  <si>
    <t>18,32,08,33,054.60</t>
  </si>
  <si>
    <t>6,09,47,30,938.80</t>
  </si>
  <si>
    <t>2,03,260</t>
  </si>
  <si>
    <t>1,45,74,228</t>
  </si>
  <si>
    <t>20,19,73,52,996.40</t>
  </si>
  <si>
    <t>2,84,487</t>
  </si>
  <si>
    <t>2,76,47,379</t>
  </si>
  <si>
    <t>27,21,41,19,283.50</t>
  </si>
  <si>
    <t>1,01,83,266</t>
  </si>
  <si>
    <t>3,82,990</t>
  </si>
  <si>
    <t>15,62,92,90,582.50</t>
  </si>
  <si>
    <t>1,81,528</t>
  </si>
  <si>
    <t>29,34,778</t>
  </si>
  <si>
    <t>1,26,33,552</t>
  </si>
  <si>
    <t>9,26,03,12,011.30</t>
  </si>
  <si>
    <t>17,11,49,83,625.40</t>
  </si>
  <si>
    <t>2,28,342</t>
  </si>
  <si>
    <t>1,02,612</t>
  </si>
  <si>
    <t>3,19,88,783</t>
  </si>
  <si>
    <t>30,78,75,69,132.70</t>
  </si>
  <si>
    <t>4,59,604</t>
  </si>
  <si>
    <t>1,13,01,491</t>
  </si>
  <si>
    <t>1,28,87,826</t>
  </si>
  <si>
    <t>17,41,23,09,977.70</t>
  </si>
  <si>
    <t>17,15,35,40,701.10</t>
  </si>
  <si>
    <t>1,82,756</t>
  </si>
  <si>
    <t>2,98,012</t>
  </si>
  <si>
    <t>25,68,917</t>
  </si>
  <si>
    <t>8,06,83,75,805.90</t>
  </si>
  <si>
    <t>1,05,704</t>
  </si>
  <si>
    <t>2,78,39,061</t>
  </si>
  <si>
    <t>1,15,03,971</t>
  </si>
  <si>
    <t>35,56,99,25,009.70</t>
  </si>
  <si>
    <t>6,75,579</t>
  </si>
  <si>
    <t>17,60,10,83,501.20</t>
  </si>
  <si>
    <t>2,05,129</t>
  </si>
  <si>
    <t>33,74,473</t>
  </si>
  <si>
    <t>5,28,84,712</t>
  </si>
  <si>
    <t>10,43,57,52,450.00</t>
  </si>
  <si>
    <t>50,24,57,38,779.65</t>
  </si>
  <si>
    <t>1,66,69,618</t>
  </si>
  <si>
    <t>2,73,133</t>
  </si>
  <si>
    <t>4,14,168</t>
  </si>
  <si>
    <t>21,71,65,39,259.20</t>
  </si>
  <si>
    <t>2,82,845</t>
  </si>
  <si>
    <t>79,91,629</t>
  </si>
  <si>
    <t>12,30,48,93,787.50</t>
  </si>
  <si>
    <t>2,02,989</t>
  </si>
  <si>
    <t>2,19,28,849</t>
  </si>
  <si>
    <t>20,77,96,38,865.45</t>
  </si>
  <si>
    <t>3,16,595</t>
  </si>
  <si>
    <t>47,85,312</t>
  </si>
  <si>
    <t>14,62,40,90,930.70</t>
  </si>
  <si>
    <t>2,47,039</t>
  </si>
  <si>
    <t>47,06,197</t>
  </si>
  <si>
    <t>7,25,04,28,118.40</t>
  </si>
  <si>
    <t>1,68,155</t>
  </si>
  <si>
    <t>1,14,93,914</t>
  </si>
  <si>
    <t>14,90,29,44,240.50</t>
  </si>
  <si>
    <t>2,18,393</t>
  </si>
  <si>
    <t>3,81,83,839</t>
  </si>
  <si>
    <t>35,92,75,36,459.55</t>
  </si>
  <si>
    <t>3,24,301</t>
  </si>
  <si>
    <t>28,80,121</t>
  </si>
  <si>
    <t>8,80,90,78,906.80</t>
  </si>
  <si>
    <t>1,27,490</t>
  </si>
  <si>
    <t>51,06,655</t>
  </si>
  <si>
    <t>7,94,19,40,758.50</t>
  </si>
  <si>
    <t>2,31,41,724</t>
  </si>
  <si>
    <t>30,19,57,65,196.90</t>
  </si>
  <si>
    <t>1,39,702</t>
  </si>
  <si>
    <t>2,52,495</t>
  </si>
  <si>
    <t>2,10,71,666</t>
  </si>
  <si>
    <t>19,74,13,46,998.05</t>
  </si>
  <si>
    <t>2,82,222</t>
  </si>
  <si>
    <t>29,68,371</t>
  </si>
  <si>
    <t>97,00,361</t>
  </si>
  <si>
    <t>9,00,71,05,954.30</t>
  </si>
  <si>
    <t>12,48,23,05,603.80</t>
  </si>
  <si>
    <t>1,99,367</t>
  </si>
  <si>
    <t>2,73,789</t>
  </si>
  <si>
    <t>57,74,543</t>
  </si>
  <si>
    <t>8,97,18,36,560.70</t>
  </si>
  <si>
    <t>1,85,872</t>
  </si>
  <si>
    <t>3,20,42,827</t>
  </si>
  <si>
    <t>30,12,90,21,006.45</t>
  </si>
  <si>
    <t>3,48,726</t>
  </si>
  <si>
    <t>1,51,54,950</t>
  </si>
  <si>
    <t>19,78,63,82,739.50</t>
  </si>
  <si>
    <t>3,00,021</t>
  </si>
  <si>
    <t>20,53,847</t>
  </si>
  <si>
    <t>6,18,98,63,144.50</t>
  </si>
  <si>
    <t>1,17,31,856</t>
  </si>
  <si>
    <t>1,54,119</t>
  </si>
  <si>
    <t>18,11,75,38,818.10</t>
  </si>
  <si>
    <t>2,46,980</t>
  </si>
  <si>
    <t>3,66,88,248</t>
  </si>
  <si>
    <t>34,11,44,24,012.75</t>
  </si>
  <si>
    <t>3,06,076</t>
  </si>
  <si>
    <t>1,03,62,147</t>
  </si>
  <si>
    <t>13,48,40,30,416.60</t>
  </si>
  <si>
    <t>1,91,689</t>
  </si>
  <si>
    <t>25,19,252</t>
  </si>
  <si>
    <t>71,16,649</t>
  </si>
  <si>
    <t>7,67,42,44,863.50</t>
  </si>
  <si>
    <t>10,98,91,03,491.90</t>
  </si>
  <si>
    <t>1,54,005</t>
  </si>
  <si>
    <t>1,76,852</t>
  </si>
  <si>
    <t>3,77,80,235</t>
  </si>
  <si>
    <t>35,10,44,52,366.25</t>
  </si>
  <si>
    <t>87,24,291</t>
  </si>
  <si>
    <t>3,61,119</t>
  </si>
  <si>
    <t>11,46,23,28,914.00</t>
  </si>
  <si>
    <t>1,78,932</t>
  </si>
  <si>
    <t>65,80,829</t>
  </si>
  <si>
    <t>19,27,996</t>
  </si>
  <si>
    <t>10,16,93,53,778.00</t>
  </si>
  <si>
    <t>5,89,57,39,286.30</t>
  </si>
  <si>
    <t>1,00,68,514</t>
  </si>
  <si>
    <t>1,75,814</t>
  </si>
  <si>
    <t>3,81,91,942</t>
  </si>
  <si>
    <t>1,18,848</t>
  </si>
  <si>
    <t>13,09,25,20,668.10</t>
  </si>
  <si>
    <t>35,42,60,72,965.65</t>
  </si>
  <si>
    <t>2,19,959</t>
  </si>
  <si>
    <t>4,32,335</t>
  </si>
  <si>
    <t>96,00,171</t>
  </si>
  <si>
    <t>12,43,73,87,150.10</t>
  </si>
  <si>
    <t>14,87,081</t>
  </si>
  <si>
    <t>2,33,660</t>
  </si>
  <si>
    <t>4,51,64,12,670.50</t>
  </si>
  <si>
    <t>1,09,992</t>
  </si>
  <si>
    <t>3,60,22,727</t>
  </si>
  <si>
    <t>33,50,55,44,795.30</t>
  </si>
  <si>
    <t>3,57,134</t>
  </si>
  <si>
    <t>1,39,37,275</t>
  </si>
  <si>
    <t>21,83,41,30,206.80</t>
  </si>
  <si>
    <t>78,68,891</t>
  </si>
  <si>
    <t>10,09,73,31,387.10</t>
  </si>
  <si>
    <t>2,79,233</t>
  </si>
  <si>
    <t>1,99,350</t>
  </si>
  <si>
    <t>25,43,076</t>
  </si>
  <si>
    <t>7,71,08,29,083.30</t>
  </si>
  <si>
    <t>1,38,156</t>
  </si>
  <si>
    <t>3,27,66,854</t>
  </si>
  <si>
    <t>30,29,75,28,335.75</t>
  </si>
  <si>
    <t>3,51,406</t>
  </si>
  <si>
    <t>75,99,940</t>
  </si>
  <si>
    <t>1,01,84,852</t>
  </si>
  <si>
    <t>9,63,91,08,719.00</t>
  </si>
  <si>
    <t>16,01,02,06,159.50</t>
  </si>
  <si>
    <t>2,46,055</t>
  </si>
  <si>
    <t>3,71,017</t>
  </si>
  <si>
    <t>27,62,140</t>
  </si>
  <si>
    <t>8,40,68,05,181.00</t>
  </si>
  <si>
    <t>4,44,44,755</t>
  </si>
  <si>
    <t>1,19,961</t>
  </si>
  <si>
    <t>40,82,53,01,054.65</t>
  </si>
  <si>
    <t>5,72,341</t>
  </si>
  <si>
    <t>73,66,098</t>
  </si>
  <si>
    <t>9,23,42,98,649.00</t>
  </si>
  <si>
    <t>2,19,682</t>
  </si>
  <si>
    <t>75,06,564</t>
  </si>
  <si>
    <t>11,80,79,16,323.50</t>
  </si>
  <si>
    <t>1,23,14,450</t>
  </si>
  <si>
    <t>3,09,85,247</t>
  </si>
  <si>
    <t>18,84,215</t>
  </si>
  <si>
    <t>1,79,265</t>
  </si>
  <si>
    <t>15,27,57,03,036.90</t>
  </si>
  <si>
    <t>28,39,64,80,018.55</t>
  </si>
  <si>
    <t>5,72,89,58,255.60</t>
  </si>
  <si>
    <t>2,29,608</t>
  </si>
  <si>
    <t>3,35,766</t>
  </si>
  <si>
    <t>1,32,617</t>
  </si>
  <si>
    <t>1,12,23,276</t>
  </si>
  <si>
    <t>88,15,745</t>
  </si>
  <si>
    <t>4,47,53,093</t>
  </si>
  <si>
    <t>33,58,232</t>
  </si>
  <si>
    <t>41,04,34,45,636.30</t>
  </si>
  <si>
    <t>13,81,96,36,472.40</t>
  </si>
  <si>
    <t>13,74,86,00,530.90</t>
  </si>
  <si>
    <t>10,26,73,95,734.80</t>
  </si>
  <si>
    <t>4,83,204</t>
  </si>
  <si>
    <t>3,10,645</t>
  </si>
  <si>
    <t>2,43,970</t>
  </si>
  <si>
    <t>1,65,565</t>
  </si>
  <si>
    <t>1,23,65,381</t>
  </si>
  <si>
    <t>3,53,47,138</t>
  </si>
  <si>
    <t>15,75,29,43,986.60</t>
  </si>
  <si>
    <t>2,50,603</t>
  </si>
  <si>
    <t>33,04,77,87,224.50</t>
  </si>
  <si>
    <t>23,11,495</t>
  </si>
  <si>
    <t>2,72,519</t>
  </si>
  <si>
    <t>21,48,166</t>
  </si>
  <si>
    <t>3,60,14,35,338.70</t>
  </si>
  <si>
    <t>6,52,55,33,464.30</t>
  </si>
  <si>
    <t>1,17,340</t>
  </si>
  <si>
    <t>91,56,461</t>
  </si>
  <si>
    <t>11,25,60,74,115.00</t>
  </si>
  <si>
    <t>2,16,034</t>
  </si>
  <si>
    <t>3,71,75,628</t>
  </si>
  <si>
    <t>34,69,37,41,736.20</t>
  </si>
  <si>
    <t>4,20,812</t>
  </si>
  <si>
    <t>59,72,105</t>
  </si>
  <si>
    <t>33,42,174</t>
  </si>
  <si>
    <t>9,24,36,16,142.30</t>
  </si>
  <si>
    <t>10,13,52,12,616.40</t>
  </si>
  <si>
    <t>1,58,162</t>
  </si>
  <si>
    <t>1,94,661</t>
  </si>
  <si>
    <t>2,72,99,975</t>
  </si>
  <si>
    <t>34,19,68,97,254.40</t>
  </si>
  <si>
    <t>2,84,225</t>
  </si>
  <si>
    <t>2,96,91,233</t>
  </si>
  <si>
    <t>27,66,73,70,875.05</t>
  </si>
  <si>
    <t>2,51,637</t>
  </si>
  <si>
    <t>29,45,609</t>
  </si>
  <si>
    <t>8,88,20,05,616.60</t>
  </si>
  <si>
    <t>1,24,20,293</t>
  </si>
  <si>
    <t>1,37,367</t>
  </si>
  <si>
    <t>15,53,52,85,076.70</t>
  </si>
  <si>
    <t>3,07,309</t>
  </si>
  <si>
    <t>88,15,884</t>
  </si>
  <si>
    <t>13,60,47,45,435.00</t>
  </si>
  <si>
    <t>98,56,486</t>
  </si>
  <si>
    <t>1,99,428</t>
  </si>
  <si>
    <t>9,15,86,89,990.90</t>
  </si>
  <si>
    <t>1,46,417</t>
  </si>
  <si>
    <t>1,36,13,495</t>
  </si>
  <si>
    <t>17,44,39,91,145.50</t>
  </si>
  <si>
    <t>26,50,784</t>
  </si>
  <si>
    <t>3,18,400</t>
  </si>
  <si>
    <t>7,99,62,91,836.90</t>
  </si>
  <si>
    <t>1,19,303</t>
  </si>
  <si>
    <t>2,80,32,106</t>
  </si>
  <si>
    <t>57,71,830</t>
  </si>
  <si>
    <t>25,90,55,16,822.80</t>
  </si>
  <si>
    <t>9,04,36,50,348.50</t>
  </si>
  <si>
    <t>3,87,552</t>
  </si>
  <si>
    <t>1,41,792</t>
  </si>
  <si>
    <t>1,08,24,030</t>
  </si>
  <si>
    <t>13,85,88,42,535.00</t>
  </si>
  <si>
    <t>2,14,173</t>
  </si>
  <si>
    <t>49,52,358</t>
  </si>
  <si>
    <t>15,24,44,01,986.40</t>
  </si>
  <si>
    <t>1,90,110</t>
  </si>
  <si>
    <t>5,03,36,968</t>
  </si>
  <si>
    <t>48,04,39,34,757.85</t>
  </si>
  <si>
    <t>4,90,165</t>
  </si>
  <si>
    <t>64,08,128</t>
  </si>
  <si>
    <t>10,11,63,46,867.10</t>
  </si>
  <si>
    <t>1,30,92,541</t>
  </si>
  <si>
    <t>1,34,062</t>
  </si>
  <si>
    <t>16,69,90,80,590.00</t>
  </si>
  <si>
    <t>2,54,408</t>
  </si>
  <si>
    <t>2,43,66,770</t>
  </si>
  <si>
    <t>23,21,94,30,282.65</t>
  </si>
  <si>
    <t>2,51,099</t>
  </si>
  <si>
    <t>1,41,08,486</t>
  </si>
  <si>
    <t>32,30,726</t>
  </si>
  <si>
    <t>17,67,55,94,507.30</t>
  </si>
  <si>
    <t>10,04,05,86,025.70</t>
  </si>
  <si>
    <t>66,02,230</t>
  </si>
  <si>
    <t>1,86,753</t>
  </si>
  <si>
    <t>1,19,697</t>
  </si>
  <si>
    <t>10,49,19,99,169.40</t>
  </si>
  <si>
    <t>1,56,023</t>
  </si>
  <si>
    <t>81,37,156</t>
  </si>
  <si>
    <t>10,46,24,32,396.20</t>
  </si>
  <si>
    <t>1,65,242</t>
  </si>
  <si>
    <t>15,93,791</t>
  </si>
  <si>
    <t>2,81,03,169</t>
  </si>
  <si>
    <t>87,04,973</t>
  </si>
  <si>
    <t>4,89,04,62,450.30</t>
  </si>
  <si>
    <t>26,70,43,14,508.90</t>
  </si>
  <si>
    <t>13,83,53,33,400.10</t>
  </si>
  <si>
    <t>3,72,775</t>
  </si>
  <si>
    <t>2,27,204</t>
  </si>
  <si>
    <t>1,28,73,492</t>
  </si>
  <si>
    <t>16,54,69,33,791.60</t>
  </si>
  <si>
    <t>2,70,496</t>
  </si>
  <si>
    <t>1,81,20,272</t>
  </si>
  <si>
    <t>17,06,43,39,108.70</t>
  </si>
  <si>
    <t>34,48,370</t>
  </si>
  <si>
    <t>2,74,17,125</t>
  </si>
  <si>
    <t>4,23,858</t>
  </si>
  <si>
    <t>10,80,64,64,376.70</t>
  </si>
  <si>
    <t>41,56,90,80,602.20</t>
  </si>
  <si>
    <t>2,00,973</t>
  </si>
  <si>
    <t>5,83,917</t>
  </si>
  <si>
    <t>1,02,08,682</t>
  </si>
  <si>
    <t>13,36,09,81,079.30</t>
  </si>
  <si>
    <t>1,78,362</t>
  </si>
  <si>
    <t>2,39,47,829</t>
  </si>
  <si>
    <t>22,46,95,73,398.45</t>
  </si>
  <si>
    <t>2,74,371</t>
  </si>
  <si>
    <t>55,22,097</t>
  </si>
  <si>
    <t>1,11,99,340</t>
  </si>
  <si>
    <t>17,40,79,35,331.00</t>
  </si>
  <si>
    <t>16,87,52,53,099.50</t>
  </si>
  <si>
    <t>1,73,962</t>
  </si>
  <si>
    <t>3,02,077</t>
  </si>
  <si>
    <t>1,53,55,792</t>
  </si>
  <si>
    <t>20,42,01,15,727.00</t>
  </si>
  <si>
    <t>2,86,203</t>
  </si>
  <si>
    <t>3,15,25,385</t>
  </si>
  <si>
    <t>29,44,26,15,462.90</t>
  </si>
  <si>
    <t>4,08,707</t>
  </si>
  <si>
    <t>31,16,051</t>
  </si>
  <si>
    <t>9,69,21,21,881.30</t>
  </si>
  <si>
    <t>1,65,18,684</t>
  </si>
  <si>
    <t>2,04,600</t>
  </si>
  <si>
    <t>24,41,00,37,550.10</t>
  </si>
  <si>
    <t>4,43,727</t>
  </si>
  <si>
    <t>1,60,30,133</t>
  </si>
  <si>
    <t>21,54,56,88,181.80</t>
  </si>
  <si>
    <t>3,58,674</t>
  </si>
  <si>
    <t>2,48,69,804</t>
  </si>
  <si>
    <t>23,10,17,39,084.15</t>
  </si>
  <si>
    <t>3,68,828</t>
  </si>
  <si>
    <t>1,48,94,607</t>
  </si>
  <si>
    <t>19,74,35,54,159.00</t>
  </si>
  <si>
    <t>2,53,395</t>
  </si>
  <si>
    <t>22,71,789</t>
  </si>
  <si>
    <t>7,02,86,04,709.30</t>
  </si>
  <si>
    <t>83,35,311</t>
  </si>
  <si>
    <t>1,09,782</t>
  </si>
  <si>
    <t>12,27,06,72,520.90</t>
  </si>
  <si>
    <t>2,37,412</t>
  </si>
  <si>
    <t>1,92,33,369</t>
  </si>
  <si>
    <t>24,86,27,18,008.90</t>
  </si>
  <si>
    <t>3,38,72,203</t>
  </si>
  <si>
    <t>4,00,593</t>
  </si>
  <si>
    <t>31,24,26,14,792.65</t>
  </si>
  <si>
    <t>4,25,115</t>
  </si>
  <si>
    <t>12,46,862</t>
  </si>
  <si>
    <t>1,03,66,082</t>
  </si>
  <si>
    <t>88,83,745</t>
  </si>
  <si>
    <t>13,21,27,54,169.50</t>
  </si>
  <si>
    <t>3,88,78,60,373.50</t>
  </si>
  <si>
    <t>13,05,72,59,395.40</t>
  </si>
  <si>
    <t>2,39,931</t>
  </si>
  <si>
    <t>2,36,827</t>
  </si>
  <si>
    <t>5,01,88,359</t>
  </si>
  <si>
    <t>45,78,48,29,506.25</t>
  </si>
  <si>
    <t>3,61,977</t>
  </si>
  <si>
    <t>1,20,98,912</t>
  </si>
  <si>
    <t>15,81,97,28,646.70</t>
  </si>
  <si>
    <t>2,44,777</t>
  </si>
  <si>
    <t>1,34,99,760</t>
  </si>
  <si>
    <t>19,67,81,31,155.40</t>
  </si>
  <si>
    <t>21,85,229</t>
  </si>
  <si>
    <t>2,89,198</t>
  </si>
  <si>
    <t>6,83,00,18,367.90</t>
  </si>
  <si>
    <t>1,88,06,989</t>
  </si>
  <si>
    <t>1,54,171</t>
  </si>
  <si>
    <t>17,34,35,14,574.60</t>
  </si>
  <si>
    <t>3,09,517</t>
  </si>
  <si>
    <t>1,85,27,029</t>
  </si>
  <si>
    <t>24,42,31,15,279.40</t>
  </si>
  <si>
    <t>2,57,560</t>
  </si>
  <si>
    <t>2,25,99,629</t>
  </si>
  <si>
    <t>83,21,764</t>
  </si>
  <si>
    <t>17,99,774</t>
  </si>
  <si>
    <t>20,91,18,78,079.60</t>
  </si>
  <si>
    <t>12,13,49,50,551.20</t>
  </si>
  <si>
    <t>5,58,41,47,665.60</t>
  </si>
  <si>
    <t>3,37,196</t>
  </si>
  <si>
    <t>1,67,816</t>
  </si>
  <si>
    <t>1,06,698</t>
  </si>
  <si>
    <t>1,20,64,048</t>
  </si>
  <si>
    <t>15,86,09,72,369.80</t>
  </si>
  <si>
    <t>2,59,325</t>
  </si>
  <si>
    <t>1,27,38,702</t>
  </si>
  <si>
    <t>1,71,67,161</t>
  </si>
  <si>
    <t>11,75,51,17,113.45</t>
  </si>
  <si>
    <t>25,13,52,47,618.00</t>
  </si>
  <si>
    <t>2,17,327</t>
  </si>
  <si>
    <t>14,81,391</t>
  </si>
  <si>
    <t>71,72,300</t>
  </si>
  <si>
    <t>2,89,037</t>
  </si>
  <si>
    <t>4,59,43,43,759.60</t>
  </si>
  <si>
    <t>9,43,22,44,509.90</t>
  </si>
  <si>
    <t>1,04,731</t>
  </si>
  <si>
    <t>2,47,560</t>
  </si>
  <si>
    <t>2,12,09,234</t>
  </si>
  <si>
    <t>19,48,82,60,011.45</t>
  </si>
  <si>
    <t>2,03,92,765</t>
  </si>
  <si>
    <t>1,00,57,440</t>
  </si>
  <si>
    <t>2,97,364</t>
  </si>
  <si>
    <t>28,86,31,28,634.10</t>
  </si>
  <si>
    <t>13,20,85,88,335.20</t>
  </si>
  <si>
    <t>5,69,720</t>
  </si>
  <si>
    <t>2,58,765</t>
  </si>
  <si>
    <t>28,02,055</t>
  </si>
  <si>
    <t>8,55,21,62,278.60</t>
  </si>
  <si>
    <t>2,03,461</t>
  </si>
  <si>
    <t>2,26,54,907</t>
  </si>
  <si>
    <t>2,00,88,378</t>
  </si>
  <si>
    <t>20,69,58,10,498.85</t>
  </si>
  <si>
    <t>25,49,82,72,367.70</t>
  </si>
  <si>
    <t>1,31,89,498</t>
  </si>
  <si>
    <t>2,95,931</t>
  </si>
  <si>
    <t>4,77,139</t>
  </si>
  <si>
    <t>18,47,91,64,578.50</t>
  </si>
  <si>
    <t>3,82,470</t>
  </si>
  <si>
    <t>26,26,187</t>
  </si>
  <si>
    <t>7,95,42,91,229.00</t>
  </si>
  <si>
    <t>1,12,429</t>
  </si>
  <si>
    <t>1,47,92,854</t>
  </si>
  <si>
    <t>18,49,82,35,558.90</t>
  </si>
  <si>
    <t>3,01,379</t>
  </si>
  <si>
    <t>2,32,70,122</t>
  </si>
  <si>
    <t>1,73,52,720</t>
  </si>
  <si>
    <t>21,43,56,60,334.00</t>
  </si>
  <si>
    <t>24,27,89,65,746.30</t>
  </si>
  <si>
    <t>2,28,672</t>
  </si>
  <si>
    <t>4,12,452</t>
  </si>
  <si>
    <t>24,89,301</t>
  </si>
  <si>
    <t>4,20,78,914</t>
  </si>
  <si>
    <t>7,58,89,29,067.90</t>
  </si>
  <si>
    <t>49,49,59,91,824.80</t>
  </si>
  <si>
    <t>8,53,322</t>
  </si>
  <si>
    <t>1,64,479</t>
  </si>
  <si>
    <t>3,13,13,985</t>
  </si>
  <si>
    <t>1,57,21,693</t>
  </si>
  <si>
    <t>28,66,25,10,212.40</t>
  </si>
  <si>
    <t>22,07,01,50,220.10</t>
  </si>
  <si>
    <t>2,98,283</t>
  </si>
  <si>
    <t>3,91,641</t>
  </si>
  <si>
    <t>1,95,79,883</t>
  </si>
  <si>
    <t>22,95,04,22,792.30</t>
  </si>
  <si>
    <t>3,69,480</t>
  </si>
  <si>
    <t>20,79,428</t>
  </si>
  <si>
    <t>6,45,58,61,143.70</t>
  </si>
  <si>
    <t>1,27,545</t>
  </si>
  <si>
    <t>1,27,20,276</t>
  </si>
  <si>
    <t>2,78,84,303</t>
  </si>
  <si>
    <t>14,69,71,31,325.40</t>
  </si>
  <si>
    <t>25,34,69,43,106.45</t>
  </si>
  <si>
    <t>3,24,704</t>
  </si>
  <si>
    <t>98,37,802</t>
  </si>
  <si>
    <t>3,23,744</t>
  </si>
  <si>
    <t>13,68,75,60,136.70</t>
  </si>
  <si>
    <t>2,63,283</t>
  </si>
  <si>
    <t>83,03,109</t>
  </si>
  <si>
    <t>9,72,11,82,659.70</t>
  </si>
  <si>
    <t>1,95,759</t>
  </si>
  <si>
    <t>22,63,446</t>
  </si>
  <si>
    <t>7,06,53,62,076.90</t>
  </si>
  <si>
    <t>1,26,730</t>
  </si>
  <si>
    <t>4,11,65,937</t>
  </si>
  <si>
    <t>2,63,02,396</t>
  </si>
  <si>
    <t>37,10,36,36,109.45</t>
  </si>
  <si>
    <t>36,34,65,67,203.10</t>
  </si>
  <si>
    <t>5,02,649</t>
  </si>
  <si>
    <t>3,37,571</t>
  </si>
  <si>
    <t>1,22,05,669</t>
  </si>
  <si>
    <t>14,38,10,16,153.80</t>
  </si>
  <si>
    <t>2,74,308</t>
  </si>
  <si>
    <t>14,47,167</t>
  </si>
  <si>
    <t>4,53,55,89,799.80</t>
  </si>
  <si>
    <t>1,03,589</t>
  </si>
  <si>
    <t>3,46,20,755</t>
  </si>
  <si>
    <t>1,11,21,657</t>
  </si>
  <si>
    <t>30,80,16,52,275.45</t>
  </si>
  <si>
    <t>15,53,53,35,257.60</t>
  </si>
  <si>
    <t>4,11,801</t>
  </si>
  <si>
    <t>77,35,811</t>
  </si>
  <si>
    <t>2,09,556</t>
  </si>
  <si>
    <t>9,09,19,29,599.20</t>
  </si>
  <si>
    <t>1,92,293</t>
  </si>
  <si>
    <t>17,32,539</t>
  </si>
  <si>
    <t>5,38,50,83,002.30</t>
  </si>
  <si>
    <t>1,45,801</t>
  </si>
  <si>
    <t>2,08,46,683</t>
  </si>
  <si>
    <t>29,05,08,18,209.00</t>
  </si>
  <si>
    <t>2,95,986</t>
  </si>
  <si>
    <t>3,83,78,924</t>
  </si>
  <si>
    <t>81,64,108</t>
  </si>
  <si>
    <t>33,74,97,54,117.70</t>
  </si>
  <si>
    <t>9,59,19,73,587.00</t>
  </si>
  <si>
    <t>1,62,395</t>
  </si>
  <si>
    <t>4,01,981</t>
  </si>
  <si>
    <t>25,73,429</t>
  </si>
  <si>
    <t>8,06,17,82,019.30</t>
  </si>
  <si>
    <t>1,12,39,835</t>
  </si>
  <si>
    <t>15,63,74,18,399.50</t>
  </si>
  <si>
    <t>1,59,638</t>
  </si>
  <si>
    <t>98,56,963</t>
  </si>
  <si>
    <t>11,55,43,82,987.30</t>
  </si>
  <si>
    <t>2,02,253</t>
  </si>
  <si>
    <t>3,98,62,322</t>
  </si>
  <si>
    <t>34,52,08,91,227.90</t>
  </si>
  <si>
    <t>4,56,224</t>
  </si>
  <si>
    <t>24,18,271</t>
  </si>
  <si>
    <t>7,66,63,88,043.20</t>
  </si>
  <si>
    <t>1,00,973</t>
  </si>
  <si>
    <t>97,14,528</t>
  </si>
  <si>
    <t>13,37,81,45,108.70</t>
  </si>
  <si>
    <t>2,36,369</t>
  </si>
  <si>
    <t>1,20,13,987</t>
  </si>
  <si>
    <t>14,01,37,85,057.40</t>
  </si>
  <si>
    <t>1,93,359</t>
  </si>
  <si>
    <t>3,13,24,582</t>
  </si>
  <si>
    <t>27,36,00,19,475.00</t>
  </si>
  <si>
    <t>2,81,674</t>
  </si>
  <si>
    <t>1,57,11,165</t>
  </si>
  <si>
    <t>26,33,138</t>
  </si>
  <si>
    <t>21,57,56,43,258.50</t>
  </si>
  <si>
    <t>8,37,07,38,058.40</t>
  </si>
  <si>
    <t>3,79,997</t>
  </si>
  <si>
    <t>1,47,801</t>
  </si>
  <si>
    <t>75,82,770</t>
  </si>
  <si>
    <t>8,90,22,53,764.70</t>
  </si>
  <si>
    <t>1,48,760</t>
  </si>
  <si>
    <t>3,44,39,647</t>
  </si>
  <si>
    <t>29,70,42,05,809.35</t>
  </si>
  <si>
    <t>49,01,694</t>
  </si>
  <si>
    <t>7,06,964</t>
  </si>
  <si>
    <t>15,50,58,26,514.10</t>
  </si>
  <si>
    <t>1,09,280</t>
  </si>
  <si>
    <t>2,54,56,171</t>
  </si>
  <si>
    <t>73,36,288</t>
  </si>
  <si>
    <t>36,80,20,06,349.10</t>
  </si>
  <si>
    <t>8,66,05,45,241.40</t>
  </si>
  <si>
    <t>3,60,494</t>
  </si>
  <si>
    <t>1,54,970</t>
  </si>
  <si>
    <t>36,34,901</t>
  </si>
  <si>
    <t>11,20,58,89,441.10</t>
  </si>
  <si>
    <t>3,55,92,613</t>
  </si>
  <si>
    <t>3,21,272</t>
  </si>
  <si>
    <t>29,67,09,87,891.55</t>
  </si>
  <si>
    <t>4,20,429</t>
  </si>
  <si>
    <t>1,68,91,948</t>
  </si>
  <si>
    <t>83,33,387</t>
  </si>
  <si>
    <t>19,20,94,76,661.90</t>
  </si>
  <si>
    <t>12,12,79,57,783.70</t>
  </si>
  <si>
    <t>3,59,355</t>
  </si>
  <si>
    <t>1,89,873</t>
  </si>
  <si>
    <t>1,17,63,658</t>
  </si>
  <si>
    <t>5,28,66,024</t>
  </si>
  <si>
    <t>66,64,111</t>
  </si>
  <si>
    <t>16,99,74,46,034.90</t>
  </si>
  <si>
    <t>7,52,37,46,916.20</t>
  </si>
  <si>
    <t>44,90,79,44,293.60</t>
  </si>
  <si>
    <t>2,06,465</t>
  </si>
  <si>
    <t>31,77,741</t>
  </si>
  <si>
    <t>2,29,143</t>
  </si>
  <si>
    <t>4,75,796</t>
  </si>
  <si>
    <t>9,73,61,21,756.20</t>
  </si>
  <si>
    <t>1,41,198</t>
  </si>
  <si>
    <t>82,77,304</t>
  </si>
  <si>
    <t>11,94,23,66,313.00</t>
  </si>
  <si>
    <t>1,33,331</t>
  </si>
  <si>
    <t>1,69,14,842</t>
  </si>
  <si>
    <t>18,57,66,54,825.50</t>
  </si>
  <si>
    <t>5,61,427</t>
  </si>
  <si>
    <t>4,22,61,076</t>
  </si>
  <si>
    <t>16,25,714</t>
  </si>
  <si>
    <t>35,25,93,18,337.50</t>
  </si>
  <si>
    <t>4,94,87,46,206.60</t>
  </si>
  <si>
    <t>5,80,385</t>
  </si>
  <si>
    <t>1,01,133</t>
  </si>
  <si>
    <t>57,75,864</t>
  </si>
  <si>
    <t>1,74,82,450</t>
  </si>
  <si>
    <t>19,59,13,03,917.70</t>
  </si>
  <si>
    <t>8,44,58,11,902.30</t>
  </si>
  <si>
    <t>2,43,995</t>
  </si>
  <si>
    <t>49,74,361</t>
  </si>
  <si>
    <t>1,27,171</t>
  </si>
  <si>
    <t>4,61,07,561</t>
  </si>
  <si>
    <t>14,81,14,52,426.90</t>
  </si>
  <si>
    <t>38,35,49,69,893.00</t>
  </si>
  <si>
    <t>4,18,858</t>
  </si>
  <si>
    <t>6,83,178</t>
  </si>
  <si>
    <t>1,20,96,377</t>
  </si>
  <si>
    <t>13,72,91,12,433.30</t>
  </si>
  <si>
    <t>3,22,692</t>
  </si>
  <si>
    <t>1,02,59,630</t>
  </si>
  <si>
    <t>39,34,636</t>
  </si>
  <si>
    <t>14,97,11,96,098.30</t>
  </si>
  <si>
    <t>11,47,02,04,570.00</t>
  </si>
  <si>
    <t>4,17,00,464</t>
  </si>
  <si>
    <t>1,81,163</t>
  </si>
  <si>
    <t>3,90,339</t>
  </si>
  <si>
    <t>34,09,98,71,018.10</t>
  </si>
  <si>
    <t>5,42,628</t>
  </si>
  <si>
    <t>3,21,75,705</t>
  </si>
  <si>
    <t>38,30,68,60,777.50</t>
  </si>
  <si>
    <t>3,77,426</t>
  </si>
  <si>
    <t>31,10,035</t>
  </si>
  <si>
    <t>5,21,82,605</t>
  </si>
  <si>
    <t>9,03,26,90,025.70</t>
  </si>
  <si>
    <t>43,41,59,02,026.80</t>
  </si>
  <si>
    <t>1,79,197</t>
  </si>
  <si>
    <t>4,97,371</t>
  </si>
  <si>
    <t>71,06,877</t>
  </si>
  <si>
    <t>10,41,25,35,997.80</t>
  </si>
  <si>
    <t>2,00,342</t>
  </si>
  <si>
    <t>1,51,21,010</t>
  </si>
  <si>
    <t>18,07,53,35,888.50</t>
  </si>
  <si>
    <t>1,80,970</t>
  </si>
  <si>
    <t>3,88,26,979</t>
  </si>
  <si>
    <t>22,53,458</t>
  </si>
  <si>
    <t>32,74,75,78,708.05</t>
  </si>
  <si>
    <t>6,52,57,55,380.40</t>
  </si>
  <si>
    <t>4,57,590</t>
  </si>
  <si>
    <t>2,01,510</t>
  </si>
  <si>
    <t>1,11,35,399</t>
  </si>
  <si>
    <t>16,18,68,60,274.50</t>
  </si>
  <si>
    <t>1,00,21,033</t>
  </si>
  <si>
    <t>1,95,451</t>
  </si>
  <si>
    <t>11,88,17,71,275.10</t>
  </si>
  <si>
    <t>1,92,009</t>
  </si>
  <si>
    <t>2,35,07,063</t>
  </si>
  <si>
    <t>19,75,49,16,389.35</t>
  </si>
  <si>
    <t>19,52,902</t>
  </si>
  <si>
    <t>2,94,181</t>
  </si>
  <si>
    <t>5,65,80,70,903.00</t>
  </si>
  <si>
    <t>1,24,217</t>
  </si>
  <si>
    <t>88,03,066</t>
  </si>
  <si>
    <t>1,07,55,693</t>
  </si>
  <si>
    <t>10,38,14,17,170.70</t>
  </si>
  <si>
    <t>15,31,32,21,949.70</t>
  </si>
  <si>
    <t>1,52,471</t>
  </si>
  <si>
    <t>1,82,348</t>
  </si>
  <si>
    <t>28,99,519</t>
  </si>
  <si>
    <t>8,41,51,75,156.20</t>
  </si>
  <si>
    <t>17,16,37,393</t>
  </si>
  <si>
    <t>1,56,466</t>
  </si>
  <si>
    <t>1,37,61,50,84,047.35</t>
  </si>
  <si>
    <t>58,56,136</t>
  </si>
  <si>
    <t>14,39,390</t>
  </si>
  <si>
    <t>6,87,18,86,851.00</t>
  </si>
  <si>
    <t>1,02,287</t>
  </si>
  <si>
    <t>58,96,514</t>
  </si>
  <si>
    <t>8,40,88,65,413.30</t>
  </si>
  <si>
    <t>1,60,094</t>
  </si>
  <si>
    <t>21,12,774</t>
  </si>
  <si>
    <t>6,25,35,56,716.30</t>
  </si>
  <si>
    <t>1,00,920</t>
  </si>
  <si>
    <t>10,31,29,469</t>
  </si>
  <si>
    <t>80,86,58,60,514.30</t>
  </si>
  <si>
    <t>9,63,682</t>
  </si>
  <si>
    <t>1,07,31,630</t>
  </si>
  <si>
    <t>15,27,21,75,589.40</t>
  </si>
  <si>
    <t>1,89,670</t>
  </si>
  <si>
    <t>30,62,943</t>
  </si>
  <si>
    <t>9,10,21,39,525.60</t>
  </si>
  <si>
    <t>1,41,987</t>
  </si>
  <si>
    <t>7,23,41,738</t>
  </si>
  <si>
    <t>54,42,75,19,734.60</t>
  </si>
  <si>
    <t>80,05,767</t>
  </si>
  <si>
    <t>9,38,41,92,190.60</t>
  </si>
  <si>
    <t>1,51,193</t>
  </si>
  <si>
    <t>55,21,096</t>
  </si>
  <si>
    <t>7,90,69,56,447.40</t>
  </si>
  <si>
    <t>1,21,784</t>
  </si>
  <si>
    <t>8,72,248</t>
  </si>
  <si>
    <t>41,21,889</t>
  </si>
  <si>
    <t>12,46,78,11,108.50</t>
  </si>
  <si>
    <t>63,71,871</t>
  </si>
  <si>
    <t>1,54,336</t>
  </si>
  <si>
    <t>7,39,45,29,529.50</t>
  </si>
  <si>
    <t>1,35,727</t>
  </si>
  <si>
    <t>1,18,84,664</t>
  </si>
  <si>
    <t>16,82,79,34,160.10</t>
  </si>
  <si>
    <t>6,12,69,986</t>
  </si>
  <si>
    <t>2,21,944</t>
  </si>
  <si>
    <t>46,66,53,56,241.25</t>
  </si>
  <si>
    <t>6,26,314</t>
  </si>
  <si>
    <t>6,90,85,430</t>
  </si>
  <si>
    <t>80,79,53,33,060.80</t>
  </si>
  <si>
    <t>3,92,999</t>
  </si>
  <si>
    <t>32,11,304</t>
  </si>
  <si>
    <t>9,78,27,98,225.60</t>
  </si>
  <si>
    <t>1,33,703</t>
  </si>
  <si>
    <t>81,77,670</t>
  </si>
  <si>
    <t>5,92,30,640</t>
  </si>
  <si>
    <t>1,94,39,331</t>
  </si>
  <si>
    <t>11,61,22,83,011.40</t>
  </si>
  <si>
    <t>23,42,86,14,350.30</t>
  </si>
  <si>
    <t>46,50,89,23,123.65</t>
  </si>
  <si>
    <t>1,61,489</t>
  </si>
  <si>
    <t>2,61,853</t>
  </si>
  <si>
    <t>6,28,380</t>
  </si>
  <si>
    <t>88,17,365</t>
  </si>
  <si>
    <t>26,73,56,29,672.60</t>
  </si>
  <si>
    <t>2,44,153</t>
  </si>
  <si>
    <t>3,60,32,600</t>
  </si>
  <si>
    <t>45,51,91,12,148.80</t>
  </si>
  <si>
    <t>4,97,139</t>
  </si>
  <si>
    <t>77,58,856</t>
  </si>
  <si>
    <t>6,54,85,199</t>
  </si>
  <si>
    <t>11,06,02,70,073.70</t>
  </si>
  <si>
    <t>49,85,36,60,404.55</t>
  </si>
  <si>
    <t>1,40,217</t>
  </si>
  <si>
    <t>6,99,107</t>
  </si>
  <si>
    <t>28,66,865</t>
  </si>
  <si>
    <t>1,85,34,303</t>
  </si>
  <si>
    <t>22,72,21,20,449.40</t>
  </si>
  <si>
    <t>8,63,31,80,149.10</t>
  </si>
  <si>
    <t>3,53,815</t>
  </si>
  <si>
    <t>1,69,572</t>
  </si>
  <si>
    <t>1,25,29,409</t>
  </si>
  <si>
    <t>1,27,55,957</t>
  </si>
  <si>
    <t>15,35,12,98,787.80</t>
  </si>
  <si>
    <t>17,85,39,17,144.10</t>
  </si>
  <si>
    <t>10,35,00,135</t>
  </si>
  <si>
    <t>2,06,266</t>
  </si>
  <si>
    <t>1,96,324</t>
  </si>
  <si>
    <t>76,37,01,80,749.45</t>
  </si>
  <si>
    <t>36,11,416</t>
  </si>
  <si>
    <t>7,87,374</t>
  </si>
  <si>
    <t>10,74,87,94,587.50</t>
  </si>
  <si>
    <t>1,83,673</t>
  </si>
  <si>
    <t>86,92,290</t>
  </si>
  <si>
    <t>10,44,75,14,955.60</t>
  </si>
  <si>
    <t>1,38,390</t>
  </si>
  <si>
    <t>1,07,28,792</t>
  </si>
  <si>
    <t>7,88,62,761</t>
  </si>
  <si>
    <t>15,17,13,07,392.70</t>
  </si>
  <si>
    <t>42,82,226</t>
  </si>
  <si>
    <t>58,79,41,04,725.50</t>
  </si>
  <si>
    <t>2,04,165</t>
  </si>
  <si>
    <t>12,70,53,86,117.20</t>
  </si>
  <si>
    <t>6,17,196</t>
  </si>
  <si>
    <t>1,46,773</t>
  </si>
  <si>
    <t>86,31,711</t>
  </si>
  <si>
    <t>10,26,81,42,160.10</t>
  </si>
  <si>
    <t>1,64,182</t>
  </si>
  <si>
    <t>1,66,83,858</t>
  </si>
  <si>
    <t>4,93,10,300</t>
  </si>
  <si>
    <t>1,09,84,054</t>
  </si>
  <si>
    <t>32,51,495</t>
  </si>
  <si>
    <t>23,42,42,95,896.50</t>
  </si>
  <si>
    <t>12,91,79,03,889.00</t>
  </si>
  <si>
    <t>36,51,71,73,048.10</t>
  </si>
  <si>
    <t>9,63,08,75,594.50</t>
  </si>
  <si>
    <t>2,42,404</t>
  </si>
  <si>
    <t>1,90,190</t>
  </si>
  <si>
    <t>6,18,264</t>
  </si>
  <si>
    <t>1,97,293</t>
  </si>
  <si>
    <t>88,87,626</t>
  </si>
  <si>
    <t>10,25,84,50,697.60</t>
  </si>
  <si>
    <t>1,74,623</t>
  </si>
  <si>
    <t>1,20,31,440</t>
  </si>
  <si>
    <t>4,29,76,659</t>
  </si>
  <si>
    <t>16,81,35,12,507.20</t>
  </si>
  <si>
    <t>32,62,81,40,429.95</t>
  </si>
  <si>
    <t>1,95,405</t>
  </si>
  <si>
    <t>6,26,168</t>
  </si>
  <si>
    <t>43,74,683</t>
  </si>
  <si>
    <t>93,72,176</t>
  </si>
  <si>
    <t>12,98,22,48,748.30</t>
  </si>
  <si>
    <t>10,46,62,92,643.10</t>
  </si>
  <si>
    <t>1,65,312</t>
  </si>
  <si>
    <t>2,45,811</t>
  </si>
  <si>
    <t>80,75,333</t>
  </si>
  <si>
    <t>9,01,53,14,182.30</t>
  </si>
  <si>
    <t>2,37,28,722</t>
  </si>
  <si>
    <t>1,51,562</t>
  </si>
  <si>
    <t>5,13,09,793</t>
  </si>
  <si>
    <t>32,22,81,24,369.60</t>
  </si>
  <si>
    <t>39,41,50,68,155.95</t>
  </si>
  <si>
    <t>31,33,039</t>
  </si>
  <si>
    <t>3,84,813</t>
  </si>
  <si>
    <t>9,42,27,54,243.30</t>
  </si>
  <si>
    <t>7,77,553</t>
  </si>
  <si>
    <t>1,63,532</t>
  </si>
  <si>
    <t>78,56,192</t>
  </si>
  <si>
    <t>8,92,43,77,450.20</t>
  </si>
  <si>
    <t>1,29,357</t>
  </si>
  <si>
    <t>3,10,644</t>
  </si>
  <si>
    <t>7,02,69,512</t>
  </si>
  <si>
    <t>93,60,15,414.70</t>
  </si>
  <si>
    <t>56,90,93,58,152.40</t>
  </si>
  <si>
    <t>5,61,769</t>
  </si>
  <si>
    <t>3,24,95,007</t>
  </si>
  <si>
    <t>43,36,79,43,821.30</t>
  </si>
  <si>
    <t>6,43,399</t>
  </si>
  <si>
    <t>1,04,56,090</t>
  </si>
  <si>
    <t>11,92,88,04,188.90</t>
  </si>
  <si>
    <t>1,62,431</t>
  </si>
  <si>
    <t>4,88,79,392</t>
  </si>
  <si>
    <t>39,13,67,41,055.40</t>
  </si>
  <si>
    <t>59,95,119</t>
  </si>
  <si>
    <t>6,93,86,01,945.20</t>
  </si>
  <si>
    <t>5,32,333</t>
  </si>
  <si>
    <t>1,25,573</t>
  </si>
  <si>
    <t>2,59,57,532</t>
  </si>
  <si>
    <t>35,89,99,97,226.10</t>
  </si>
  <si>
    <t>55,64,758</t>
  </si>
  <si>
    <t>3,39,169</t>
  </si>
  <si>
    <t>17,11,51,35,296.00</t>
  </si>
  <si>
    <t>2,90,229</t>
  </si>
  <si>
    <t>1,67,81,447</t>
  </si>
  <si>
    <t>18,96,87,61,942.20</t>
  </si>
  <si>
    <t>2,13,308</t>
  </si>
  <si>
    <t>3,81,56,026</t>
  </si>
  <si>
    <t>30,87,39,43,034.35</t>
  </si>
  <si>
    <t>3,84,976</t>
  </si>
  <si>
    <t>26,84,318</t>
  </si>
  <si>
    <t>1,93,11,971</t>
  </si>
  <si>
    <t>8,25,05,73,087.80</t>
  </si>
  <si>
    <t>27,28,52,57,299.50</t>
  </si>
  <si>
    <t>1,87,127</t>
  </si>
  <si>
    <t>4,56,65,442</t>
  </si>
  <si>
    <t>2,91,792</t>
  </si>
  <si>
    <t>47,66,66,65,585.60</t>
  </si>
  <si>
    <t>7,65,616</t>
  </si>
  <si>
    <t>1,01,78,505</t>
  </si>
  <si>
    <t>10,86,91,91,699.80</t>
  </si>
  <si>
    <t>4,75,49,328</t>
  </si>
  <si>
    <t>1,90,156</t>
  </si>
  <si>
    <t>37,68,15,70,377.55</t>
  </si>
  <si>
    <t>19,46,312</t>
  </si>
  <si>
    <t>4,28,978</t>
  </si>
  <si>
    <t>2,48,70,822</t>
  </si>
  <si>
    <t>6,00,23,14,206.60</t>
  </si>
  <si>
    <t>34,92,05,85,822.30</t>
  </si>
  <si>
    <t>3,63,998</t>
  </si>
  <si>
    <t>1,93,23,064</t>
  </si>
  <si>
    <t>19,99,40,16,676.90</t>
  </si>
  <si>
    <t>4,04,611</t>
  </si>
  <si>
    <t>3,97,69,515</t>
  </si>
  <si>
    <t>32,20,25,17,376.60</t>
  </si>
  <si>
    <t>4,68,104</t>
  </si>
  <si>
    <t>1,80,71,259</t>
  </si>
  <si>
    <t>1,23,46,266</t>
  </si>
  <si>
    <t>34,70,737</t>
  </si>
  <si>
    <t>12,97,16,00,161.40</t>
  </si>
  <si>
    <t>25,49,71,67,382.50</t>
  </si>
  <si>
    <t>2,16,180</t>
  </si>
  <si>
    <t>10,61,79,38,168.30</t>
  </si>
  <si>
    <t>2,66,712</t>
  </si>
  <si>
    <t>1,40,326</t>
  </si>
  <si>
    <t>1,58,66,779</t>
  </si>
  <si>
    <t>16,62,84,60,525.50</t>
  </si>
  <si>
    <t>2,75,365</t>
  </si>
  <si>
    <t>28,95,420</t>
  </si>
  <si>
    <t>2,18,48,087</t>
  </si>
  <si>
    <t>30,65,16,92,543.40</t>
  </si>
  <si>
    <t>3,58,595</t>
  </si>
  <si>
    <t>8,86,32,86,092.50</t>
  </si>
  <si>
    <t>1,16,138</t>
  </si>
  <si>
    <t>1,50,80,892</t>
  </si>
  <si>
    <t>15,61,12,16,315.10</t>
  </si>
  <si>
    <t>6,28,61,293</t>
  </si>
  <si>
    <t>2,48,692</t>
  </si>
  <si>
    <t>50,45,20,84,027.00</t>
  </si>
  <si>
    <t>5,12,745</t>
  </si>
  <si>
    <t>2,09,39,959</t>
  </si>
  <si>
    <t>22,41,536</t>
  </si>
  <si>
    <t>29,26,48,77,793.70</t>
  </si>
  <si>
    <t>6,81,42,45,032.00</t>
  </si>
  <si>
    <t>3,70,385</t>
  </si>
  <si>
    <t>1,15,244</t>
  </si>
  <si>
    <t>2,41,28,263</t>
  </si>
  <si>
    <t>24,30,39,60,220.50</t>
  </si>
  <si>
    <t>4,40,240</t>
  </si>
  <si>
    <t>3,72,82,544</t>
  </si>
  <si>
    <t>29,80,38,42,840.25</t>
  </si>
  <si>
    <t>3,29,801</t>
  </si>
  <si>
    <t>18,68,085</t>
  </si>
  <si>
    <t>5,70,81,36,334.30</t>
  </si>
  <si>
    <t>1,72,65,090</t>
  </si>
  <si>
    <t>23,96,82,36,254.70</t>
  </si>
  <si>
    <t>3,15,335</t>
  </si>
  <si>
    <t>1,30,37,982</t>
  </si>
  <si>
    <t>12,95,94,56,154.70</t>
  </si>
  <si>
    <t>3,01,193</t>
  </si>
  <si>
    <t>5,21,48,044</t>
  </si>
  <si>
    <t>41,55,93,15,742.55</t>
  </si>
  <si>
    <t>5,50,200</t>
  </si>
  <si>
    <t>21,94,877</t>
  </si>
  <si>
    <t>6,63,91,24,030.70</t>
  </si>
  <si>
    <t>1,01,452</t>
  </si>
  <si>
    <t>1,87,41,111</t>
  </si>
  <si>
    <t>19,37,99,13,697.50</t>
  </si>
  <si>
    <t>3,18,388</t>
  </si>
  <si>
    <t>2,28,37,802</t>
  </si>
  <si>
    <t>31,61,93,78,231.50</t>
  </si>
  <si>
    <t>2,93,132</t>
  </si>
  <si>
    <t>4,91,35,752</t>
  </si>
  <si>
    <t>39,74,92,81,377.25</t>
  </si>
  <si>
    <t>3,86,140</t>
  </si>
  <si>
    <t>26,70,720</t>
  </si>
  <si>
    <t>1,16,53,534</t>
  </si>
  <si>
    <t>7,99,10,78,689.60</t>
  </si>
  <si>
    <t>12,25,19,84,529.00</t>
  </si>
  <si>
    <t>1,68,525</t>
  </si>
  <si>
    <t>3,06,437</t>
  </si>
  <si>
    <t>1,90,07,744</t>
  </si>
  <si>
    <t>26,57,68,82,526.60</t>
  </si>
  <si>
    <t>2,38,76,412</t>
  </si>
  <si>
    <t>2,73,340</t>
  </si>
  <si>
    <t>19,19,92,37,337.70</t>
  </si>
  <si>
    <t>2,78,743</t>
  </si>
  <si>
    <t>25,42,721</t>
  </si>
  <si>
    <t>55,59,747</t>
  </si>
  <si>
    <t>7,65,48,60,638.80</t>
  </si>
  <si>
    <t>5,77,70,24,579.70</t>
  </si>
  <si>
    <t>2,00,775</t>
  </si>
  <si>
    <t>1,20,352</t>
  </si>
  <si>
    <t>95,59,327</t>
  </si>
  <si>
    <t>3,76,77,616</t>
  </si>
  <si>
    <t>13,46,51,78,867.70</t>
  </si>
  <si>
    <t>29,69,48,61,381.85</t>
  </si>
  <si>
    <t>2,12,371</t>
  </si>
  <si>
    <t>1,88,66,296</t>
  </si>
  <si>
    <t>4,90,484</t>
  </si>
  <si>
    <t>18,30,520</t>
  </si>
  <si>
    <t>20,27,99,30,819.60</t>
  </si>
  <si>
    <t>5,45,43,08,584.30</t>
  </si>
  <si>
    <t>3,32,585</t>
  </si>
  <si>
    <t>1,06,949</t>
  </si>
  <si>
    <t>2,77,20,358</t>
  </si>
  <si>
    <t>1,64,98,373</t>
  </si>
  <si>
    <t>21,70,47,72,419.30</t>
  </si>
  <si>
    <t>1,30,22,221</t>
  </si>
  <si>
    <t>3,63,338</t>
  </si>
  <si>
    <t>15,56,656</t>
  </si>
  <si>
    <t>23,01,06,87,830.50</t>
  </si>
  <si>
    <t>13,94,21,82,222.50</t>
  </si>
  <si>
    <t>4,70,50,08,219.70</t>
  </si>
  <si>
    <t>3,05,792</t>
  </si>
  <si>
    <t>2,13,848</t>
  </si>
  <si>
    <t>1,81,15,375</t>
  </si>
  <si>
    <t>90,03,333</t>
  </si>
  <si>
    <t>14,29,59,37,140.45</t>
  </si>
  <si>
    <t>9,47,54,52,928.90</t>
  </si>
  <si>
    <t>2,78,374</t>
  </si>
  <si>
    <t>1,74,766</t>
  </si>
  <si>
    <t>2,29,94,918</t>
  </si>
  <si>
    <t>32,62,84,66,606.50</t>
  </si>
  <si>
    <t>28,06,868</t>
  </si>
  <si>
    <t>3,15,139</t>
  </si>
  <si>
    <t>8,52,45,41,738.50</t>
  </si>
  <si>
    <t>1,12,361</t>
  </si>
  <si>
    <t>97,47,266</t>
  </si>
  <si>
    <t>10,44,76,88,759.10</t>
  </si>
  <si>
    <t>3,53,66,803</t>
  </si>
  <si>
    <t>2,23,565</t>
  </si>
  <si>
    <t>27,81,22,42,540.60</t>
  </si>
  <si>
    <t>3,33,592</t>
  </si>
  <si>
    <t>1,89,79,554</t>
  </si>
  <si>
    <t>26,65,59,71,496.80</t>
  </si>
  <si>
    <t>44,60,315</t>
  </si>
  <si>
    <t>3,85,355</t>
  </si>
  <si>
    <t>13,89,29,02,410.20</t>
  </si>
  <si>
    <t>1,75,446</t>
  </si>
  <si>
    <t>2,09,94,760</t>
  </si>
  <si>
    <t>23,00,19,58,436.30</t>
  </si>
  <si>
    <t>3,38,475</t>
  </si>
  <si>
    <t>2,57,99,963</t>
  </si>
  <si>
    <t>20,22,47,13,818.45</t>
  </si>
  <si>
    <t>4,68,032</t>
  </si>
  <si>
    <t>1,86,20,893</t>
  </si>
  <si>
    <t>26,31,50,89,062.40</t>
  </si>
  <si>
    <t>3,04,313</t>
  </si>
  <si>
    <t>17,40,435</t>
  </si>
  <si>
    <t>5,41,80,91,012.50</t>
  </si>
  <si>
    <t>1,20,845</t>
  </si>
  <si>
    <t>1,48,19,413</t>
  </si>
  <si>
    <t>16,29,09,05,496.60</t>
  </si>
  <si>
    <t>2,64,399</t>
  </si>
  <si>
    <t>4,79,98,755</t>
  </si>
  <si>
    <t>22,10,794</t>
  </si>
  <si>
    <t>36,97,63,52,716.85</t>
  </si>
  <si>
    <t>6,84,31,77,119.90</t>
  </si>
  <si>
    <t>5,68,313</t>
  </si>
  <si>
    <t>1,90,41,331</t>
  </si>
  <si>
    <t>1,05,008</t>
  </si>
  <si>
    <t>27,01,49,40,455.50</t>
  </si>
  <si>
    <t>3,13,024</t>
  </si>
  <si>
    <t>85,01,933</t>
  </si>
  <si>
    <t>9,17,65,60,288.40</t>
  </si>
  <si>
    <t>1,75,275</t>
  </si>
  <si>
    <t>2,90,28,060</t>
  </si>
  <si>
    <t>22,32,853</t>
  </si>
  <si>
    <t>2,32,66,517</t>
  </si>
  <si>
    <t>22,63,37,11,388.45</t>
  </si>
  <si>
    <t>6,92,15,46,326.90</t>
  </si>
  <si>
    <t>31,64,17,34,742.50</t>
  </si>
  <si>
    <t>3,82,758</t>
  </si>
  <si>
    <t>85,92,146</t>
  </si>
  <si>
    <t>5,46,051</t>
  </si>
  <si>
    <t>9,35,05,44,952.20</t>
  </si>
  <si>
    <t>1,73,656</t>
  </si>
  <si>
    <t>25,48,350</t>
  </si>
  <si>
    <t>2,43,93,861</t>
  </si>
  <si>
    <t>3,88,87,657</t>
  </si>
  <si>
    <t>7,87,67,55,648.90</t>
  </si>
  <si>
    <t>32,86,45,44,984.70</t>
  </si>
  <si>
    <t>1,25,47,728</t>
  </si>
  <si>
    <t>29,99,43,77,836.65</t>
  </si>
  <si>
    <t>1,10,903</t>
  </si>
  <si>
    <t>4,26,526</t>
  </si>
  <si>
    <t>13,82,75,61,159.30</t>
  </si>
  <si>
    <t>4,91,093</t>
  </si>
  <si>
    <t>1,70,273</t>
  </si>
  <si>
    <t>31,51,053</t>
  </si>
  <si>
    <t>9,88,38,20,509.80</t>
  </si>
  <si>
    <t>3,55,30,831</t>
  </si>
  <si>
    <t>1,44,04,619</t>
  </si>
  <si>
    <t>1,60,625</t>
  </si>
  <si>
    <t>27,90,44,17,066.50</t>
  </si>
  <si>
    <t>19,76,33,87,955.30</t>
  </si>
  <si>
    <t>4,02,081</t>
  </si>
  <si>
    <t>2,41,179</t>
  </si>
  <si>
    <t>63,72,645</t>
  </si>
  <si>
    <t>6,95,71,62,725.00</t>
  </si>
  <si>
    <t>27,00,767</t>
  </si>
  <si>
    <t>1,55,749</t>
  </si>
  <si>
    <t>8,51,29,40,687.70</t>
  </si>
  <si>
    <t>1,13,822</t>
  </si>
  <si>
    <t>4,61,37,553</t>
  </si>
  <si>
    <t>36,68,63,70,164.65</t>
  </si>
  <si>
    <t>2,12,80,051</t>
  </si>
  <si>
    <t>3,69,255</t>
  </si>
  <si>
    <t>28,65,68,73,097.20</t>
  </si>
  <si>
    <t>3,35,321</t>
  </si>
  <si>
    <t>94,85,229</t>
  </si>
  <si>
    <t>10,19,38,02,082.30</t>
  </si>
  <si>
    <t>41,77,037</t>
  </si>
  <si>
    <t>1,87,625</t>
  </si>
  <si>
    <t>13,17,11,33,172.80</t>
  </si>
  <si>
    <t>1,36,571</t>
  </si>
  <si>
    <t>3,80,16,841</t>
  </si>
  <si>
    <t>29,71,52,55,302.00</t>
  </si>
  <si>
    <t>3,86,448</t>
  </si>
  <si>
    <t>2,92,74,881</t>
  </si>
  <si>
    <t>38,24,37,83,551.00</t>
  </si>
  <si>
    <t>5,84,670</t>
  </si>
  <si>
    <t>75,17,203</t>
  </si>
  <si>
    <t>7,92,35,24,641.50</t>
  </si>
  <si>
    <t>67,03,764</t>
  </si>
  <si>
    <t>2,07,323</t>
  </si>
  <si>
    <t>21,12,83,17,183.50</t>
  </si>
  <si>
    <t>1,76,937</t>
  </si>
  <si>
    <t>4,11,23,422</t>
  </si>
  <si>
    <t>31,63,23,11,080.15</t>
  </si>
  <si>
    <t>4,46,831</t>
  </si>
  <si>
    <t>2,83,88,922</t>
  </si>
  <si>
    <t>36,86,96,41,751.60</t>
  </si>
  <si>
    <t>3,64,146</t>
  </si>
  <si>
    <t>1,37,94,578</t>
  </si>
  <si>
    <t>14,42,22,43,163.20</t>
  </si>
  <si>
    <t>2,12,403</t>
  </si>
  <si>
    <t>27,37,920</t>
  </si>
  <si>
    <t>8,56,29,68,101.70</t>
  </si>
  <si>
    <t>1,44,573</t>
  </si>
  <si>
    <t>4,39,37,132</t>
  </si>
  <si>
    <t>2,18,17,543</t>
  </si>
  <si>
    <t>33,11,58,12,661.00</t>
  </si>
  <si>
    <t>29,30,14,22,736.40</t>
  </si>
  <si>
    <t>7,82,428</t>
  </si>
  <si>
    <t>4,34,059</t>
  </si>
  <si>
    <t>2,90,36,900</t>
  </si>
  <si>
    <t>29,91,12,99,063.80</t>
  </si>
  <si>
    <t>3,90,894</t>
  </si>
  <si>
    <t>25,08,527</t>
  </si>
  <si>
    <t>2,07,25,390</t>
  </si>
  <si>
    <t>7,92,18,09,747.00</t>
  </si>
  <si>
    <t>27,63,22,49,237.20</t>
  </si>
  <si>
    <t>2,77,395</t>
  </si>
  <si>
    <t>1,12,405</t>
  </si>
  <si>
    <t>2,89,60,919</t>
  </si>
  <si>
    <t>21,80,63,58,980.45</t>
  </si>
  <si>
    <t>1,59,56,349</t>
  </si>
  <si>
    <t>3,95,816</t>
  </si>
  <si>
    <t>17,16,05,07,472.60</t>
  </si>
  <si>
    <t>2,41,917</t>
  </si>
  <si>
    <t>1,93,64,461</t>
  </si>
  <si>
    <t>26,08,33,04,335.70</t>
  </si>
  <si>
    <t>2,28,260</t>
  </si>
  <si>
    <t>5,09,92,358</t>
  </si>
  <si>
    <t>2,81,00,895</t>
  </si>
  <si>
    <t>28,36,233</t>
  </si>
  <si>
    <t>39,12,46,47,345.10</t>
  </si>
  <si>
    <t>31,15,15,07,286.70</t>
  </si>
  <si>
    <t>8,91,41,92,099.10</t>
  </si>
  <si>
    <t>3,16,063</t>
  </si>
  <si>
    <t>5,21,121</t>
  </si>
  <si>
    <t>1,71,374</t>
  </si>
  <si>
    <t>2,87,53,269</t>
  </si>
  <si>
    <t>37,85,25,16,273.60</t>
  </si>
  <si>
    <t>4,56,747</t>
  </si>
  <si>
    <t>3,44,00,369</t>
  </si>
  <si>
    <t>39,64,21,72,401.80</t>
  </si>
  <si>
    <t>2,43,47,873</t>
  </si>
  <si>
    <t>4,59,638</t>
  </si>
  <si>
    <t>18,84,84,26,198.20</t>
  </si>
  <si>
    <t>2,68,604</t>
  </si>
  <si>
    <t>16,16,690</t>
  </si>
  <si>
    <t>5,07,28,88,841.30</t>
  </si>
  <si>
    <t>1,53,13,779</t>
  </si>
  <si>
    <t>20,52,08,18,325.60</t>
  </si>
  <si>
    <t>2,59,818</t>
  </si>
  <si>
    <t>2,26,30,218</t>
  </si>
  <si>
    <t>26,54,58,97,058.20</t>
  </si>
  <si>
    <t>4,13,605</t>
  </si>
  <si>
    <t>2,98,12,079</t>
  </si>
  <si>
    <t>22,82,50,15,390.55</t>
  </si>
  <si>
    <t>3,96,597</t>
  </si>
  <si>
    <t>3,02,11,012</t>
  </si>
  <si>
    <t>40,43,61,95,396.30</t>
  </si>
  <si>
    <t>3,33,177</t>
  </si>
  <si>
    <t>17,47,647</t>
  </si>
  <si>
    <t>5,47,58,78,282.20</t>
  </si>
  <si>
    <t>1,30,698</t>
  </si>
  <si>
    <t>1,43,67,075</t>
  </si>
  <si>
    <t>16,20,77,71,804.10</t>
  </si>
  <si>
    <t>2,71,437</t>
  </si>
  <si>
    <t>1,38,69,105</t>
  </si>
  <si>
    <t>4,03,07,830</t>
  </si>
  <si>
    <t>18,85,00,89,777.30</t>
  </si>
  <si>
    <t>30,86,96,53,333.95</t>
  </si>
  <si>
    <t>2,26,433</t>
  </si>
  <si>
    <t>4,14,780</t>
  </si>
  <si>
    <t>85,82,270</t>
  </si>
  <si>
    <t>25,12,003</t>
  </si>
  <si>
    <t>9,96,29,89,189.50</t>
  </si>
  <si>
    <t>7,87,10,11,640.60</t>
  </si>
  <si>
    <t>1,57,993</t>
  </si>
  <si>
    <t>1,27,701</t>
  </si>
  <si>
    <t>1,36,14,733</t>
  </si>
  <si>
    <t>18,59,65,70,380.60</t>
  </si>
  <si>
    <t>2,40,331</t>
  </si>
  <si>
    <t>2,40,13,451</t>
  </si>
  <si>
    <t>18,23,12,01,059.00</t>
  </si>
  <si>
    <t>3,34,493</t>
  </si>
  <si>
    <t>2,72,93,629</t>
  </si>
  <si>
    <t>37,02,64,49,570.40</t>
  </si>
  <si>
    <t>2,97,701</t>
  </si>
  <si>
    <t>39,52,112</t>
  </si>
  <si>
    <t>12,58,93,78,283.40</t>
  </si>
  <si>
    <t>1,92,454</t>
  </si>
  <si>
    <t>3,46,64,725</t>
  </si>
  <si>
    <t>26,36,39,66,148.40</t>
  </si>
  <si>
    <t>3,00,382</t>
  </si>
  <si>
    <t>95,25,953</t>
  </si>
  <si>
    <t>12,95,91,00,398.90</t>
  </si>
  <si>
    <t>1,53,909</t>
  </si>
  <si>
    <t>2,56,04,071</t>
  </si>
  <si>
    <t>50,25,905</t>
  </si>
  <si>
    <t>19,67,56,29,937.40</t>
  </si>
  <si>
    <t>16,23,97,49,623.20</t>
  </si>
  <si>
    <t>2,54,373</t>
  </si>
  <si>
    <t>1,85,585</t>
  </si>
  <si>
    <t>1,63,85,079</t>
  </si>
  <si>
    <t>22,08,44,84,854.70</t>
  </si>
  <si>
    <t>2,09,218</t>
  </si>
  <si>
    <t>2,60,43,952</t>
  </si>
  <si>
    <t>20,41,43,23,481.90</t>
  </si>
  <si>
    <t>3,40,237</t>
  </si>
  <si>
    <t>52,44,013</t>
  </si>
  <si>
    <t>17,02,22,14,888.30</t>
  </si>
  <si>
    <t>1,78,219</t>
  </si>
  <si>
    <t>1,17,44,802</t>
  </si>
  <si>
    <t>15,65,59,32,416.20</t>
  </si>
  <si>
    <t>1,97,088</t>
  </si>
  <si>
    <t>3,15,28,062</t>
  </si>
  <si>
    <t>24,71,34,57,734.45</t>
  </si>
  <si>
    <t>2,68,365</t>
  </si>
  <si>
    <t>25,44,725</t>
  </si>
  <si>
    <t>8,23,70,58,645.90</t>
  </si>
  <si>
    <t>1,21,186</t>
  </si>
  <si>
    <t>6,36,80,153</t>
  </si>
  <si>
    <t>2,46,73,098</t>
  </si>
  <si>
    <t>48,53,57,04,652.80</t>
  </si>
  <si>
    <t>33,22,17,15,766.80</t>
  </si>
  <si>
    <t>6,03,423</t>
  </si>
  <si>
    <t>3,01,732</t>
  </si>
  <si>
    <t>27,34,893</t>
  </si>
  <si>
    <t>8,75,46,08,897.60</t>
  </si>
  <si>
    <t>1,38,787</t>
  </si>
  <si>
    <t>10,12,99,431</t>
  </si>
  <si>
    <t>4,10,27,699</t>
  </si>
  <si>
    <t>75,75,03,25,248.25</t>
  </si>
  <si>
    <t>56,63,43,60,964.60</t>
  </si>
  <si>
    <t>5,82,913</t>
  </si>
  <si>
    <t>3,71,160</t>
  </si>
  <si>
    <t>13,86,849</t>
  </si>
  <si>
    <t>4,42,62,07,513.50</t>
  </si>
  <si>
    <t>4,79,96,441</t>
  </si>
  <si>
    <t>35,69,50,84,062.85</t>
  </si>
  <si>
    <t>3,05,42,143</t>
  </si>
  <si>
    <t>3,64,744</t>
  </si>
  <si>
    <t>43,31,58,58,969.90</t>
  </si>
  <si>
    <t>3,77,101</t>
  </si>
  <si>
    <t>19,14,362</t>
  </si>
  <si>
    <t>6,09,59,95,407.30</t>
  </si>
  <si>
    <t>1,00,793</t>
  </si>
  <si>
    <t>4,73,14,447</t>
  </si>
  <si>
    <t>35,25,24,89,656.40</t>
  </si>
  <si>
    <t>4,23,085</t>
  </si>
  <si>
    <t>3,09,57,881</t>
  </si>
  <si>
    <t>43,84,94,30,496.90</t>
  </si>
  <si>
    <t>3,64,569</t>
  </si>
  <si>
    <t>11,46,554</t>
  </si>
  <si>
    <t>3,67,94,24,706.90</t>
  </si>
  <si>
    <t>3,61,09,480</t>
  </si>
  <si>
    <t>27,03,97,36,378.55</t>
  </si>
  <si>
    <t>5,55,057</t>
  </si>
  <si>
    <t>2,40,35,700</t>
  </si>
  <si>
    <t>34,94,78,63,091.00</t>
  </si>
  <si>
    <t>4,17,403</t>
  </si>
  <si>
    <t>4,26,73,538</t>
  </si>
  <si>
    <t>15,62,190</t>
  </si>
  <si>
    <t>32,08,83,55,961.35</t>
  </si>
  <si>
    <t>5,03,17,66,680.70</t>
  </si>
  <si>
    <t>3,85,239</t>
  </si>
  <si>
    <t>1,07,289</t>
  </si>
  <si>
    <t>2,35,43,341</t>
  </si>
  <si>
    <t>34,40,75,23,385.10</t>
  </si>
  <si>
    <t>3,12,401</t>
  </si>
  <si>
    <t>2,21,16,568</t>
  </si>
  <si>
    <t>16,59,66,36,748.90</t>
  </si>
  <si>
    <t>17,34,623</t>
  </si>
  <si>
    <t>5,55,89,13,487.80</t>
  </si>
  <si>
    <t>2,14,858</t>
  </si>
  <si>
    <t>1,42,21,786</t>
  </si>
  <si>
    <t>20,54,20,51,719.10</t>
  </si>
  <si>
    <t>2,82,129</t>
  </si>
  <si>
    <t>2,15,50,700</t>
  </si>
  <si>
    <t>15,91,26,98,807.25</t>
  </si>
  <si>
    <t>13,76,350</t>
  </si>
  <si>
    <t>3,07,762</t>
  </si>
  <si>
    <t>4,42,99,15,958.70</t>
  </si>
  <si>
    <t>1,98,16,903</t>
  </si>
  <si>
    <t>3,85,39,563</t>
  </si>
  <si>
    <t>28,45,62,51,128.80</t>
  </si>
  <si>
    <t>3,46,855</t>
  </si>
  <si>
    <t>23,07,422</t>
  </si>
  <si>
    <t>28,50,93,73,904.50</t>
  </si>
  <si>
    <t>7,52,32,25,819.80</t>
  </si>
  <si>
    <t>1,66,551</t>
  </si>
  <si>
    <t>2,86,996</t>
  </si>
  <si>
    <t>4,44,58,159</t>
  </si>
  <si>
    <t>33,12,06,48,229.85</t>
  </si>
  <si>
    <t>3,23,114</t>
  </si>
  <si>
    <t>39,02,511</t>
  </si>
  <si>
    <t>12,85,87,80,664.30</t>
  </si>
  <si>
    <t>1,22,711</t>
  </si>
  <si>
    <t>3,26,32,007</t>
  </si>
  <si>
    <t>24,37,08,45,118.65</t>
  </si>
  <si>
    <t>2,62,963</t>
  </si>
  <si>
    <t>26,32,816</t>
  </si>
  <si>
    <t>8,72,55,23,457.10</t>
  </si>
  <si>
    <t>1,01,733</t>
  </si>
  <si>
    <t>3,60,88,159</t>
  </si>
  <si>
    <t>27,58,82,17,228.10</t>
  </si>
  <si>
    <t>4,24,418</t>
  </si>
  <si>
    <t>86,63,105</t>
  </si>
  <si>
    <t>23,65,420</t>
  </si>
  <si>
    <t>7,81,71,55,849.90</t>
  </si>
  <si>
    <t>1,39,216</t>
  </si>
  <si>
    <t>12,37,41,31,086.60</t>
  </si>
  <si>
    <t>3,99,90,334</t>
  </si>
  <si>
    <t>31,34,26,00,344.40</t>
  </si>
  <si>
    <t>1,73,992</t>
  </si>
  <si>
    <t>4,10,968</t>
  </si>
  <si>
    <t>13,67,708</t>
  </si>
  <si>
    <t>2,78,20,970</t>
  </si>
  <si>
    <t>4,53,04,13,590.90</t>
  </si>
  <si>
    <t>21,82,11,64,302.20</t>
  </si>
  <si>
    <t>3,34,802</t>
  </si>
  <si>
    <t>1,52,61,787</t>
  </si>
  <si>
    <t>21,40,89,32,295.60</t>
  </si>
  <si>
    <t>2,40,591</t>
  </si>
  <si>
    <t>3,24,05,604</t>
  </si>
  <si>
    <t>25,54,83,97,540.45</t>
  </si>
  <si>
    <t>11,76,664</t>
  </si>
  <si>
    <t>4,66,023</t>
  </si>
  <si>
    <t>3,86,87,59,940.60</t>
  </si>
  <si>
    <t>2,43,57,500</t>
  </si>
  <si>
    <t>33,50,99,95,739.50</t>
  </si>
  <si>
    <t>4,05,245</t>
  </si>
  <si>
    <t>4,14,92,071</t>
  </si>
  <si>
    <t>33,07,79,50,871.00</t>
  </si>
  <si>
    <t>3,86,510</t>
  </si>
  <si>
    <t>20,79,473</t>
  </si>
  <si>
    <t>6,76,86,50,796.40</t>
  </si>
  <si>
    <t>1,17,390</t>
  </si>
  <si>
    <t>1,37,97,989</t>
  </si>
  <si>
    <t>18,77,67,83,797.90</t>
  </si>
  <si>
    <t>2,53,418</t>
  </si>
  <si>
    <t>3,37,98,761</t>
  </si>
  <si>
    <t>26,38,99,48,086.30</t>
  </si>
  <si>
    <t>3,42,920</t>
  </si>
  <si>
    <t>28,07,593</t>
  </si>
  <si>
    <t>9,12,64,73,823.50</t>
  </si>
  <si>
    <t>1,84,541</t>
  </si>
  <si>
    <t>1,73,03,059</t>
  </si>
  <si>
    <t>23,63,46,93,081.40</t>
  </si>
  <si>
    <t>3,12,686</t>
  </si>
  <si>
    <t>2,51,94,765</t>
  </si>
  <si>
    <t>19,82,08,93,965.30</t>
  </si>
  <si>
    <t>2,57,091</t>
  </si>
  <si>
    <t>33,62,634</t>
  </si>
  <si>
    <t>10,81,45,02,991.90</t>
  </si>
  <si>
    <t>1,45,683</t>
  </si>
  <si>
    <t>1,99,76,192</t>
  </si>
  <si>
    <t>26,75,55,67,751.40</t>
  </si>
  <si>
    <t>2,76,450</t>
  </si>
  <si>
    <t>2,82,89,062</t>
  </si>
  <si>
    <t>22,12,02,96,631.60</t>
  </si>
  <si>
    <t>2,73,325</t>
  </si>
  <si>
    <t>1,30,22,473</t>
  </si>
  <si>
    <t>17,36,47,34,585.60</t>
  </si>
  <si>
    <t>12,55,735</t>
  </si>
  <si>
    <t>2,24,065</t>
  </si>
  <si>
    <t>4,04,34,25,200.10</t>
  </si>
  <si>
    <t>3,47,01,292</t>
  </si>
  <si>
    <t>27,36,52,90,725.10</t>
  </si>
  <si>
    <t>3,20,163</t>
  </si>
  <si>
    <t>2,16,65,501</t>
  </si>
  <si>
    <t>28,86,16,86,347.30</t>
  </si>
  <si>
    <t>4,67,07,966</t>
  </si>
  <si>
    <t>3,39,757</t>
  </si>
  <si>
    <t>11,84,324</t>
  </si>
  <si>
    <t>37,33,61,68,879.30</t>
  </si>
  <si>
    <t>3,83,85,16,572.70</t>
  </si>
  <si>
    <t>4,67,329</t>
  </si>
  <si>
    <t>1,32,48,515</t>
  </si>
  <si>
    <t>17,82,23,10,858.20</t>
  </si>
  <si>
    <t>4,66,95,977</t>
  </si>
  <si>
    <t>37,32,36,37,057.70</t>
  </si>
  <si>
    <t>2,27,919</t>
  </si>
  <si>
    <t>4,21,982</t>
  </si>
  <si>
    <t>23,41,703</t>
  </si>
  <si>
    <t>7,54,07,84,169.40</t>
  </si>
  <si>
    <t>1,15,281</t>
  </si>
  <si>
    <t>1,71,50,630</t>
  </si>
  <si>
    <t>23,20,18,23,031.70</t>
  </si>
  <si>
    <t>4,57,78,356</t>
  </si>
  <si>
    <t>2,75,605</t>
  </si>
  <si>
    <t>36,56,10,96,124.85</t>
  </si>
  <si>
    <t>5,07,833</t>
  </si>
  <si>
    <t>29,12,325</t>
  </si>
  <si>
    <t>9,44,29,29,253.60</t>
  </si>
  <si>
    <t>1,63,408</t>
  </si>
  <si>
    <t>71,05,813</t>
  </si>
  <si>
    <t>2,60,94,378</t>
  </si>
  <si>
    <t>9,64,43,25,563.80</t>
  </si>
  <si>
    <t>20,82,04,85,429.50</t>
  </si>
  <si>
    <t>2,65,057</t>
  </si>
  <si>
    <t>1,63,887</t>
  </si>
  <si>
    <t>19,89,442</t>
  </si>
  <si>
    <t>6,53,45,92,137.10</t>
  </si>
  <si>
    <t>67,50,071</t>
  </si>
  <si>
    <t>3,41,43,823</t>
  </si>
  <si>
    <t>9,20,10,71,110.90</t>
  </si>
  <si>
    <t>27,25,24,82,310.70</t>
  </si>
  <si>
    <t>1,39,554</t>
  </si>
  <si>
    <t>3,67,026</t>
  </si>
  <si>
    <t>41,59,336</t>
  </si>
  <si>
    <t>13,35,76,35,924.00</t>
  </si>
  <si>
    <t>1,91,554</t>
  </si>
  <si>
    <t>1,37,69,747</t>
  </si>
  <si>
    <t>18,71,61,37,070.80</t>
  </si>
  <si>
    <t>1,48,444</t>
  </si>
  <si>
    <t>2,58,71,958</t>
  </si>
  <si>
    <t>20,77,22,33,463.35</t>
  </si>
  <si>
    <t>19,38,673</t>
  </si>
  <si>
    <t>2,25,856</t>
  </si>
  <si>
    <t>6,22,20,59,522.60</t>
  </si>
  <si>
    <t>1,34,640</t>
  </si>
  <si>
    <t>1,32,15,138</t>
  </si>
  <si>
    <t>17,90,14,99,784.80</t>
  </si>
  <si>
    <t>2,30,257</t>
  </si>
  <si>
    <t>6,32,03,327</t>
  </si>
  <si>
    <t>52,10,59,54,194.00</t>
  </si>
  <si>
    <t>22,28,342</t>
  </si>
  <si>
    <t>7,31,245</t>
  </si>
  <si>
    <t>7,15,77,53,630.70</t>
  </si>
  <si>
    <t>1,26,371</t>
  </si>
  <si>
    <t>4,26,34,247</t>
  </si>
  <si>
    <t>56,72,84,19,201.10</t>
  </si>
  <si>
    <t>3,09,971</t>
  </si>
  <si>
    <t>5,76,11,729</t>
  </si>
  <si>
    <t>48,05,23,50,466.80</t>
  </si>
  <si>
    <t>5,00,541</t>
  </si>
  <si>
    <t>56,45,341</t>
  </si>
  <si>
    <t>18,35,54,97,917.00</t>
  </si>
  <si>
    <t>1,98,353</t>
  </si>
  <si>
    <t>1,07,00,603</t>
  </si>
  <si>
    <t>14,17,09,74,474.50</t>
  </si>
  <si>
    <t>2,12,031</t>
  </si>
  <si>
    <t>3,87,54,632</t>
  </si>
  <si>
    <t>31,85,42,45,392.45</t>
  </si>
  <si>
    <t>3,92,366</t>
  </si>
  <si>
    <t>2,33,02,785</t>
  </si>
  <si>
    <t>30,60,65,99,536.00</t>
  </si>
  <si>
    <t>3,62,323</t>
  </si>
  <si>
    <t>3,98,91,798</t>
  </si>
  <si>
    <t>32,65,68,70,500.60</t>
  </si>
  <si>
    <t>3,36,701</t>
  </si>
  <si>
    <t>35,39,511</t>
  </si>
  <si>
    <t>11,34,63,86,248.00</t>
  </si>
  <si>
    <t>1,46,477</t>
  </si>
  <si>
    <t>2,00,12,293</t>
  </si>
  <si>
    <t>26,20,82,26,472.80</t>
  </si>
  <si>
    <t>3,80,780</t>
  </si>
  <si>
    <t>2,35,95,785</t>
  </si>
  <si>
    <t>19,45,73,53,746.75</t>
  </si>
  <si>
    <t>2,96,453</t>
  </si>
  <si>
    <t>42,93,470</t>
  </si>
  <si>
    <t>13,74,17,76,327.90</t>
  </si>
  <si>
    <t>1,49,121</t>
  </si>
  <si>
    <t>2,17,41,736</t>
  </si>
  <si>
    <t>2,34,74,327</t>
  </si>
  <si>
    <t>17,77,86,97,986.00</t>
  </si>
  <si>
    <t>30,59,07,35,365.60</t>
  </si>
  <si>
    <t>2,42,082</t>
  </si>
  <si>
    <t>3,18,716</t>
  </si>
  <si>
    <t>33,87,562</t>
  </si>
  <si>
    <t>10,73,46,71,175.00</t>
  </si>
  <si>
    <t>1,77,858</t>
  </si>
  <si>
    <t>2,56,05,395</t>
  </si>
  <si>
    <t>20,78,91,13,493.00</t>
  </si>
  <si>
    <t>1,77,85,223</t>
  </si>
  <si>
    <t>2,92,714</t>
  </si>
  <si>
    <t>23,02,83,93,410.00</t>
  </si>
  <si>
    <t>3,56,802</t>
  </si>
  <si>
    <t>44,99,273</t>
  </si>
  <si>
    <t>2,14,88,739</t>
  </si>
  <si>
    <t>14,07,08,02,629.30</t>
  </si>
  <si>
    <t>17,52,32,29,835.80</t>
  </si>
  <si>
    <t>1,52,322</t>
  </si>
  <si>
    <t>2,50,860</t>
  </si>
  <si>
    <t>1,64,94,759</t>
  </si>
  <si>
    <t>20,97,96,89,703.10</t>
  </si>
  <si>
    <t>3,03,591</t>
  </si>
  <si>
    <t>1,86,98,186</t>
  </si>
  <si>
    <t>20,15,150</t>
  </si>
  <si>
    <t>15,16,04,91,649.40</t>
  </si>
  <si>
    <t>2,36,20,214</t>
  </si>
  <si>
    <t>6,27,25,10,286.10</t>
  </si>
  <si>
    <t>1,81,496</t>
  </si>
  <si>
    <t>29,87,37,31,086.30</t>
  </si>
  <si>
    <t>1,38,565</t>
  </si>
  <si>
    <t>2,73,651</t>
  </si>
  <si>
    <t>1,74,15,322</t>
  </si>
  <si>
    <t>14,24,41,31,598.80</t>
  </si>
  <si>
    <t>2,10,12,796</t>
  </si>
  <si>
    <t>22,69,827</t>
  </si>
  <si>
    <t>2,52,225</t>
  </si>
  <si>
    <t>26,77,34,74,717.20</t>
  </si>
  <si>
    <t>7,13,36,63,295.30</t>
  </si>
  <si>
    <t>3,07,301</t>
  </si>
  <si>
    <t>5,60,61,789</t>
  </si>
  <si>
    <t>43,76,38,98,766.60</t>
  </si>
  <si>
    <t>1,31,17,486</t>
  </si>
  <si>
    <t>9,79,171</t>
  </si>
  <si>
    <t>16,60,37,91,532.60</t>
  </si>
  <si>
    <t>20,68,857</t>
  </si>
  <si>
    <t>2,08,052</t>
  </si>
  <si>
    <t>6,57,19,05,073.60</t>
  </si>
  <si>
    <t>4,22,46,009</t>
  </si>
  <si>
    <t>32,33,78,26,325.50</t>
  </si>
  <si>
    <t>6,44,512</t>
  </si>
  <si>
    <t>1,19,88,785</t>
  </si>
  <si>
    <t>15,31,16,01,155.20</t>
  </si>
  <si>
    <t>1,96,811</t>
  </si>
  <si>
    <t>42,79,874</t>
  </si>
  <si>
    <t>13,46,81,14,372.20</t>
  </si>
  <si>
    <t>1,49,619</t>
  </si>
  <si>
    <t>2,33,85,446</t>
  </si>
  <si>
    <t>17,62,22,36,888.00</t>
  </si>
  <si>
    <t>3,96,951</t>
  </si>
  <si>
    <t>1,86,33,321</t>
  </si>
  <si>
    <t>24,42,93,12,588.70</t>
  </si>
  <si>
    <t>2,20,103</t>
  </si>
  <si>
    <t>27,51,234</t>
  </si>
  <si>
    <t>8,77,96,79,675.40</t>
  </si>
  <si>
    <t>1,51,790</t>
  </si>
  <si>
    <t>3,25,32,090</t>
  </si>
  <si>
    <t>24,28,17,38,985.55</t>
  </si>
  <si>
    <t>4,15,811</t>
  </si>
  <si>
    <t>1,85,13,223</t>
  </si>
  <si>
    <t>24,56,16,59,086.40</t>
  </si>
  <si>
    <t>2,68,584</t>
  </si>
  <si>
    <t>24,57,641</t>
  </si>
  <si>
    <t>7,72,65,26,569.30</t>
  </si>
  <si>
    <t>1,20,763</t>
  </si>
  <si>
    <t>2,38,37,859</t>
  </si>
  <si>
    <t>17,70,10,80,022.35</t>
  </si>
  <si>
    <t>3,85,478</t>
  </si>
  <si>
    <t>1,00,29,170</t>
  </si>
  <si>
    <t>13,32,84,74,070.80</t>
  </si>
  <si>
    <t>2,23,240</t>
  </si>
  <si>
    <t>30,22,068</t>
  </si>
  <si>
    <t>9,43,38,21,429.30</t>
  </si>
  <si>
    <t>2,96,78,752</t>
  </si>
  <si>
    <t>21,98,84,22,477.70</t>
  </si>
  <si>
    <t>3,33,807</t>
  </si>
  <si>
    <t>1,54,94,549</t>
  </si>
  <si>
    <t>20,57,28,97,900.80</t>
  </si>
  <si>
    <t>2,10,055</t>
  </si>
  <si>
    <t>30,12,937</t>
  </si>
  <si>
    <t>9,58,86,09,199.60</t>
  </si>
  <si>
    <t>1,45,412</t>
  </si>
  <si>
    <t>3,38,86,037</t>
  </si>
  <si>
    <t>24,95,61,02,852.90</t>
  </si>
  <si>
    <t>4,38,835</t>
  </si>
  <si>
    <t>2,48,87,034</t>
  </si>
  <si>
    <t>32,79,50,56,305.40</t>
  </si>
  <si>
    <t>2,71,929</t>
  </si>
  <si>
    <t>26,36,272</t>
  </si>
  <si>
    <t>8,34,29,86,354.50</t>
  </si>
  <si>
    <t>1,08,170</t>
  </si>
  <si>
    <t>2,04,60,659</t>
  </si>
  <si>
    <t>15,30,04,01,444.85</t>
  </si>
  <si>
    <t>2,56,480</t>
  </si>
  <si>
    <t>1,29,31,213</t>
  </si>
  <si>
    <t>17,24,35,20,821.40</t>
  </si>
  <si>
    <t>2,61,143</t>
  </si>
  <si>
    <t>43,66,060</t>
  </si>
  <si>
    <t>3,58,44,392</t>
  </si>
  <si>
    <t>14,10,79,06,461.20</t>
  </si>
  <si>
    <t>26,91,63,53,128.70</t>
  </si>
  <si>
    <t>2,04,924</t>
  </si>
  <si>
    <t>3,56,030</t>
  </si>
  <si>
    <t>1,54,00,184</t>
  </si>
  <si>
    <t>20,30,04,11,366.40</t>
  </si>
  <si>
    <t>1,84,704</t>
  </si>
  <si>
    <t>1,08,52,595</t>
  </si>
  <si>
    <t>32,78,09,47,704.20</t>
  </si>
  <si>
    <t>5,03,705</t>
  </si>
  <si>
    <t>1,10,30,917</t>
  </si>
  <si>
    <t>14,47,51,76,030.90</t>
  </si>
  <si>
    <t>1,81,859</t>
  </si>
  <si>
    <t>2,55,22,483</t>
  </si>
  <si>
    <t>19,13,23,30,689.35</t>
  </si>
  <si>
    <t>2,96,777</t>
  </si>
  <si>
    <t>35,21,545</t>
  </si>
  <si>
    <t>10,56,50,02,490.30</t>
  </si>
  <si>
    <t>1,78,696</t>
  </si>
  <si>
    <t>1,26,94,362</t>
  </si>
  <si>
    <t>16,76,68,28,496.70</t>
  </si>
  <si>
    <t>2,26,862</t>
  </si>
  <si>
    <t>1,48,27,841</t>
  </si>
  <si>
    <t>11,16,47,88,358.50</t>
  </si>
  <si>
    <t>3,92,396</t>
  </si>
  <si>
    <t>46,87,389</t>
  </si>
  <si>
    <t>1,37,57,656</t>
  </si>
  <si>
    <t>13,75,32,36,280.20</t>
  </si>
  <si>
    <t>17,92,53,71,908.10</t>
  </si>
  <si>
    <t>3,47,514</t>
  </si>
  <si>
    <t>2,33,886</t>
  </si>
  <si>
    <t>1,56,95,263</t>
  </si>
  <si>
    <t>20,32,75,86,926.90</t>
  </si>
  <si>
    <t>23,80,318</t>
  </si>
  <si>
    <t>2,13,627</t>
  </si>
  <si>
    <t>7,01,99,76,408.70</t>
  </si>
  <si>
    <t>1,41,131</t>
  </si>
  <si>
    <t>70,01,401</t>
  </si>
  <si>
    <t>9,15,15,70,032.20</t>
  </si>
  <si>
    <t>1,49,608</t>
  </si>
  <si>
    <t>35,47,763</t>
  </si>
  <si>
    <t>10,59,11,45,975.60</t>
  </si>
  <si>
    <t>2,20,699</t>
  </si>
  <si>
    <t>1,77,95,024</t>
  </si>
  <si>
    <t>23,20,35,84,205.10</t>
  </si>
  <si>
    <t>3,31,954</t>
  </si>
  <si>
    <t>33,63,513</t>
  </si>
  <si>
    <t>9,88,33,23,310.30</t>
  </si>
  <si>
    <t>2,37,669</t>
  </si>
  <si>
    <t>78,39,550</t>
  </si>
  <si>
    <t>10,23,17,33,311.40</t>
  </si>
  <si>
    <t>2,09,968</t>
  </si>
  <si>
    <t>1,43,06,771</t>
  </si>
  <si>
    <t>16,79,16,69,195.40</t>
  </si>
  <si>
    <t>3,03,083</t>
  </si>
  <si>
    <t>1,06,12,156</t>
  </si>
  <si>
    <t>29,48,23,35,572.60</t>
  </si>
  <si>
    <t>6,60,406</t>
  </si>
  <si>
    <t>76,10,709</t>
  </si>
  <si>
    <t>10,02,16,98,838.70</t>
  </si>
  <si>
    <t>2,10,015</t>
  </si>
  <si>
    <t>1,11,68,735</t>
  </si>
  <si>
    <t>29,59,05,99,535.80</t>
  </si>
  <si>
    <t>4,15,060</t>
  </si>
  <si>
    <t>1,43,35,554</t>
  </si>
  <si>
    <t>18,83,98,74,763.20</t>
  </si>
  <si>
    <t>2,62,924</t>
  </si>
  <si>
    <t>1,35,75,619</t>
  </si>
  <si>
    <t>15,87,07,78,423.20</t>
  </si>
  <si>
    <t>2,69,178</t>
  </si>
  <si>
    <t>29,18,730</t>
  </si>
  <si>
    <t>7,85,78,74,541.60</t>
  </si>
  <si>
    <t>1,34,363</t>
  </si>
  <si>
    <t>1,99,60,868</t>
  </si>
  <si>
    <t>25,63,61,41,483.50</t>
  </si>
  <si>
    <t>3,68,557</t>
  </si>
  <si>
    <t>1,57,53,644</t>
  </si>
  <si>
    <t>18,43,75,24,153.20</t>
  </si>
  <si>
    <t>2,68,848</t>
  </si>
  <si>
    <t>42,09,118</t>
  </si>
  <si>
    <t>11,51,44,52,779.90</t>
  </si>
  <si>
    <t>1,63,505</t>
  </si>
  <si>
    <t>1,46,51,963</t>
  </si>
  <si>
    <t>18,85,02,19,782.40</t>
  </si>
  <si>
    <t>2,79,312</t>
  </si>
  <si>
    <t>1,08,06,438</t>
  </si>
  <si>
    <t>12,60,42,62,739.90</t>
  </si>
  <si>
    <t>2,40,108</t>
  </si>
  <si>
    <t>84,12,537</t>
  </si>
  <si>
    <t>10,95,07,23,928.20</t>
  </si>
  <si>
    <t>29,50,820</t>
  </si>
  <si>
    <t>1,43,317</t>
  </si>
  <si>
    <t>7,93,12,64,158.60</t>
  </si>
  <si>
    <t>1,40,494</t>
  </si>
  <si>
    <t>86,87,307</t>
  </si>
  <si>
    <t>10,19,58,33,284.65</t>
  </si>
  <si>
    <t>1,61,291</t>
  </si>
  <si>
    <t>94,88,352</t>
  </si>
  <si>
    <t>12,32,93,16,771.20</t>
  </si>
  <si>
    <t>2,27,014</t>
  </si>
  <si>
    <t>32,38,849</t>
  </si>
  <si>
    <t>8,77,50,99,079.90</t>
  </si>
  <si>
    <t>1,37,884</t>
  </si>
  <si>
    <t>1,08,60,455</t>
  </si>
  <si>
    <t>12,71,26,20,911.40</t>
  </si>
  <si>
    <t>2,06,013</t>
  </si>
  <si>
    <t>1,35,11,284</t>
  </si>
  <si>
    <t>17,52,12,20,474.20</t>
  </si>
  <si>
    <t>2,31,407</t>
  </si>
  <si>
    <t>22,93,482</t>
  </si>
  <si>
    <t>1,31,17,927</t>
  </si>
  <si>
    <t>6,15,66,33,439.20</t>
  </si>
  <si>
    <t>15,38,04,95,808.30</t>
  </si>
  <si>
    <t>2,60,022</t>
  </si>
  <si>
    <t>95,77,965</t>
  </si>
  <si>
    <t>12,45,37,01,323.80</t>
  </si>
  <si>
    <t>1,89,291</t>
  </si>
  <si>
    <t>1,34,31,801</t>
  </si>
  <si>
    <t>15,57,50,00,780.50</t>
  </si>
  <si>
    <t>2,32,399</t>
  </si>
  <si>
    <t>46,99,596</t>
  </si>
  <si>
    <t>12,57,60,73,695.10</t>
  </si>
  <si>
    <t>1,71,914</t>
  </si>
  <si>
    <t>1,09,61,370</t>
  </si>
  <si>
    <t>12,95,03,02,290.60</t>
  </si>
  <si>
    <t>2,33,289</t>
  </si>
  <si>
    <t>1,56,31,046</t>
  </si>
  <si>
    <t>20,33,90,50,955.80</t>
  </si>
  <si>
    <t>2,19,816</t>
  </si>
  <si>
    <t>66,86,394</t>
  </si>
  <si>
    <t>7,89,88,45,446.25</t>
  </si>
  <si>
    <t>77,98,833</t>
  </si>
  <si>
    <t>1,23,110</t>
  </si>
  <si>
    <t>20,17,55,18,856.60</t>
  </si>
  <si>
    <t>4,24,406</t>
  </si>
  <si>
    <t>1,83,02,218</t>
  </si>
  <si>
    <t>24,18,43,86,410.40</t>
  </si>
  <si>
    <t>1,04,27,061</t>
  </si>
  <si>
    <t>2,57,494</t>
  </si>
  <si>
    <t>12,31,71,05,974.95</t>
  </si>
  <si>
    <t>1,79,266</t>
  </si>
  <si>
    <t>36,21,285</t>
  </si>
  <si>
    <t>9,53,17,84,527.20</t>
  </si>
  <si>
    <t>1,70,312</t>
  </si>
  <si>
    <t>1,72,34,142</t>
  </si>
  <si>
    <t>20,20,31,11,541.65</t>
  </si>
  <si>
    <t>2,32,318</t>
  </si>
  <si>
    <t>1,43,05,844</t>
  </si>
  <si>
    <t>19,02,90,41,193.90</t>
  </si>
  <si>
    <t>2,21,661</t>
  </si>
  <si>
    <t>34,64,267</t>
  </si>
  <si>
    <t>9,17,81,07,812.80</t>
  </si>
  <si>
    <t>1,48,371</t>
  </si>
  <si>
    <t>85,64,142</t>
  </si>
  <si>
    <t>10,16,94,62,494.05</t>
  </si>
  <si>
    <t>2,48,029</t>
  </si>
  <si>
    <t>1,27,53,410</t>
  </si>
  <si>
    <t>16,70,08,09,195.30</t>
  </si>
  <si>
    <t>2,04,419</t>
  </si>
  <si>
    <t>75,18,309</t>
  </si>
  <si>
    <t>50,83,717</t>
  </si>
  <si>
    <t>9,02,14,22,625.60</t>
  </si>
  <si>
    <t>13,44,59,33,670.90</t>
  </si>
  <si>
    <t>1,73,481</t>
  </si>
  <si>
    <t>1,66,737</t>
  </si>
  <si>
    <t>1,08,40,383</t>
  </si>
  <si>
    <t>13,99,50,01,337.70</t>
  </si>
  <si>
    <t>2,25,591</t>
  </si>
  <si>
    <t>1,09,20,226</t>
  </si>
  <si>
    <t>13,22,44,00,323.25</t>
  </si>
  <si>
    <t>1,49,344</t>
  </si>
  <si>
    <t>1,25,80,741</t>
  </si>
  <si>
    <t>33,74,385</t>
  </si>
  <si>
    <t>16,05,26,96,292.60</t>
  </si>
  <si>
    <t>8,79,48,98,070.10</t>
  </si>
  <si>
    <t>2,40,048</t>
  </si>
  <si>
    <t>2,27,265</t>
  </si>
  <si>
    <t>1,62,95,325</t>
  </si>
  <si>
    <t>19,92,77,90,422.65</t>
  </si>
  <si>
    <t>1,96,362</t>
  </si>
  <si>
    <t>98,17,000</t>
  </si>
  <si>
    <t>12,50,99,75,780.10</t>
  </si>
  <si>
    <t>2,40,418</t>
  </si>
  <si>
    <t>34,46,434</t>
  </si>
  <si>
    <t>8,95,44,59,042.60</t>
  </si>
  <si>
    <t>1,93,409</t>
  </si>
  <si>
    <t>1,22,91,305</t>
  </si>
  <si>
    <t>15,03,47,80,643.15</t>
  </si>
  <si>
    <t>1,89,822</t>
  </si>
  <si>
    <t>71,63,132</t>
  </si>
  <si>
    <t>9,17,65,06,048.70</t>
  </si>
  <si>
    <t>1,30,094</t>
  </si>
  <si>
    <t>1,08,06,748</t>
  </si>
  <si>
    <t>13,24,28,85,244.55</t>
  </si>
  <si>
    <t>2,34,393</t>
  </si>
  <si>
    <t>29,60,636</t>
  </si>
  <si>
    <t>7,60,27,67,475.60</t>
  </si>
  <si>
    <t>1,86,527</t>
  </si>
  <si>
    <t>93,12,184</t>
  </si>
  <si>
    <t>11,83,60,95,240.80</t>
  </si>
  <si>
    <t>2,33,124</t>
  </si>
  <si>
    <t>2,12,11,148</t>
  </si>
  <si>
    <t>26,05,13,02,724.15</t>
  </si>
  <si>
    <t>2,80,420</t>
  </si>
  <si>
    <t>94,48,307</t>
  </si>
  <si>
    <t>12,05,18,05,840.60</t>
  </si>
  <si>
    <t>39,98,643</t>
  </si>
  <si>
    <t>1,93,119</t>
  </si>
  <si>
    <t>10,32,26,55,875.30</t>
  </si>
  <si>
    <t>1,43,599</t>
  </si>
  <si>
    <t>1,25,16,759</t>
  </si>
  <si>
    <t>15,39,18,98,359.80</t>
  </si>
  <si>
    <t>3,03,615</t>
  </si>
  <si>
    <t>1,21,58,451</t>
  </si>
  <si>
    <t>15,68,94,34,967.60</t>
  </si>
  <si>
    <t>2,09,491</t>
  </si>
  <si>
    <t>1,91,14,907</t>
  </si>
  <si>
    <t>23,63,47,02,771.55</t>
  </si>
  <si>
    <t>2,41,160</t>
  </si>
  <si>
    <t>36,53,428</t>
  </si>
  <si>
    <t>9,22,61,03,997.60</t>
  </si>
  <si>
    <t>1,91,560</t>
  </si>
  <si>
    <t>86,24,996</t>
  </si>
  <si>
    <t>11,23,91,64,495.90</t>
  </si>
  <si>
    <t>1,35,05,843</t>
  </si>
  <si>
    <t>16,71,92,75,265.80</t>
  </si>
  <si>
    <t>1,42,746</t>
  </si>
  <si>
    <t>2,39,189</t>
  </si>
  <si>
    <t>43,23,710</t>
  </si>
  <si>
    <t>75,08,023</t>
  </si>
  <si>
    <t>91,42,811</t>
  </si>
  <si>
    <t>10,84,06,45,308.20</t>
  </si>
  <si>
    <t>9,84,36,85,449.40</t>
  </si>
  <si>
    <t>11,29,82,02,305.60</t>
  </si>
  <si>
    <t>2,14,008</t>
  </si>
  <si>
    <t>1,60,981</t>
  </si>
  <si>
    <t>1,58,782</t>
  </si>
  <si>
    <t>1,01,70,479</t>
  </si>
  <si>
    <t>12,38,21,67,972.95</t>
  </si>
  <si>
    <t>3,47,361</t>
  </si>
  <si>
    <t>27,20,664</t>
  </si>
  <si>
    <t>6,75,52,04,516.50</t>
  </si>
  <si>
    <t>1,92,326</t>
  </si>
  <si>
    <t>1,38,63,250</t>
  </si>
  <si>
    <t>16,98,86,66,399.95</t>
  </si>
  <si>
    <t>2,41,629</t>
  </si>
  <si>
    <t>1,55,45,130</t>
  </si>
  <si>
    <t>19,21,14,36,678.40</t>
  </si>
  <si>
    <t>3,23,300</t>
  </si>
  <si>
    <t>27,52,075</t>
  </si>
  <si>
    <t>6,74,52,52,596.10</t>
  </si>
  <si>
    <t>1,65,970</t>
  </si>
  <si>
    <t>1,19,93,242</t>
  </si>
  <si>
    <t>14,80,79,86,266.10</t>
  </si>
  <si>
    <t>1,83,989</t>
  </si>
  <si>
    <t>1,53,76,442</t>
  </si>
  <si>
    <t>24,66,488</t>
  </si>
  <si>
    <t>19,11,64,92,463.75</t>
  </si>
  <si>
    <t>2,11,567</t>
  </si>
  <si>
    <t>5,96,41,19,962.40</t>
  </si>
  <si>
    <t>1,80,674</t>
  </si>
  <si>
    <t>98,77,288</t>
  </si>
  <si>
    <t>12,34,16,63,943.30</t>
  </si>
  <si>
    <t>2,68,203</t>
  </si>
  <si>
    <t>38,07,907</t>
  </si>
  <si>
    <t>9,11,68,14,433.00</t>
  </si>
  <si>
    <t>1,69,215</t>
  </si>
  <si>
    <t>89,73,335</t>
  </si>
  <si>
    <t>11,28,40,07,408.70</t>
  </si>
  <si>
    <t>1,65,577</t>
  </si>
  <si>
    <t>1,15,13,121</t>
  </si>
  <si>
    <t>14,58,91,89,437.25</t>
  </si>
  <si>
    <t>2,04,010</t>
  </si>
  <si>
    <t>29,93,367</t>
  </si>
  <si>
    <t>7,14,58,03,596.00</t>
  </si>
  <si>
    <t>2,07,239</t>
  </si>
  <si>
    <t>1,24,66,597</t>
  </si>
  <si>
    <t>16,03,77,67,362.20</t>
  </si>
  <si>
    <t>2,40,630</t>
  </si>
  <si>
    <t>1,31,72,268</t>
  </si>
  <si>
    <t>17,03,69,55,554.90</t>
  </si>
  <si>
    <t>2,10,277</t>
  </si>
  <si>
    <t>30,82,388</t>
  </si>
  <si>
    <t>7,57,41,39,825.80</t>
  </si>
  <si>
    <t>1,49,271</t>
  </si>
  <si>
    <t>7,32,57,767</t>
  </si>
  <si>
    <t>97,53,37,34,303.10</t>
  </si>
  <si>
    <t>5,44,641</t>
  </si>
  <si>
    <t>27,57,060</t>
  </si>
  <si>
    <t>6,55,84,45,932.60</t>
  </si>
  <si>
    <t>1,71,760</t>
  </si>
  <si>
    <t>1,13,80,409</t>
  </si>
  <si>
    <t>15,02,36,16,031.40</t>
  </si>
  <si>
    <t>3,09,380</t>
  </si>
  <si>
    <t>1,38,86,037</t>
  </si>
  <si>
    <t>18,33,98,47,790.40</t>
  </si>
  <si>
    <t>2,50,464</t>
  </si>
  <si>
    <t>42,06,320</t>
  </si>
  <si>
    <t>10,03,05,76,230.90</t>
  </si>
  <si>
    <t>1,86,293</t>
  </si>
  <si>
    <t>87,28,019</t>
  </si>
  <si>
    <t>11,54,55,32,561.70</t>
  </si>
  <si>
    <t>1,74,582</t>
  </si>
  <si>
    <t>1,11,00,869</t>
  </si>
  <si>
    <t>14,72,66,92,627.25</t>
  </si>
  <si>
    <t>2,78,312</t>
  </si>
  <si>
    <t>38,60,515</t>
  </si>
  <si>
    <t>9,22,32,42,939.10</t>
  </si>
  <si>
    <t>2,14,767</t>
  </si>
  <si>
    <t>1,71,17,379</t>
  </si>
  <si>
    <t>22,46,71,83,500.85</t>
  </si>
  <si>
    <t>2,89,431</t>
  </si>
  <si>
    <t>34,20,182</t>
  </si>
  <si>
    <t>8,22,77,06,052.40</t>
  </si>
  <si>
    <t>1,26,22,212</t>
  </si>
  <si>
    <t>1,74,467</t>
  </si>
  <si>
    <t>16,13,77,80,831.80</t>
  </si>
  <si>
    <t>2,40,013</t>
  </si>
  <si>
    <t>1,09,72,413</t>
  </si>
  <si>
    <t>13,97,97,58,159.00</t>
  </si>
  <si>
    <t>1,91,587</t>
  </si>
  <si>
    <t>58,43,778</t>
  </si>
  <si>
    <t>14,00,92,57,427.90</t>
  </si>
  <si>
    <t>2,16,118</t>
  </si>
  <si>
    <t>1,76,48,551</t>
  </si>
  <si>
    <t>22,13,07,53,423.90</t>
  </si>
  <si>
    <t>3,37,808</t>
  </si>
  <si>
    <t>1,34,88,887</t>
  </si>
  <si>
    <t>16,83,98,82,681.70</t>
  </si>
  <si>
    <t>49,79,411</t>
  </si>
  <si>
    <t>3,26,830</t>
  </si>
  <si>
    <t>11,96,86,98,699.20</t>
  </si>
  <si>
    <t>2,04,594</t>
  </si>
  <si>
    <t>2,06,67,247</t>
  </si>
  <si>
    <t>25,68,42,16,795.90</t>
  </si>
  <si>
    <t>4,39,173</t>
  </si>
  <si>
    <t>68,04,756</t>
  </si>
  <si>
    <t>16,13,35,42,829.30</t>
  </si>
  <si>
    <t>1,86,938</t>
  </si>
  <si>
    <t>1,22,19,259</t>
  </si>
  <si>
    <t>15,13,59,72,486.95</t>
  </si>
  <si>
    <t>2,57,858</t>
  </si>
  <si>
    <t>1,47,65,997</t>
  </si>
  <si>
    <t>18,40,86,62,575.60</t>
  </si>
  <si>
    <t>2,60,234</t>
  </si>
  <si>
    <t>41,32,661</t>
  </si>
  <si>
    <t>10,05,76,37,617.80</t>
  </si>
  <si>
    <t>1,47,044</t>
  </si>
  <si>
    <t>91,18,195</t>
  </si>
  <si>
    <t>11,34,91,42,276.10</t>
  </si>
  <si>
    <t>2,65,371</t>
  </si>
  <si>
    <t>84,72,512</t>
  </si>
  <si>
    <t>10,40,50,84,855.95</t>
  </si>
  <si>
    <t>2,84,576</t>
  </si>
  <si>
    <t>53,78,361</t>
  </si>
  <si>
    <t>13,06,21,62,395.40</t>
  </si>
  <si>
    <t>2,53,292</t>
  </si>
  <si>
    <t>1,18,33,929</t>
  </si>
  <si>
    <t>14,58,02,70,211.55</t>
  </si>
  <si>
    <t>2,30,853</t>
  </si>
  <si>
    <t>25,72,417</t>
  </si>
  <si>
    <t>1,16,57,338</t>
  </si>
  <si>
    <t>6,34,21,91,751.10</t>
  </si>
  <si>
    <t>14,58,53,23,470.45</t>
  </si>
  <si>
    <t>2,16,309</t>
  </si>
  <si>
    <t>1,18,175</t>
  </si>
  <si>
    <t>78,69,727</t>
  </si>
  <si>
    <t>9,81,78,09,931.20</t>
  </si>
  <si>
    <t>2,07,420</t>
  </si>
  <si>
    <t>45,16,550</t>
  </si>
  <si>
    <t>11,39,39,81,114.00</t>
  </si>
  <si>
    <t>2,19,120</t>
  </si>
  <si>
    <t>84,59,497</t>
  </si>
  <si>
    <t>10,44,75,82,321.90</t>
  </si>
  <si>
    <t>1,60,363</t>
  </si>
  <si>
    <t>1,10,18,126</t>
  </si>
  <si>
    <t>13,84,29,29,408.20</t>
  </si>
  <si>
    <t>2,29,878</t>
  </si>
  <si>
    <t>47,69,337</t>
  </si>
  <si>
    <t>12,19,58,04,701.30</t>
  </si>
  <si>
    <t>2,36,001</t>
  </si>
  <si>
    <t>77,42,775</t>
  </si>
  <si>
    <t>9,75,69,42,032.15</t>
  </si>
  <si>
    <t>1,55,332</t>
  </si>
  <si>
    <t>56,28,261</t>
  </si>
  <si>
    <t>14,50,87,58,087.80</t>
  </si>
  <si>
    <t>2,00,90,801</t>
  </si>
  <si>
    <t>2,18,190</t>
  </si>
  <si>
    <t>25,57,65,70,325.35</t>
  </si>
  <si>
    <t>4,08,613</t>
  </si>
  <si>
    <t>1,40,55,447</t>
  </si>
  <si>
    <t>17,59,16,29,567.80</t>
  </si>
  <si>
    <t>3,19,605</t>
  </si>
  <si>
    <t>1,04,80,239</t>
  </si>
  <si>
    <t>26,43,82,19,057.00</t>
  </si>
  <si>
    <t>3,73,922</t>
  </si>
  <si>
    <t>1,22,23,031</t>
  </si>
  <si>
    <t>15,31,21,32,847.55</t>
  </si>
  <si>
    <t>3,13,840</t>
  </si>
  <si>
    <t>37,39,587</t>
  </si>
  <si>
    <t>9,27,56,88,865.00</t>
  </si>
  <si>
    <t>1,52,183</t>
  </si>
  <si>
    <t>1,35,46,055</t>
  </si>
  <si>
    <t>16,93,31,02,486.65</t>
  </si>
  <si>
    <t>3,70,555</t>
  </si>
  <si>
    <t>2,40,96,412</t>
  </si>
  <si>
    <t>52,61,384</t>
  </si>
  <si>
    <t>31,25,13,79,929.30</t>
  </si>
  <si>
    <t>13,37,45,54,360.50</t>
  </si>
  <si>
    <t>6,19,071</t>
  </si>
  <si>
    <t>1,86,444</t>
  </si>
  <si>
    <t>2,06,56,117</t>
  </si>
  <si>
    <t>27,29,19,48,603.05</t>
  </si>
  <si>
    <t>4,36,897</t>
  </si>
  <si>
    <t>39,05,403</t>
  </si>
  <si>
    <t>10,05,74,27,039.80</t>
  </si>
  <si>
    <t>1,74,580</t>
  </si>
  <si>
    <t>1,50,55,031</t>
  </si>
  <si>
    <t>19,76,42,32,516.20</t>
  </si>
  <si>
    <t>2,85,240</t>
  </si>
  <si>
    <t>27,18,206</t>
  </si>
  <si>
    <t>7,00,74,72,973.50</t>
  </si>
  <si>
    <t>1,31,272</t>
  </si>
  <si>
    <t>2,34,97,314</t>
  </si>
  <si>
    <t>30,45,90,66,088.40</t>
  </si>
  <si>
    <t>2,50,950</t>
  </si>
  <si>
    <t>10,07,022</t>
  </si>
  <si>
    <t>22,88,558</t>
  </si>
  <si>
    <t>1,30,11,80,367.65</t>
  </si>
  <si>
    <t>5,90,69,41,172.80</t>
  </si>
  <si>
    <t>1,24,006</t>
  </si>
  <si>
    <t>1,43,09,121</t>
  </si>
  <si>
    <t>18,26,56,49,923.80</t>
  </si>
  <si>
    <t>2,68,956</t>
  </si>
  <si>
    <t>27,19,959</t>
  </si>
  <si>
    <t>7,06,22,45,701.10</t>
  </si>
  <si>
    <t>1,26,132</t>
  </si>
  <si>
    <t>1,64,31,920</t>
  </si>
  <si>
    <t>21,10,40,80,468.90</t>
  </si>
  <si>
    <t>2,62,702</t>
  </si>
  <si>
    <t>52,32,045</t>
  </si>
  <si>
    <t>13,30,89,11,672.10</t>
  </si>
  <si>
    <t>2,34,440</t>
  </si>
  <si>
    <t>1,20,37,405</t>
  </si>
  <si>
    <t>15,73,25,82,044.35</t>
  </si>
  <si>
    <t>2,01,411</t>
  </si>
  <si>
    <t>25,09,050</t>
  </si>
  <si>
    <t>6,36,80,42,336.20</t>
  </si>
  <si>
    <t>1,16,013</t>
  </si>
  <si>
    <t>99,09,035</t>
  </si>
  <si>
    <t>12,70,81,18,911.40</t>
  </si>
  <si>
    <t>1,85,720</t>
  </si>
  <si>
    <t>51,07,719</t>
  </si>
  <si>
    <t>12,39,18,09,512.40</t>
  </si>
  <si>
    <t>3,00,607</t>
  </si>
  <si>
    <t>1,11,95,808</t>
  </si>
  <si>
    <t>14,11,04,19,237.85</t>
  </si>
  <si>
    <t>2,33,807</t>
  </si>
  <si>
    <t>58,53,425</t>
  </si>
  <si>
    <t>14,27,98,01,556.70</t>
  </si>
  <si>
    <t>2,26,406</t>
  </si>
  <si>
    <t>83,87,780</t>
  </si>
  <si>
    <t>10,61,92,76,125.00</t>
  </si>
  <si>
    <t>1,93,310</t>
  </si>
  <si>
    <t>45,08,363</t>
  </si>
  <si>
    <t>11,05,84,22,250.70</t>
  </si>
  <si>
    <t>2,02,414</t>
  </si>
  <si>
    <t>1,34,86,168</t>
  </si>
  <si>
    <t>17,20,84,86,809.70</t>
  </si>
  <si>
    <t>2,51,685</t>
  </si>
  <si>
    <t>28,35,961</t>
  </si>
  <si>
    <t>7,01,54,68,503.50</t>
  </si>
  <si>
    <t>1,45,414</t>
  </si>
  <si>
    <t>1,22,60,404</t>
  </si>
  <si>
    <t>15,46,09,65,858.00</t>
  </si>
  <si>
    <t>2,58,070</t>
  </si>
  <si>
    <t>39,70,446</t>
  </si>
  <si>
    <t>9,80,88,81,103.10</t>
  </si>
  <si>
    <t>95,06,892</t>
  </si>
  <si>
    <t>1,75,405</t>
  </si>
  <si>
    <t>11,93,35,98,279.70</t>
  </si>
  <si>
    <t>2,24,597</t>
  </si>
  <si>
    <t>61,95,554</t>
  </si>
  <si>
    <t>26,32,358</t>
  </si>
  <si>
    <t>7,77,30,53,428.25</t>
  </si>
  <si>
    <t>6,43,37,88,855.30</t>
  </si>
  <si>
    <t>2,04,301</t>
  </si>
  <si>
    <t>1,45,629</t>
  </si>
  <si>
    <t>1,15,37,317</t>
  </si>
  <si>
    <t>14,43,94,01,407.20</t>
  </si>
  <si>
    <t>2,40,94,139</t>
  </si>
  <si>
    <t>2,33,269</t>
  </si>
  <si>
    <t>11,70,52,82,411.05</t>
  </si>
  <si>
    <t>33,85,720</t>
  </si>
  <si>
    <t>2,40,878</t>
  </si>
  <si>
    <t>8,23,54,52,650.20</t>
  </si>
  <si>
    <t>1,34,489</t>
  </si>
  <si>
    <t>95,93,870</t>
  </si>
  <si>
    <t>11,96,71,89,179.00</t>
  </si>
  <si>
    <t>2,09,109</t>
  </si>
  <si>
    <t>31,47,628</t>
  </si>
  <si>
    <t>7,66,07,43,017.80</t>
  </si>
  <si>
    <t>1,30,239</t>
  </si>
  <si>
    <t>1,16,04,338</t>
  </si>
  <si>
    <t>14,79,58,57,555.95</t>
  </si>
  <si>
    <t>2,14,688</t>
  </si>
  <si>
    <t>58,29,594</t>
  </si>
  <si>
    <t>2,27,17,581</t>
  </si>
  <si>
    <t>14,04,02,48,979.00</t>
  </si>
  <si>
    <t>29,58,75,14,842.45</t>
  </si>
  <si>
    <t>1,67,098</t>
  </si>
  <si>
    <t>2,05,883</t>
  </si>
  <si>
    <t>1,37,22,855</t>
  </si>
  <si>
    <t>6,69,01,15,892.10</t>
  </si>
  <si>
    <t>1,65,576</t>
  </si>
  <si>
    <t>37,92,199</t>
  </si>
  <si>
    <t>9,05,48,24,056.00</t>
  </si>
  <si>
    <t>1,84,241</t>
  </si>
  <si>
    <t>76,46,955</t>
  </si>
  <si>
    <t>9,98,76,88,168.25</t>
  </si>
  <si>
    <t>1,64,865</t>
  </si>
  <si>
    <t>19,75,188</t>
  </si>
  <si>
    <t>4,73,57,75,184.10</t>
  </si>
  <si>
    <t>1,16,550</t>
  </si>
  <si>
    <t>2,19,38,082</t>
  </si>
  <si>
    <t>28,56,66,03,156.60</t>
  </si>
  <si>
    <t>2,22,370</t>
  </si>
  <si>
    <t>1,09,00,585</t>
  </si>
  <si>
    <t>5,36,26,50,358.25</t>
  </si>
  <si>
    <t>1,73,490</t>
  </si>
  <si>
    <t>63,47,884</t>
  </si>
  <si>
    <t>14,61,47,16,645.60</t>
  </si>
  <si>
    <t>3,58,785</t>
  </si>
  <si>
    <t>2,28,03,745</t>
  </si>
  <si>
    <t>29,47,79,62,300.30</t>
  </si>
  <si>
    <t>2,75,436</t>
  </si>
  <si>
    <t>2,05,58,134</t>
  </si>
  <si>
    <t>10,17,59,99,936.05</t>
  </si>
  <si>
    <t>2,50,724</t>
  </si>
  <si>
    <t>31,71,843</t>
  </si>
  <si>
    <t>7,24,80,98,371.80</t>
  </si>
  <si>
    <t>1,69,055</t>
  </si>
  <si>
    <t>1,13,97,228</t>
  </si>
  <si>
    <t>14,78,14,29,160.60</t>
  </si>
  <si>
    <t>2,42,391</t>
  </si>
  <si>
    <t>92,01,793</t>
  </si>
  <si>
    <t>56,33,313</t>
  </si>
  <si>
    <t>4,55,83,87,017.25</t>
  </si>
  <si>
    <t>12,60,07,36,362.00</t>
  </si>
  <si>
    <t>1,44,367</t>
  </si>
  <si>
    <t>2,41,132</t>
  </si>
  <si>
    <t>96,26,400</t>
  </si>
  <si>
    <t>12,54,75,91,627.65</t>
  </si>
  <si>
    <t>2,25,242</t>
  </si>
  <si>
    <t>34,10,637</t>
  </si>
  <si>
    <t>7,77,64,69,684.80</t>
  </si>
  <si>
    <t>90,76,097</t>
  </si>
  <si>
    <t>1,35,890</t>
  </si>
  <si>
    <t>4,51,11,89,537.95</t>
  </si>
  <si>
    <t>1,15,09,276</t>
  </si>
  <si>
    <t>1,33,143</t>
  </si>
  <si>
    <t>15,04,13,01,418.20</t>
  </si>
  <si>
    <t>2,35,915</t>
  </si>
  <si>
    <t>37,73,336</t>
  </si>
  <si>
    <t>8,59,23,31,857.60</t>
  </si>
  <si>
    <t>1,18,965</t>
  </si>
  <si>
    <t>77,57,706</t>
  </si>
  <si>
    <t>1,15,70,281</t>
  </si>
  <si>
    <t>3,82,67,62,550.05</t>
  </si>
  <si>
    <t>15,19,50,02,837.45</t>
  </si>
  <si>
    <t>1,19,952</t>
  </si>
  <si>
    <t>2,47,575</t>
  </si>
  <si>
    <t>1,03,94,707</t>
  </si>
  <si>
    <t>24,39,98,67,016.00</t>
  </si>
  <si>
    <t>2,36,124</t>
  </si>
  <si>
    <t>1,92,10,697</t>
  </si>
  <si>
    <t>25,53,82,93,421.05</t>
  </si>
  <si>
    <t>2,81,891</t>
  </si>
  <si>
    <t>92,53,598</t>
  </si>
  <si>
    <t>4,57,16,25,348.00</t>
  </si>
  <si>
    <t>1,50,643</t>
  </si>
  <si>
    <t>25,37,422</t>
  </si>
  <si>
    <t>5,91,88,03,274.80</t>
  </si>
  <si>
    <t>89,42,672</t>
  </si>
  <si>
    <t>11,93,50,98,947.85</t>
  </si>
  <si>
    <t>2,08,546</t>
  </si>
  <si>
    <t>1,31,37,392</t>
  </si>
  <si>
    <t>6,54,94,43,406.85</t>
  </si>
  <si>
    <t>1,64,043</t>
  </si>
  <si>
    <t>32,99,087</t>
  </si>
  <si>
    <t>7,66,79,13,393.70</t>
  </si>
  <si>
    <t>1,06,203</t>
  </si>
  <si>
    <t>80,00,764</t>
  </si>
  <si>
    <t>10,58,95,99,383.15</t>
  </si>
  <si>
    <t>1,48,025</t>
  </si>
  <si>
    <t>1,01,98,725</t>
  </si>
  <si>
    <t>5,14,41,20,039.10</t>
  </si>
  <si>
    <t>1,66,648</t>
  </si>
  <si>
    <t>26,17,262</t>
  </si>
  <si>
    <t>6,08,13,46,029.20</t>
  </si>
  <si>
    <t>82,18,214</t>
  </si>
  <si>
    <t>10,91,13,93,630.45</t>
  </si>
  <si>
    <t>1,57,320</t>
  </si>
  <si>
    <t>66,33,171</t>
  </si>
  <si>
    <t>3,31,62,78,832.00</t>
  </si>
  <si>
    <t>1,15,083</t>
  </si>
  <si>
    <t>32,98,364</t>
  </si>
  <si>
    <t>81,38,066</t>
  </si>
  <si>
    <t>7,62,02,24,109.50</t>
  </si>
  <si>
    <t>10,78,85,13,650.25</t>
  </si>
  <si>
    <t>1,77,570</t>
  </si>
  <si>
    <t>84,74,830</t>
  </si>
  <si>
    <t>4,28,00,48,280.45</t>
  </si>
  <si>
    <t>1,21,930</t>
  </si>
  <si>
    <t>90,76,896</t>
  </si>
  <si>
    <t>12,07,90,25,779.50</t>
  </si>
  <si>
    <t>1,89,489</t>
  </si>
  <si>
    <t>35,87,597</t>
  </si>
  <si>
    <t>8,21,55,34,119.50</t>
  </si>
  <si>
    <t>1,30,719</t>
  </si>
  <si>
    <t>83,64,290</t>
  </si>
  <si>
    <t>1,35,36,684</t>
  </si>
  <si>
    <t>4,22,12,24,253.25</t>
  </si>
  <si>
    <t>18,06,71,55,840.10</t>
  </si>
  <si>
    <t>1,45,029</t>
  </si>
  <si>
    <t>2,26,965</t>
  </si>
  <si>
    <t>26,53,950</t>
  </si>
  <si>
    <t>6,04,16,27,688.20</t>
  </si>
  <si>
    <t>1,23,480</t>
  </si>
  <si>
    <t>90,71,006</t>
  </si>
  <si>
    <t>12,20,52,96,470.75</t>
  </si>
  <si>
    <t>78,91,446</t>
  </si>
  <si>
    <t>2,37,730</t>
  </si>
  <si>
    <t>3,97,88,80,053.35</t>
  </si>
  <si>
    <t>1,08,800</t>
  </si>
  <si>
    <t>1,63,31,582</t>
  </si>
  <si>
    <t>98,79,257</t>
  </si>
  <si>
    <t>37,10,46,29,642.30</t>
  </si>
  <si>
    <t>13,17,33,06,009.95</t>
  </si>
  <si>
    <t>2,31,376</t>
  </si>
  <si>
    <t>2,08,644</t>
  </si>
  <si>
    <t>78,25,037</t>
  </si>
  <si>
    <t>3,95,89,00,282.55</t>
  </si>
  <si>
    <t>1,48,265</t>
  </si>
  <si>
    <t>85,10,595</t>
  </si>
  <si>
    <t>11,20,40,88,446.20</t>
  </si>
  <si>
    <t>1,97,721</t>
  </si>
  <si>
    <t>1,15,17,304</t>
  </si>
  <si>
    <t>14,86,57,36,643.05</t>
  </si>
  <si>
    <t>2,41,978</t>
  </si>
  <si>
    <t>79,54,114</t>
  </si>
  <si>
    <t>3,99,43,35,939.60</t>
  </si>
  <si>
    <t>1,23,723</t>
  </si>
  <si>
    <t>75,05,095</t>
  </si>
  <si>
    <t>5,84,91,181</t>
  </si>
  <si>
    <t>75,32,67,11,266.25</t>
  </si>
  <si>
    <t>17,26,77,97,717.50</t>
  </si>
  <si>
    <t>1,54,067</t>
  </si>
  <si>
    <t>2,87,315</t>
  </si>
  <si>
    <t>77,82,216</t>
  </si>
  <si>
    <t>3,88,17,94,042.20</t>
  </si>
  <si>
    <t>1,28,939</t>
  </si>
  <si>
    <t>68,27,512</t>
  </si>
  <si>
    <t>8,84,24,49,619.05</t>
  </si>
  <si>
    <t>2,08,282</t>
  </si>
  <si>
    <t>1,13,06,127</t>
  </si>
  <si>
    <t>27,35,04,73,864.60</t>
  </si>
  <si>
    <t>3,66,391</t>
  </si>
  <si>
    <t>1,86,70,632</t>
  </si>
  <si>
    <t>71,38,516</t>
  </si>
  <si>
    <t>9,40,48,44,586.20</t>
  </si>
  <si>
    <t>9,25,06,48,957.45</t>
  </si>
  <si>
    <t>1,25,187</t>
  </si>
  <si>
    <t>2,03,893</t>
  </si>
  <si>
    <t>1,56,60,062</t>
  </si>
  <si>
    <t>35,51,36,38,076.70</t>
  </si>
  <si>
    <t>73,38,444</t>
  </si>
  <si>
    <t>Date</t>
  </si>
  <si>
    <t>5,02,630</t>
  </si>
  <si>
    <t>9,51,69,53,866.75</t>
  </si>
  <si>
    <t>1,49,47,670</t>
  </si>
  <si>
    <t>1,91,694</t>
  </si>
  <si>
    <t>Open</t>
  </si>
  <si>
    <t>7,51,22,53,452.80</t>
  </si>
  <si>
    <t>1,49,051</t>
  </si>
  <si>
    <t>High</t>
  </si>
  <si>
    <t>Low</t>
  </si>
  <si>
    <t>Close</t>
  </si>
  <si>
    <t>Shares Traded</t>
  </si>
  <si>
    <t>Turnover (₹ Cr)</t>
  </si>
  <si>
    <t>47,56,066</t>
  </si>
  <si>
    <t>6,21,60,64,274.20</t>
  </si>
  <si>
    <t>1,09,355</t>
  </si>
  <si>
    <t>1,58,85,469</t>
  </si>
  <si>
    <t>48,67,263</t>
  </si>
  <si>
    <t>8,10,12,52,606.15</t>
  </si>
  <si>
    <t>10,88,54,12,981.10</t>
  </si>
  <si>
    <t>2,15,525</t>
  </si>
  <si>
    <t>1,56,136</t>
  </si>
  <si>
    <t>MEAN NIFTY DAILY RETURN</t>
  </si>
  <si>
    <t>1,42,07,425</t>
  </si>
  <si>
    <t>18,52,20,89,560.05</t>
  </si>
  <si>
    <t>2,58,242</t>
  </si>
  <si>
    <t>1,20,18,677</t>
  </si>
  <si>
    <t>6,16,03,57,721.90</t>
  </si>
  <si>
    <t>1,86,272</t>
  </si>
  <si>
    <t>50,19,717</t>
  </si>
  <si>
    <t>11,14,31,26,655.80</t>
  </si>
  <si>
    <t>2,26,269</t>
  </si>
  <si>
    <t>84,49,607</t>
  </si>
  <si>
    <t>10,83,80,26,946.50</t>
  </si>
  <si>
    <t>1,47,036</t>
  </si>
  <si>
    <t>84,14,967</t>
  </si>
  <si>
    <t>4,25,91,22,977.75</t>
  </si>
  <si>
    <t>1,44,592</t>
  </si>
  <si>
    <t>65,36,734</t>
  </si>
  <si>
    <t>47,05,399</t>
  </si>
  <si>
    <t>14,10,82,36,765.00</t>
  </si>
  <si>
    <t>6,04,13,47,562.15</t>
  </si>
  <si>
    <t>1,97,493</t>
  </si>
  <si>
    <t>1,52,286</t>
  </si>
  <si>
    <t>1,08,98,888</t>
  </si>
  <si>
    <t>5,56,19,02,271.30</t>
  </si>
  <si>
    <t>1,37,332</t>
  </si>
  <si>
    <t>74,33,222</t>
  </si>
  <si>
    <t>9,57,65,23,020.85</t>
  </si>
  <si>
    <t>41,48,655</t>
  </si>
  <si>
    <t>2,89,378</t>
  </si>
  <si>
    <t>8,91,43,99,373.70</t>
  </si>
  <si>
    <t>1,11,94,997</t>
  </si>
  <si>
    <t>14,21,09,18,649.70</t>
  </si>
  <si>
    <t>2,19,218</t>
  </si>
  <si>
    <t>1,37,16,752</t>
  </si>
  <si>
    <t>1,37,800</t>
  </si>
  <si>
    <t>6,88,85,30,757.30</t>
  </si>
  <si>
    <t>2,26,806</t>
  </si>
  <si>
    <t>75,04,047</t>
  </si>
  <si>
    <t>9,49,51,49,142.20</t>
  </si>
  <si>
    <t>2,36,168</t>
  </si>
  <si>
    <t>75,39,758</t>
  </si>
  <si>
    <t>9,65,35,65,084.15</t>
  </si>
  <si>
    <t>1,53,173</t>
  </si>
  <si>
    <t>1,37,36,044</t>
  </si>
  <si>
    <t>6,99,80,44,346.50</t>
  </si>
  <si>
    <t>1,91,706</t>
  </si>
  <si>
    <t>75,66,309</t>
  </si>
  <si>
    <t>9,56,91,13,937.25</t>
  </si>
  <si>
    <t>1,86,833</t>
  </si>
  <si>
    <t>28,48,650</t>
  </si>
  <si>
    <t>6,15,99,63,945.60</t>
  </si>
  <si>
    <t>1,09,866</t>
  </si>
  <si>
    <t>1,09,11,995</t>
  </si>
  <si>
    <t>86,84,920</t>
  </si>
  <si>
    <t>5,59,63,26,541.20</t>
  </si>
  <si>
    <t>10,91,90,31,736.80</t>
  </si>
  <si>
    <t>1,73,370</t>
  </si>
  <si>
    <t>1,61,005</t>
  </si>
  <si>
    <t>30,79,815</t>
  </si>
  <si>
    <t>6,56,62,43,978.90</t>
  </si>
  <si>
    <t>1,46,700</t>
  </si>
  <si>
    <t>78,54,524</t>
  </si>
  <si>
    <t>9,82,54,30,299.90</t>
  </si>
  <si>
    <t>1,49,22,832</t>
  </si>
  <si>
    <t>2,28,905</t>
  </si>
  <si>
    <t>7,70,72,78,241.50</t>
  </si>
  <si>
    <t>2,58,825</t>
  </si>
  <si>
    <t>21,24,656</t>
  </si>
  <si>
    <t>4,57,46,95,142.60</t>
  </si>
  <si>
    <t>96,69,336</t>
  </si>
  <si>
    <t>11,92,20,19,625.60</t>
  </si>
  <si>
    <t>1,83,77,550</t>
  </si>
  <si>
    <t>2,04,083</t>
  </si>
  <si>
    <t>9,47,54,61,095.90</t>
  </si>
  <si>
    <t>2,08,255</t>
  </si>
  <si>
    <t>1,03,42,698</t>
  </si>
  <si>
    <t>12,78,42,18,741.00</t>
  </si>
  <si>
    <t>2,10,917</t>
  </si>
  <si>
    <t>88,25,193</t>
  </si>
  <si>
    <t>4,53,44,84,027.05</t>
  </si>
  <si>
    <t>1,39,096</t>
  </si>
  <si>
    <t>33,37,083</t>
  </si>
  <si>
    <t>7,24,23,75,099.40</t>
  </si>
  <si>
    <t>1,13,160</t>
  </si>
  <si>
    <t>53,55,382</t>
  </si>
  <si>
    <t>6,62,56,07,806.60</t>
  </si>
  <si>
    <t>1,33,555</t>
  </si>
  <si>
    <t>75,31,604</t>
  </si>
  <si>
    <t>3,86,48,31,357.30</t>
  </si>
  <si>
    <t>30,79,898</t>
  </si>
  <si>
    <t>6,74,48,89,594.10</t>
  </si>
  <si>
    <t>1,20,376</t>
  </si>
  <si>
    <t>1,18,95,924</t>
  </si>
  <si>
    <t>14,83,68,43,996.05</t>
  </si>
  <si>
    <t>1,81,488</t>
  </si>
  <si>
    <t>1,04,86,015</t>
  </si>
  <si>
    <t>5,33,26,81,431.45</t>
  </si>
  <si>
    <t>1,13,046</t>
  </si>
  <si>
    <t>28,65,010</t>
  </si>
  <si>
    <t>6,36,14,71,428.90</t>
  </si>
  <si>
    <t>1,07,237</t>
  </si>
  <si>
    <t>97,90,533</t>
  </si>
  <si>
    <t>12,00,89,37,114.35</t>
  </si>
  <si>
    <t>1,57,327</t>
  </si>
  <si>
    <t>54,29,619</t>
  </si>
  <si>
    <t>2,76,45,06,352.10</t>
  </si>
  <si>
    <t>76,76,418</t>
  </si>
  <si>
    <t>37,35,188</t>
  </si>
  <si>
    <t>9,43,76,03,015.10</t>
  </si>
  <si>
    <t>8,20,70,25,076.50</t>
  </si>
  <si>
    <t>2,40,948</t>
  </si>
  <si>
    <t>1,41,783</t>
  </si>
  <si>
    <t>1,39,25,311</t>
  </si>
  <si>
    <t>7,11,00,66,899.10</t>
  </si>
  <si>
    <t>2,26,927</t>
  </si>
  <si>
    <t>2,05,20,898</t>
  </si>
  <si>
    <t>24,77,02,61,514.45</t>
  </si>
  <si>
    <t>2,97,691</t>
  </si>
  <si>
    <t>1,32,86,502</t>
  </si>
  <si>
    <t>27,75,80,42,714.10</t>
  </si>
  <si>
    <t>2,38,08,194</t>
  </si>
  <si>
    <t>4,81,812</t>
  </si>
  <si>
    <t>12,23,67,58,568.15</t>
  </si>
  <si>
    <t>2,31,527</t>
  </si>
  <si>
    <t>1,03,77,123</t>
  </si>
  <si>
    <t>12,44,89,45,781.30</t>
  </si>
  <si>
    <t>2,69,148</t>
  </si>
  <si>
    <t>45,66,101</t>
  </si>
  <si>
    <t>78,04,918</t>
  </si>
  <si>
    <t>9,75,22,28,673.00</t>
  </si>
  <si>
    <t>4,03,42,41,784.00</t>
  </si>
  <si>
    <t>1,48,495</t>
  </si>
  <si>
    <t>1,30,984</t>
  </si>
  <si>
    <t>87,70,650</t>
  </si>
  <si>
    <t>10,53,58,75,098.80</t>
  </si>
  <si>
    <t>2,11,991</t>
  </si>
  <si>
    <t>67,55,320</t>
  </si>
  <si>
    <t>3,48,21,95,547.40</t>
  </si>
  <si>
    <t>63,92,736</t>
  </si>
  <si>
    <t>1,21,014</t>
  </si>
  <si>
    <t>13,25,48,06,163.90</t>
  </si>
  <si>
    <t>2,80,238</t>
  </si>
  <si>
    <t>92,16,792</t>
  </si>
  <si>
    <t>11,14,48,44,611.20</t>
  </si>
  <si>
    <t>2,21,872</t>
  </si>
  <si>
    <t>84,76,223</t>
  </si>
  <si>
    <t>4,37,09,74,903.20</t>
  </si>
  <si>
    <t>1,55,236</t>
  </si>
  <si>
    <t>47,47,277</t>
  </si>
  <si>
    <t>9,93,89,58,483.50</t>
  </si>
  <si>
    <t>1,80,127</t>
  </si>
  <si>
    <t>47,38,903</t>
  </si>
  <si>
    <t>10,03,57,14,708.10</t>
  </si>
  <si>
    <t>1,77,569</t>
  </si>
  <si>
    <t>1,61,64,687</t>
  </si>
  <si>
    <t>19,78,93,27,544.65</t>
  </si>
  <si>
    <t>3,24,795</t>
  </si>
  <si>
    <t>1,54,89,991</t>
  </si>
  <si>
    <t>34,12,470</t>
  </si>
  <si>
    <t>7,13,04,58,833.10</t>
  </si>
  <si>
    <t>1,62,690</t>
  </si>
  <si>
    <t>8,07,31,86,016.75</t>
  </si>
  <si>
    <t>1,80,66,499</t>
  </si>
  <si>
    <t>22,63,49,05,165.95</t>
  </si>
  <si>
    <t>3,56,462</t>
  </si>
  <si>
    <t>2,03,237</t>
  </si>
  <si>
    <t>76,66,777</t>
  </si>
  <si>
    <t>68,48,411</t>
  </si>
  <si>
    <t>9,58,05,25,136.65</t>
  </si>
  <si>
    <t>13,98,47,86,947.60</t>
  </si>
  <si>
    <t>2,19,085</t>
  </si>
  <si>
    <t>2,94,008</t>
  </si>
  <si>
    <t>1,19,21,041</t>
  </si>
  <si>
    <t>14,90,43,52,647.05</t>
  </si>
  <si>
    <t>3,31,765</t>
  </si>
  <si>
    <t>46,58,295</t>
  </si>
  <si>
    <t>9,34,80,43,502.80</t>
  </si>
  <si>
    <t>1,72,51,962</t>
  </si>
  <si>
    <t>9,04,23,61,720.15</t>
  </si>
  <si>
    <t>1,69,240</t>
  </si>
  <si>
    <t>1,01,95,417</t>
  </si>
  <si>
    <t>12,71,80,79,791.90</t>
  </si>
  <si>
    <t>2,09,906</t>
  </si>
  <si>
    <t>60,40,621</t>
  </si>
  <si>
    <t>12,38,98,73,438.80</t>
  </si>
  <si>
    <t>1,05,31,347</t>
  </si>
  <si>
    <t>2,38,163</t>
  </si>
  <si>
    <t>5,46,11,48,445.10</t>
  </si>
  <si>
    <t>1,63,844</t>
  </si>
  <si>
    <t>30,11,914</t>
  </si>
  <si>
    <t>3,76,59,27,780.55</t>
  </si>
  <si>
    <t>50,89,315</t>
  </si>
  <si>
    <t>2,62,55,80,578.35</t>
  </si>
  <si>
    <t>1,09,488</t>
  </si>
  <si>
    <t>40,28,819</t>
  </si>
  <si>
    <t>8,45,82,29,638.50</t>
  </si>
  <si>
    <t>2,07,169</t>
  </si>
  <si>
    <t>1,58,70,147</t>
  </si>
  <si>
    <t>8,13,29,38,477.90</t>
  </si>
  <si>
    <t>2,27,553</t>
  </si>
  <si>
    <t>61,76,831</t>
  </si>
  <si>
    <t>7,72,14,38,599.85</t>
  </si>
  <si>
    <t>1,65,087</t>
  </si>
  <si>
    <t>25,67,386</t>
  </si>
  <si>
    <t>5,29,36,19,608.80</t>
  </si>
  <si>
    <t>1,82,28,912</t>
  </si>
  <si>
    <t>9,29,54,09,035.50</t>
  </si>
  <si>
    <t>1,74,420</t>
  </si>
  <si>
    <t>2,92,636</t>
  </si>
  <si>
    <t>1,64,79,772</t>
  </si>
  <si>
    <t>8,42,16,88,874.45</t>
  </si>
  <si>
    <t>2,16,682</t>
  </si>
  <si>
    <t>1,48,39,077</t>
  </si>
  <si>
    <t>47,69,048</t>
  </si>
  <si>
    <t>10,00,75,61,030.20</t>
  </si>
  <si>
    <t>18,85,23,69,674.65</t>
  </si>
  <si>
    <t>1,84,997</t>
  </si>
  <si>
    <t>2,59,371</t>
  </si>
  <si>
    <t>95,02,367</t>
  </si>
  <si>
    <t>4,83,52,22,369.05</t>
  </si>
  <si>
    <t>1,40,127</t>
  </si>
  <si>
    <t>36,66,985</t>
  </si>
  <si>
    <t>7,61,83,89,000.00</t>
  </si>
  <si>
    <t>1,48,206</t>
  </si>
  <si>
    <t>68,40,709</t>
  </si>
  <si>
    <t>2,39,52,459</t>
  </si>
  <si>
    <t>11,95,51,85,952.75</t>
  </si>
  <si>
    <t>8,69,21,68,613.10</t>
  </si>
  <si>
    <t>2,78,280</t>
  </si>
  <si>
    <t>1,83,398</t>
  </si>
  <si>
    <t>37,91,498</t>
  </si>
  <si>
    <t>7,74,81,64,028.40</t>
  </si>
  <si>
    <t>1,62,757</t>
  </si>
  <si>
    <t>83,96,554</t>
  </si>
  <si>
    <t>10,66,84,40,486.05</t>
  </si>
  <si>
    <t>2,26,596</t>
  </si>
  <si>
    <t>67,14,551</t>
  </si>
  <si>
    <t>14,02,07,50,878.10</t>
  </si>
  <si>
    <t>2,32,544</t>
  </si>
  <si>
    <t>1,23,82,622</t>
  </si>
  <si>
    <t>1,27,99,333</t>
  </si>
  <si>
    <t>26,78,23,59,193.50</t>
  </si>
  <si>
    <t>6,30,64,80,747.25</t>
  </si>
  <si>
    <t>3,81,465</t>
  </si>
  <si>
    <t>1,99,193</t>
  </si>
  <si>
    <t>73,82,039</t>
  </si>
  <si>
    <t>9,29,38,77,445.05</t>
  </si>
  <si>
    <t>1,91,355</t>
  </si>
  <si>
    <t>1,43,94,986</t>
  </si>
  <si>
    <t>7,03,99,78,268.90</t>
  </si>
  <si>
    <t>1,58,339</t>
  </si>
  <si>
    <t>95,46,290</t>
  </si>
  <si>
    <t>21,00,56,60,491.10</t>
  </si>
  <si>
    <t>2,72,515</t>
  </si>
  <si>
    <t>67,12,103</t>
  </si>
  <si>
    <t>3,32,35,90,493.55</t>
  </si>
  <si>
    <t>57,40,361</t>
  </si>
  <si>
    <t>1,28,200</t>
  </si>
  <si>
    <t>7,21,88,36,541.20</t>
  </si>
  <si>
    <t>1,80,650</t>
  </si>
  <si>
    <t>54,26,489</t>
  </si>
  <si>
    <t>11,85,42,45,157.30</t>
  </si>
  <si>
    <t>1,96,320</t>
  </si>
  <si>
    <t>80,37,662</t>
  </si>
  <si>
    <t>3,99,73,96,320.95</t>
  </si>
  <si>
    <t>1,18,170</t>
  </si>
  <si>
    <t>65,86,627</t>
  </si>
  <si>
    <t>8,26,40,43,638.70</t>
  </si>
  <si>
    <t>1,74,408</t>
  </si>
  <si>
    <t>51,97,595</t>
  </si>
  <si>
    <t>66,82,083</t>
  </si>
  <si>
    <t>11,50,10,44,792.20</t>
  </si>
  <si>
    <t>3,30,96,53,123.20</t>
  </si>
  <si>
    <t>1,17,691</t>
  </si>
  <si>
    <t>88,09,352</t>
  </si>
  <si>
    <t>1,73,110</t>
  </si>
  <si>
    <t>11,03,22,00,057.65</t>
  </si>
  <si>
    <t>3,20,587</t>
  </si>
  <si>
    <t>73,85,299</t>
  </si>
  <si>
    <t>3,62,40,29,088.45</t>
  </si>
  <si>
    <t>1,06,788</t>
  </si>
  <si>
    <t>72,63,785</t>
  </si>
  <si>
    <t>9,11,32,47,793.40</t>
  </si>
  <si>
    <t>2,61,567</t>
  </si>
  <si>
    <t>56,15,138</t>
  </si>
  <si>
    <t>12,66,60,31,000.10</t>
  </si>
  <si>
    <t>1,95,217</t>
  </si>
  <si>
    <t>2,17,78,099</t>
  </si>
  <si>
    <t>1,03,68,438</t>
  </si>
  <si>
    <t>10,51,08,19,521.05</t>
  </si>
  <si>
    <t>13,00,69,59,974.75</t>
  </si>
  <si>
    <t>1,89,101</t>
  </si>
  <si>
    <t>2,89,728</t>
  </si>
  <si>
    <t>22,02,693</t>
  </si>
  <si>
    <t>4,97,16,23,639.20</t>
  </si>
  <si>
    <t>73,95,274</t>
  </si>
  <si>
    <t>3,57,48,75,531.85</t>
  </si>
  <si>
    <t>1,35,775</t>
  </si>
  <si>
    <t>83,86,151</t>
  </si>
  <si>
    <t>10,43,98,44,806.35</t>
  </si>
  <si>
    <t>23,82,160</t>
  </si>
  <si>
    <t>2,94,062</t>
  </si>
  <si>
    <t>5,31,20,74,629.70</t>
  </si>
  <si>
    <t>1,22,99,288</t>
  </si>
  <si>
    <t>5,95,04,54,269.80</t>
  </si>
  <si>
    <t>1,94,079</t>
  </si>
  <si>
    <t>81,35,042</t>
  </si>
  <si>
    <t>10,10,67,08,536.60</t>
  </si>
  <si>
    <t>2,57,996</t>
  </si>
  <si>
    <t>1,01,62,570</t>
  </si>
  <si>
    <t>15,99,665</t>
  </si>
  <si>
    <t>4,88,70,14,877.45</t>
  </si>
  <si>
    <t>3,53,78,39,940.50</t>
  </si>
  <si>
    <t>1,30,143</t>
  </si>
  <si>
    <t>1,06,83,412</t>
  </si>
  <si>
    <t>13,39,60,72,372.50</t>
  </si>
  <si>
    <t>1,64,771</t>
  </si>
  <si>
    <t>1,30,92,399</t>
  </si>
  <si>
    <t>6,20,99,65,225.20</t>
  </si>
  <si>
    <t>2,40,152</t>
  </si>
  <si>
    <t>25,03,539</t>
  </si>
  <si>
    <t>5,58,52,58,736.20</t>
  </si>
  <si>
    <t>83,98,849</t>
  </si>
  <si>
    <t>1,22,801</t>
  </si>
  <si>
    <t>10,51,78,47,931.90</t>
  </si>
  <si>
    <t>2,04,041</t>
  </si>
  <si>
    <t>3,09,61,625</t>
  </si>
  <si>
    <t>15,05,62,61,874.00</t>
  </si>
  <si>
    <t>3,79,810</t>
  </si>
  <si>
    <t>77,86,428</t>
  </si>
  <si>
    <t>9,60,21,12,287.65</t>
  </si>
  <si>
    <t>32,11,699</t>
  </si>
  <si>
    <t>1,78,759</t>
  </si>
  <si>
    <t>7,21,36,56,139.40</t>
  </si>
  <si>
    <t>1,23,535</t>
  </si>
  <si>
    <t>86,14,446</t>
  </si>
  <si>
    <t>4,15,89,85,648.85</t>
  </si>
  <si>
    <t>1,13,970</t>
  </si>
  <si>
    <t>1,15,22,480</t>
  </si>
  <si>
    <t>14,02,93,88,111.95</t>
  </si>
  <si>
    <t>2,06,398</t>
  </si>
  <si>
    <t>40,07,292</t>
  </si>
  <si>
    <t>9,21,62,95,835.20</t>
  </si>
  <si>
    <t>1,62,713</t>
  </si>
  <si>
    <t>68,66,704</t>
  </si>
  <si>
    <t>3,33,80,33,179.65</t>
  </si>
  <si>
    <t>1,11,564</t>
  </si>
  <si>
    <t>1,10,59,417</t>
  </si>
  <si>
    <t>13,54,77,35,420.80</t>
  </si>
  <si>
    <t>1,99,168</t>
  </si>
  <si>
    <t>82,48,513</t>
  </si>
  <si>
    <t>19,71,17,86,830.00</t>
  </si>
  <si>
    <t>63,93,835</t>
  </si>
  <si>
    <t>2,56,167</t>
  </si>
  <si>
    <t>3,13,83,98,995.85</t>
  </si>
  <si>
    <t>71,69,419</t>
  </si>
  <si>
    <t>17,57,12,37,330.30</t>
  </si>
  <si>
    <t>78,10,874</t>
  </si>
  <si>
    <t>2,07,914</t>
  </si>
  <si>
    <t>3,81,01,27,063.40</t>
  </si>
  <si>
    <t>1,61,609</t>
  </si>
  <si>
    <t>1,20,08,162</t>
  </si>
  <si>
    <t>14,72,87,53,125.00</t>
  </si>
  <si>
    <t>2,34,248</t>
  </si>
  <si>
    <t>49,01,582</t>
  </si>
  <si>
    <t>12,05,57,19,188.10</t>
  </si>
  <si>
    <t>14,61,602</t>
  </si>
  <si>
    <t>1,68,548</t>
  </si>
  <si>
    <t>71,74,91,831.90</t>
  </si>
  <si>
    <t>2,02,15,075</t>
  </si>
  <si>
    <t>24,43,82,00,772.65</t>
  </si>
  <si>
    <t>2,68,866</t>
  </si>
  <si>
    <t>84,29,731</t>
  </si>
  <si>
    <t>43,43,683</t>
  </si>
  <si>
    <t>4,07,61,59,422.90</t>
  </si>
  <si>
    <t>10,26,95,62,982.90</t>
  </si>
  <si>
    <t>1,70,904</t>
  </si>
  <si>
    <t>1,64,495</t>
  </si>
  <si>
    <t>81,58,881</t>
  </si>
  <si>
    <t>9,86,80,73,967.35</t>
  </si>
  <si>
    <t>2,08,311</t>
  </si>
  <si>
    <t>73,27,830</t>
  </si>
  <si>
    <t>3,51,72,42,119.05</t>
  </si>
  <si>
    <t>30,36,839</t>
  </si>
  <si>
    <t>1,50,450</t>
  </si>
  <si>
    <t>7,37,77,69,245.80</t>
  </si>
  <si>
    <t>1,30,409</t>
  </si>
  <si>
    <t>95,74,490</t>
  </si>
  <si>
    <t>11,59,26,01,922.90</t>
  </si>
  <si>
    <t>1,69,550</t>
  </si>
  <si>
    <t>1,13,13,985</t>
  </si>
  <si>
    <t>5,44,01,09,205.55</t>
  </si>
  <si>
    <t>1,40,673</t>
  </si>
  <si>
    <t>90,52,846</t>
  </si>
  <si>
    <t>11,01,48,65,217.65</t>
  </si>
  <si>
    <t>1,99,811</t>
  </si>
  <si>
    <t>89,24,280</t>
  </si>
  <si>
    <t>4,26,41,65,090.20</t>
  </si>
  <si>
    <t>1,32,407</t>
  </si>
  <si>
    <t>1,19,49,475</t>
  </si>
  <si>
    <t>14,54,30,33,343.20</t>
  </si>
  <si>
    <t>2,50,155</t>
  </si>
  <si>
    <t>60,90,462</t>
  </si>
  <si>
    <t>2,90,99,20,473.35</t>
  </si>
  <si>
    <t>1,05,996</t>
  </si>
  <si>
    <t>66,20,284</t>
  </si>
  <si>
    <t>8,03,45,43,520.35</t>
  </si>
  <si>
    <t>1,18,643</t>
  </si>
  <si>
    <t>54,88,948</t>
  </si>
  <si>
    <t>2,62,58,14,462.70</t>
  </si>
  <si>
    <t>73,63,437</t>
  </si>
  <si>
    <t>1,23,605</t>
  </si>
  <si>
    <t>8,97,23,40,771.15</t>
  </si>
  <si>
    <t>1,52,261</t>
  </si>
  <si>
    <t>50,41,916</t>
  </si>
  <si>
    <t>1,09,27,950</t>
  </si>
  <si>
    <t>2,39,44,32,824.50</t>
  </si>
  <si>
    <t>1,29,476</t>
  </si>
  <si>
    <t>13,53,76,05,281.45</t>
  </si>
  <si>
    <t>2,38,907</t>
  </si>
  <si>
    <t>1,11,20,381</t>
  </si>
  <si>
    <t>5,24,84,10,369.00</t>
  </si>
  <si>
    <t>1,88,101</t>
  </si>
  <si>
    <t>1,15,48,372</t>
  </si>
  <si>
    <t>14,35,88,54,881.85</t>
  </si>
  <si>
    <t>1,97,340</t>
  </si>
  <si>
    <t>1,16,39,562</t>
  </si>
  <si>
    <t>5,42,29,31,558.70</t>
  </si>
  <si>
    <t>2,30,824</t>
  </si>
  <si>
    <t>81,32,940</t>
  </si>
  <si>
    <t>10,17,39,84,588.65</t>
  </si>
  <si>
    <t>1,90,526</t>
  </si>
  <si>
    <t>81,35,260</t>
  </si>
  <si>
    <t>3,78,11,91,097.20</t>
  </si>
  <si>
    <t>1,83,896</t>
  </si>
  <si>
    <t>1,11,64,882</t>
  </si>
  <si>
    <t>14,15,11,49,490.55</t>
  </si>
  <si>
    <t>2,26,414</t>
  </si>
  <si>
    <t>68,57,374</t>
  </si>
  <si>
    <t>1,56,45,427</t>
  </si>
  <si>
    <t>3,23,00,38,399.65</t>
  </si>
  <si>
    <t>20,33,18,86,817.15</t>
  </si>
  <si>
    <t>1,11,105</t>
  </si>
  <si>
    <t>3,37,230</t>
  </si>
  <si>
    <t>1,12,78,014</t>
  </si>
  <si>
    <t>14,79,23,32,058.70</t>
  </si>
  <si>
    <t>2,44,205</t>
  </si>
  <si>
    <t>1,95,59,847</t>
  </si>
  <si>
    <t>8,96,87,97,499.25</t>
  </si>
  <si>
    <t>1,08,86,735</t>
  </si>
  <si>
    <t>2,36,495</t>
  </si>
  <si>
    <t>14,36,04,81,637.45</t>
  </si>
  <si>
    <t>2,52,535</t>
  </si>
  <si>
    <t>1,94,64,568</t>
  </si>
  <si>
    <t>9,06,02,24,659.45</t>
  </si>
  <si>
    <t>6,04,94,318</t>
  </si>
  <si>
    <t>1,78,132</t>
  </si>
  <si>
    <t>81,15,85,65,386.50</t>
  </si>
  <si>
    <t>3,44,744</t>
  </si>
  <si>
    <t>93,52,280</t>
  </si>
  <si>
    <t>12,70,92,78,600.90</t>
  </si>
  <si>
    <t>2,03,054</t>
  </si>
  <si>
    <t>1,38,91,991</t>
  </si>
  <si>
    <t>6,62,60,51,098.65</t>
  </si>
  <si>
    <t>1,37,597</t>
  </si>
  <si>
    <t>1,64,19,207</t>
  </si>
  <si>
    <t>22,09,70,82,282.10</t>
  </si>
  <si>
    <t>3,26,362</t>
  </si>
  <si>
    <t>65,39,846</t>
  </si>
  <si>
    <t>3,11,79,27,466.80</t>
  </si>
  <si>
    <t>1,24,209</t>
  </si>
  <si>
    <t>1,08,59,639</t>
  </si>
  <si>
    <t>14,56,83,52,861.70</t>
  </si>
  <si>
    <t>1,97,579</t>
  </si>
  <si>
    <t>70,67,013</t>
  </si>
  <si>
    <t>3,36,15,55,101.90</t>
  </si>
  <si>
    <t>1,51,09,614</t>
  </si>
  <si>
    <t>20,25,74,03,852.90</t>
  </si>
  <si>
    <t>1,87,305</t>
  </si>
  <si>
    <t>1,44,12,539</t>
  </si>
  <si>
    <t>6,86,05,90,338.25</t>
  </si>
  <si>
    <t>1,97,328</t>
  </si>
  <si>
    <t>82,66,544</t>
  </si>
  <si>
    <t>11,12,59,00,933.90</t>
  </si>
  <si>
    <t>1,42,133</t>
  </si>
  <si>
    <t>83,46,687</t>
  </si>
  <si>
    <t>3,97,63,06,074.10</t>
  </si>
  <si>
    <t>1,26,718</t>
  </si>
  <si>
    <t>1,42,88,024</t>
  </si>
  <si>
    <t>18,95,77,34,985.95</t>
  </si>
  <si>
    <t>2,06,118</t>
  </si>
  <si>
    <t>54,78,598</t>
  </si>
  <si>
    <t>2,61,23,98,108.20</t>
  </si>
  <si>
    <t>1,05,775</t>
  </si>
  <si>
    <t>80,42,214</t>
  </si>
  <si>
    <t>10,70,21,34,959.60</t>
  </si>
  <si>
    <t>1,27,734</t>
  </si>
  <si>
    <t>2,22,18,251</t>
  </si>
  <si>
    <t>10,42,16,81,081.05</t>
  </si>
  <si>
    <t>2,89,294</t>
  </si>
  <si>
    <t>45,91,008</t>
  </si>
  <si>
    <t>6,09,96,29,464.80</t>
  </si>
  <si>
    <t>1,27,085</t>
  </si>
  <si>
    <t>1,34,39,484</t>
  </si>
  <si>
    <t>6,32,83,46,244.15</t>
  </si>
  <si>
    <t>1,84,751</t>
  </si>
  <si>
    <t>86,48,542</t>
  </si>
  <si>
    <t>11,51,64,14,124.30</t>
  </si>
  <si>
    <t>1,66,068</t>
  </si>
  <si>
    <t>2,64,15,053</t>
  </si>
  <si>
    <t>12,36,22,22,644.55</t>
  </si>
  <si>
    <t>1,91,85,012</t>
  </si>
  <si>
    <t>2,80,989</t>
  </si>
  <si>
    <t>24,75,76,11,797.90</t>
  </si>
  <si>
    <t>5,15,573</t>
  </si>
  <si>
    <t>75,51,407</t>
  </si>
  <si>
    <t>1,30,85,762</t>
  </si>
  <si>
    <t>3,56,71,34,560.35</t>
  </si>
  <si>
    <t>16,98,99,34,735.70</t>
  </si>
  <si>
    <t>1,18,458</t>
  </si>
  <si>
    <t>1,71,223</t>
  </si>
  <si>
    <t>1,17,03,384</t>
  </si>
  <si>
    <t>1,30,05,622</t>
  </si>
  <si>
    <t>5,46,56,95,132.70</t>
  </si>
  <si>
    <t>16,85,69,03,289.70</t>
  </si>
  <si>
    <t>1,60,632</t>
  </si>
  <si>
    <t>2,37,174</t>
  </si>
  <si>
    <t>1,30,64,247</t>
  </si>
  <si>
    <t>17,17,43,25,317.90</t>
  </si>
  <si>
    <t>88,23,805</t>
  </si>
  <si>
    <t>4,09,99,16,466.30</t>
  </si>
  <si>
    <t>2,24,885</t>
  </si>
  <si>
    <t>1,37,180</t>
  </si>
  <si>
    <t>1,52,02,603</t>
  </si>
  <si>
    <t>20,48,85,28,370.70</t>
  </si>
  <si>
    <t>2,22,333</t>
  </si>
  <si>
    <t>67,45,816</t>
  </si>
  <si>
    <t>3,14,44,31,682.05</t>
  </si>
  <si>
    <t>1,08,407</t>
  </si>
  <si>
    <t>1,40,39,073</t>
  </si>
  <si>
    <t>18,95,89,40,775.00</t>
  </si>
  <si>
    <t>1,80,990</t>
  </si>
  <si>
    <t>1,28,84,401</t>
  </si>
  <si>
    <t>5,95,67,25,495.60</t>
  </si>
  <si>
    <t>1,65,742</t>
  </si>
  <si>
    <t>1,74,90,424</t>
  </si>
  <si>
    <t>24,34,51,98,635.10</t>
  </si>
  <si>
    <t>2,94,006</t>
  </si>
  <si>
    <t>3,17,53,858</t>
  </si>
  <si>
    <t>14,74,84,33,018.55</t>
  </si>
  <si>
    <t>1,68,82,426</t>
  </si>
  <si>
    <t>2,49,426</t>
  </si>
  <si>
    <t>23,91,74,04,930.60</t>
  </si>
  <si>
    <t>2,91,654</t>
  </si>
  <si>
    <t>1,61,35,274</t>
  </si>
  <si>
    <t>22,76,11,77,353.90</t>
  </si>
  <si>
    <t>2,75,616</t>
  </si>
  <si>
    <t>90,07,264</t>
  </si>
  <si>
    <t>4,23,44,93,701.85</t>
  </si>
  <si>
    <t>1,53,567</t>
  </si>
  <si>
    <t>1,39,90,764</t>
  </si>
  <si>
    <t>19,88,16,70,203.60</t>
  </si>
  <si>
    <t>2,20,724</t>
  </si>
  <si>
    <t>1,98,44,152</t>
  </si>
  <si>
    <t>9,33,30,64,294.30</t>
  </si>
  <si>
    <t>2,35,005</t>
  </si>
  <si>
    <t>1,56,78,099</t>
  </si>
  <si>
    <t>22,07,22,10,947.60</t>
  </si>
  <si>
    <t>2,10,098</t>
  </si>
  <si>
    <t>1,23,65,167</t>
  </si>
  <si>
    <t>5,81,74,85,040.30</t>
  </si>
  <si>
    <t>1,71,373</t>
  </si>
  <si>
    <t>1,17,05,093</t>
  </si>
  <si>
    <t>16,39,77,82,261.90</t>
  </si>
  <si>
    <t>2,34,552</t>
  </si>
  <si>
    <t>1,09,48,561</t>
  </si>
  <si>
    <t>15,62,71,94,700.70</t>
  </si>
  <si>
    <t>1,92,819</t>
  </si>
  <si>
    <t>1,45,99,270</t>
  </si>
  <si>
    <t>6,84,16,13,826.05</t>
  </si>
  <si>
    <t>2,08,360</t>
  </si>
  <si>
    <t>1,07,86,910</t>
  </si>
  <si>
    <t>15,40,92,65,024.50</t>
  </si>
  <si>
    <t>2,23,499</t>
  </si>
  <si>
    <t>1,94,81,288</t>
  </si>
  <si>
    <t>9,03,81,76,739.25</t>
  </si>
  <si>
    <t>2,41,995</t>
  </si>
  <si>
    <t>1,41,92,027</t>
  </si>
  <si>
    <t>20,26,49,76,307.30</t>
  </si>
  <si>
    <t>2,38,248</t>
  </si>
  <si>
    <t>1,88,37,469</t>
  </si>
  <si>
    <t>8,91,16,59,177.30</t>
  </si>
  <si>
    <t>2,40,219</t>
  </si>
  <si>
    <t>1,07,63,492</t>
  </si>
  <si>
    <t>15,46,18,19,959.10</t>
  </si>
  <si>
    <t>1,70,242</t>
  </si>
  <si>
    <t>1,15,64,497</t>
  </si>
  <si>
    <t>5,52,88,95,414.85</t>
  </si>
  <si>
    <t>1,72,646</t>
  </si>
  <si>
    <t>45,65,705</t>
  </si>
  <si>
    <t>6,53,93,97,953.40</t>
  </si>
  <si>
    <t>1,15,354</t>
  </si>
  <si>
    <t>88,48,065</t>
  </si>
  <si>
    <t>4,23,31,60,326.90</t>
  </si>
  <si>
    <t>63,01,690</t>
  </si>
  <si>
    <t>1,48,089</t>
  </si>
  <si>
    <t>9,00,02,65,687.10</t>
  </si>
  <si>
    <t>1,33,476</t>
  </si>
  <si>
    <t>1,04,80,453</t>
  </si>
  <si>
    <t>15,00,01,67,610.70</t>
  </si>
  <si>
    <t>1,62,79,450</t>
  </si>
  <si>
    <t>1,66,481</t>
  </si>
  <si>
    <t>7,80,06,52,449.55</t>
  </si>
  <si>
    <t>1,66,926</t>
  </si>
  <si>
    <t>1,30,74,810</t>
  </si>
  <si>
    <t>6,25,56,56,373.25</t>
  </si>
  <si>
    <t>1,32,76,195</t>
  </si>
  <si>
    <t>6,37,02,64,307.20</t>
  </si>
  <si>
    <t>1,52,025</t>
  </si>
  <si>
    <t>1,53,06,490</t>
  </si>
  <si>
    <t>22,03,35,10,832.00</t>
  </si>
  <si>
    <t>1,82,407</t>
  </si>
  <si>
    <t>1,82,29,128</t>
  </si>
  <si>
    <t>8,83,99,30,024.40</t>
  </si>
  <si>
    <t>1,64,587</t>
  </si>
  <si>
    <t>1,34,91,197</t>
  </si>
  <si>
    <t>18,81,40,33,148.00</t>
  </si>
  <si>
    <t>2,48,736</t>
  </si>
  <si>
    <t>2,61,24,980</t>
  </si>
  <si>
    <t>12,70,24,91,020.45</t>
  </si>
  <si>
    <t>2,24,779</t>
  </si>
  <si>
    <t>99,25,445</t>
  </si>
  <si>
    <t>14,25,98,37,185.10</t>
  </si>
  <si>
    <t>1,80,758</t>
  </si>
  <si>
    <t>3,70,72,992</t>
  </si>
  <si>
    <t>17,89,39,61,935.85</t>
  </si>
  <si>
    <t>2,27,193</t>
  </si>
  <si>
    <t>1,24,75,424</t>
  </si>
  <si>
    <t>17,86,86,17,217.50</t>
  </si>
  <si>
    <t>2,09,013</t>
  </si>
  <si>
    <t>2,20,09,958</t>
  </si>
  <si>
    <t>9,90,77,71,203.05</t>
  </si>
  <si>
    <t>2,86,532</t>
  </si>
  <si>
    <t>80,26,837</t>
  </si>
  <si>
    <t>11,46,13,11,035.00</t>
  </si>
  <si>
    <t>1,43,054</t>
  </si>
  <si>
    <t>1,42,94,780</t>
  </si>
  <si>
    <t>6,33,20,98,307.30</t>
  </si>
  <si>
    <t>1,80,441</t>
  </si>
  <si>
    <t>1,82,09,264</t>
  </si>
  <si>
    <t>26,20,23,83,268.60</t>
  </si>
  <si>
    <t>2,11,899</t>
  </si>
  <si>
    <t>1,34,82,926</t>
  </si>
  <si>
    <t>5,99,76,60,207.25</t>
  </si>
  <si>
    <t>1,63,390</t>
  </si>
  <si>
    <t>64,39,208</t>
  </si>
  <si>
    <t>9,36,42,46,054.90</t>
  </si>
  <si>
    <t>1,45,344</t>
  </si>
  <si>
    <t>1,97,32,649</t>
  </si>
  <si>
    <t>8,93,18,46,709.45</t>
  </si>
  <si>
    <t>2,14,398</t>
  </si>
  <si>
    <t>60,05,334</t>
  </si>
  <si>
    <t>8,71,55,02,198.10</t>
  </si>
  <si>
    <t>1,39,810</t>
  </si>
  <si>
    <t>91,45,729</t>
  </si>
  <si>
    <t>4,07,52,02,264.90</t>
  </si>
  <si>
    <t>1,69,176</t>
  </si>
  <si>
    <t>1,13,52,383</t>
  </si>
  <si>
    <t>16,35,35,93,402.10</t>
  </si>
  <si>
    <t>1,28,816</t>
  </si>
  <si>
    <t>1,77,99,607</t>
  </si>
  <si>
    <t>7,83,66,65,097.95</t>
  </si>
  <si>
    <t>1,72,276</t>
  </si>
  <si>
    <t>55,10,460</t>
  </si>
  <si>
    <t>7,96,32,42,254.50</t>
  </si>
  <si>
    <t>1,06,396</t>
  </si>
  <si>
    <t>1,80,48,459</t>
  </si>
  <si>
    <t>7,90,59,15,833.35</t>
  </si>
  <si>
    <t>2,33,131</t>
  </si>
  <si>
    <t>72,45,933</t>
  </si>
  <si>
    <t>10,40,23,74,075.40</t>
  </si>
  <si>
    <t>1,47,665</t>
  </si>
  <si>
    <t>97,86,805</t>
  </si>
  <si>
    <t>4,28,65,12,512.75</t>
  </si>
  <si>
    <t>1,23,376</t>
  </si>
  <si>
    <t>52,03,706</t>
  </si>
  <si>
    <t>7,52,88,52,323.30</t>
  </si>
  <si>
    <t>1,13,699</t>
  </si>
  <si>
    <t>1,57,74,070</t>
  </si>
  <si>
    <t>6,82,41,78,083.40</t>
  </si>
  <si>
    <t>1,97,000</t>
  </si>
  <si>
    <t>56,08,725</t>
  </si>
  <si>
    <t>8,19,39,94,503.70</t>
  </si>
  <si>
    <t>1,89,038</t>
  </si>
  <si>
    <t>1,12,70,061</t>
  </si>
  <si>
    <t>4,94,51,04,351.05</t>
  </si>
  <si>
    <t>1,19,845</t>
  </si>
  <si>
    <t>1,48,42,959</t>
  </si>
  <si>
    <t>21,45,68,11,800.60</t>
  </si>
  <si>
    <t>2,21,484</t>
  </si>
  <si>
    <t>87,42,771</t>
  </si>
  <si>
    <t>3,82,59,27,431.85</t>
  </si>
  <si>
    <t>86,18,343</t>
  </si>
  <si>
    <t>1,52,896</t>
  </si>
  <si>
    <t>12,52,10,29,815.60</t>
  </si>
  <si>
    <t>1,35,239</t>
  </si>
  <si>
    <t>1,56,86,500</t>
  </si>
  <si>
    <t>1,55,45,514</t>
  </si>
  <si>
    <t>6,90,54,71,880.05</t>
  </si>
  <si>
    <t>22,57,61,88,990.20</t>
  </si>
  <si>
    <t>2,16,692</t>
  </si>
  <si>
    <t>2,10,205</t>
  </si>
  <si>
    <t>1,18,03,975</t>
  </si>
  <si>
    <t>17,10,44,65,533.30</t>
  </si>
  <si>
    <t>96,19,648</t>
  </si>
  <si>
    <t>1,55,611</t>
  </si>
  <si>
    <t>4,22,09,97,156.10</t>
  </si>
  <si>
    <t>1,33,708</t>
  </si>
  <si>
    <t>94,58,990</t>
  </si>
  <si>
    <t>13,64,36,23,560.30</t>
  </si>
  <si>
    <t>1,78,241</t>
  </si>
  <si>
    <t>88,88,248</t>
  </si>
  <si>
    <t>3,90,71,65,756.85</t>
  </si>
  <si>
    <t>1,31,321</t>
  </si>
  <si>
    <t>1,11,67,345</t>
  </si>
  <si>
    <t>16,05,88,76,541.30</t>
  </si>
  <si>
    <t>2,25,871</t>
  </si>
  <si>
    <t>96,65,384</t>
  </si>
  <si>
    <t>4,27,72,28,029.70</t>
  </si>
  <si>
    <t>1,41,694</t>
  </si>
  <si>
    <t>80,25,388</t>
  </si>
  <si>
    <t>11,48,13,43,481.90</t>
  </si>
  <si>
    <t>1,47,312</t>
  </si>
  <si>
    <t>1,04,80,203</t>
  </si>
  <si>
    <t>4,61,56,46,516.45</t>
  </si>
  <si>
    <t>1,55,397</t>
  </si>
  <si>
    <t>1,13,85,668</t>
  </si>
  <si>
    <t>16,49,53,94,104.40</t>
  </si>
  <si>
    <t>1,76,086</t>
  </si>
  <si>
    <t>2,08,13,072</t>
  </si>
  <si>
    <t>9,09,82,82,699.20</t>
  </si>
  <si>
    <t>1,74,411</t>
  </si>
  <si>
    <t>1,15,80,994</t>
  </si>
  <si>
    <t>16,85,76,21,605.20</t>
  </si>
  <si>
    <t>2,15,279</t>
  </si>
  <si>
    <t>1,51,58,510</t>
  </si>
  <si>
    <t>6,56,64,56,115.00</t>
  </si>
  <si>
    <t>2,70,156</t>
  </si>
  <si>
    <t>1,10,22,031</t>
  </si>
  <si>
    <t>15,89,28,38,386.70</t>
  </si>
  <si>
    <t>3,37,749</t>
  </si>
  <si>
    <t>Stock</t>
  </si>
  <si>
    <t>2,24,96,695</t>
  </si>
  <si>
    <t>Mean Daily Return</t>
  </si>
  <si>
    <t>9,78,54,77,722.40</t>
  </si>
  <si>
    <t>2,06,602</t>
  </si>
  <si>
    <t>1,29,05,272</t>
  </si>
  <si>
    <t>18,36,28,44,057.10</t>
  </si>
  <si>
    <t>3,76,346</t>
  </si>
  <si>
    <t>Standard Deviation</t>
  </si>
  <si>
    <t>Beta</t>
  </si>
  <si>
    <t>71,36,877</t>
  </si>
  <si>
    <t>10,20,62,08,002.70</t>
  </si>
  <si>
    <t>2,34,139</t>
  </si>
  <si>
    <t>1,35,46,181</t>
  </si>
  <si>
    <t>6,01,10,29,618.05</t>
  </si>
  <si>
    <t>2,92,498</t>
  </si>
  <si>
    <t>RELIANCE</t>
  </si>
  <si>
    <t>3,03,93,007</t>
  </si>
  <si>
    <t>79,53,247</t>
  </si>
  <si>
    <t>13,95,70,38,228.10</t>
  </si>
  <si>
    <t>11,33,82,80,353.60</t>
  </si>
  <si>
    <t>3,08,264</t>
  </si>
  <si>
    <t>1,84,161</t>
  </si>
  <si>
    <t>75,73,103</t>
  </si>
  <si>
    <t>1,69,91,730</t>
  </si>
  <si>
    <t>10,70,58,43,818.30</t>
  </si>
  <si>
    <t>7,77,82,30,238.50</t>
  </si>
  <si>
    <t>1,88,584</t>
  </si>
  <si>
    <t>2,78,444</t>
  </si>
  <si>
    <t>54,51,137</t>
  </si>
  <si>
    <t>7,75,93,40,748.40</t>
  </si>
  <si>
    <t>1,89,23,681</t>
  </si>
  <si>
    <t>8,59,86,91,176.90</t>
  </si>
  <si>
    <t>2,19,082</t>
  </si>
  <si>
    <t>TCS</t>
  </si>
  <si>
    <t>69,70,098</t>
  </si>
  <si>
    <t>9,92,02,98,395.00</t>
  </si>
  <si>
    <t>1,93,761</t>
  </si>
  <si>
    <t>1,28,36,283</t>
  </si>
  <si>
    <t>5,77,65,23,794.20</t>
  </si>
  <si>
    <t>1,55,466</t>
  </si>
  <si>
    <t>67,51,745</t>
  </si>
  <si>
    <t>9,55,74,44,212.10</t>
  </si>
  <si>
    <t>1,62,388</t>
  </si>
  <si>
    <t>1,74,69,129</t>
  </si>
  <si>
    <t>7,71,52,80,524.95</t>
  </si>
  <si>
    <t>1,64,798</t>
  </si>
  <si>
    <t>INFY</t>
  </si>
  <si>
    <t>88,49,883</t>
  </si>
  <si>
    <t>12,47,49,98,015.50</t>
  </si>
  <si>
    <t>3,42,983</t>
  </si>
  <si>
    <t>1,88,75,982</t>
  </si>
  <si>
    <t>8,15,88,60,785.30</t>
  </si>
  <si>
    <t>2,12,183</t>
  </si>
  <si>
    <t>1,24,08,178</t>
  </si>
  <si>
    <t>17,70,08,87,653.80</t>
  </si>
  <si>
    <t>1,60,865</t>
  </si>
  <si>
    <t>1,22,27,140</t>
  </si>
  <si>
    <t>5,24,24,93,795.80</t>
  </si>
  <si>
    <t>1,56,939</t>
  </si>
  <si>
    <t>55,14,384</t>
  </si>
  <si>
    <t>7,81,93,02,210.20</t>
  </si>
  <si>
    <t>1,60,229</t>
  </si>
  <si>
    <t>HDFCBANK</t>
  </si>
  <si>
    <t>1,42,88,751</t>
  </si>
  <si>
    <t>6,02,37,50,310.80</t>
  </si>
  <si>
    <t>1,87,384</t>
  </si>
  <si>
    <t>1,11,88,438</t>
  </si>
  <si>
    <t>15,95,03,52,718.80</t>
  </si>
  <si>
    <t>1,88,014</t>
  </si>
  <si>
    <t>1,38,84,574</t>
  </si>
  <si>
    <t>5,69,76,74,234.65</t>
  </si>
  <si>
    <t>2,07,478</t>
  </si>
  <si>
    <t>75,27,388</t>
  </si>
  <si>
    <t>10,71,20,47,350.90</t>
  </si>
  <si>
    <t>1,47,548</t>
  </si>
  <si>
    <t>ICICIBANK</t>
  </si>
  <si>
    <t>1,29,89,029</t>
  </si>
  <si>
    <t>5,34,03,10,573.90</t>
  </si>
  <si>
    <t>1,85,598</t>
  </si>
  <si>
    <t>1,36,17,435</t>
  </si>
  <si>
    <t>19,56,62,10,028.90</t>
  </si>
  <si>
    <t>2,20,490</t>
  </si>
  <si>
    <t>1,41,24,236</t>
  </si>
  <si>
    <t>5,81,08,70,731.00</t>
  </si>
  <si>
    <t>1,99,616</t>
  </si>
  <si>
    <t>2,25,32,899</t>
  </si>
  <si>
    <t>32,84,30,85,618.20</t>
  </si>
  <si>
    <t>2,17,058</t>
  </si>
  <si>
    <t>ITC</t>
  </si>
  <si>
    <t>1,19,75,265</t>
  </si>
  <si>
    <t>4,89,74,17,889.10</t>
  </si>
  <si>
    <t>2,85,419</t>
  </si>
  <si>
    <t>63,25,073</t>
  </si>
  <si>
    <t>9,17,11,82,603.20</t>
  </si>
  <si>
    <t>1,87,773</t>
  </si>
  <si>
    <t>1,29,98,403</t>
  </si>
  <si>
    <t>5,28,42,37,636.80</t>
  </si>
  <si>
    <t>2,08,753</t>
  </si>
  <si>
    <t>77,61,449</t>
  </si>
  <si>
    <t>11,14,17,35,649.70</t>
  </si>
  <si>
    <t>1,85,345</t>
  </si>
  <si>
    <t>70,79,032</t>
  </si>
  <si>
    <t>1,33,72,280</t>
  </si>
  <si>
    <t>2,88,04,11,815.90</t>
  </si>
  <si>
    <t>19,13,01,57,807.70</t>
  </si>
  <si>
    <t>2,13,176</t>
  </si>
  <si>
    <t>Return Calculation Analysis</t>
  </si>
  <si>
    <t>1,53,55,585</t>
  </si>
  <si>
    <t>1,01,77,738</t>
  </si>
  <si>
    <t>Daily returns were calculated using the daily closing prices of the selected stocks and the NIFTY 50 index over a two-year period.</t>
  </si>
  <si>
    <t>6,16,23,79,397.35</t>
  </si>
  <si>
    <t>14,55,37,51,194.80</t>
  </si>
  <si>
    <t>2,26,856</t>
  </si>
  <si>
    <t>1,81,095</t>
  </si>
  <si>
    <t>The mean daily return represents the average daily performance of each stock during the sample period.</t>
  </si>
  <si>
    <t>The standard deviation measures the volatility of stock returns. Higher standard deviation indicates greater risk and larger fluctuations in returns.</t>
  </si>
  <si>
    <t>50,66,503</t>
  </si>
  <si>
    <t>7,26,29,13,585.50</t>
  </si>
  <si>
    <t>Beta measures the sensitivity of a stock's returns relative to the market (NIFTY 50). A beta greater than 1 indicates that the stock is more volatile than the market, while a beta less than 1 indicates lower market sensitivity.</t>
  </si>
  <si>
    <t>1,27,265</t>
  </si>
  <si>
    <t>82,40,986</t>
  </si>
  <si>
    <t>3,30,25,44,309.75</t>
  </si>
  <si>
    <t>Among the selected stocks, HDFCBANK exhibited the highest volatility based on its standard deviation, whereas ITC had the lowest beta, indicating relatively lower systematic risk.</t>
  </si>
  <si>
    <t>1,75,217</t>
  </si>
  <si>
    <t>These calculated statistics provide the foundation for portfolio construction, CAPM analysis, and portfolio performance evaluation.</t>
  </si>
  <si>
    <t>51,77,477</t>
  </si>
  <si>
    <t>7,42,13,12,203.10</t>
  </si>
  <si>
    <t>1,27,818</t>
  </si>
  <si>
    <t>70,37,625</t>
  </si>
  <si>
    <t>2,82,88,32,996.75</t>
  </si>
  <si>
    <t>1,21,155</t>
  </si>
  <si>
    <t>53,15,847</t>
  </si>
  <si>
    <t>7,65,77,90,478.10</t>
  </si>
  <si>
    <t>1,23,124</t>
  </si>
  <si>
    <t>1,57,60,891</t>
  </si>
  <si>
    <t>6,36,90,71,142.95</t>
  </si>
  <si>
    <t>1,38,641</t>
  </si>
  <si>
    <t>88,27,347</t>
  </si>
  <si>
    <t>12,63,99,71,093.50</t>
  </si>
  <si>
    <t>1,90,51,003</t>
  </si>
  <si>
    <t>1,20,088</t>
  </si>
  <si>
    <t>7,65,36,97,871.25</t>
  </si>
  <si>
    <t>1,63,369</t>
  </si>
  <si>
    <t>3,19,54,776</t>
  </si>
  <si>
    <t>77,95,964</t>
  </si>
  <si>
    <t>11,12,07,35,791.10</t>
  </si>
  <si>
    <t>12,61,54,32,840.90</t>
  </si>
  <si>
    <t>1,58,233</t>
  </si>
  <si>
    <t>2,44,503</t>
  </si>
  <si>
    <t>1,07,02,826</t>
  </si>
  <si>
    <t>4,24,87,73,535.65</t>
  </si>
  <si>
    <t>71,58,015</t>
  </si>
  <si>
    <t>1,69,634</t>
  </si>
  <si>
    <t>10,16,54,11,225.40</t>
  </si>
  <si>
    <t>1,54,732</t>
  </si>
  <si>
    <t>58,46,154</t>
  </si>
  <si>
    <t>8,30,85,87,601.30</t>
  </si>
  <si>
    <t>1,13,668</t>
  </si>
  <si>
    <t>1,34,04,774</t>
  </si>
  <si>
    <t>60,41,457</t>
  </si>
  <si>
    <t>5,28,65,94,132.80</t>
  </si>
  <si>
    <t>8,61,79,66,324.90</t>
  </si>
  <si>
    <t>1,54,199</t>
  </si>
  <si>
    <t>1,75,820</t>
  </si>
  <si>
    <t>1,56,65,018</t>
  </si>
  <si>
    <t>6,26,31,65,318.05</t>
  </si>
  <si>
    <t>1,69,098</t>
  </si>
  <si>
    <t>56,49,093</t>
  </si>
  <si>
    <t>8,05,09,95,851.40</t>
  </si>
  <si>
    <t>1,21,488</t>
  </si>
  <si>
    <t>1,78,69,996</t>
  </si>
  <si>
    <t>7,21,34,83,492.20</t>
  </si>
  <si>
    <t>1,70,718</t>
  </si>
  <si>
    <t>1,29,27,394</t>
  </si>
  <si>
    <t>18,31,36,03,998.40</t>
  </si>
  <si>
    <t>2,34,109</t>
  </si>
  <si>
    <t>1,12,97,246</t>
  </si>
  <si>
    <t>16,02,98,82,215.20</t>
  </si>
  <si>
    <t>1,11,80,761</t>
  </si>
  <si>
    <t>4,51,31,90,673.15</t>
  </si>
  <si>
    <t>2,05,005</t>
  </si>
  <si>
    <t>1,29,975</t>
  </si>
  <si>
    <t>97,85,018</t>
  </si>
  <si>
    <t>3,96,00,32,837.25</t>
  </si>
  <si>
    <t>1,14,078</t>
  </si>
  <si>
    <t>1,38,67,136</t>
  </si>
  <si>
    <t>20,21,54,22,421.30</t>
  </si>
  <si>
    <t>2,32,151</t>
  </si>
  <si>
    <t>1,10,99,475</t>
  </si>
  <si>
    <t>4,51,27,93,431.70</t>
  </si>
  <si>
    <t>1,16,862</t>
  </si>
  <si>
    <t>1,38,44,306</t>
  </si>
  <si>
    <t>5,67,27,66,834.60</t>
  </si>
  <si>
    <t>89,30,165</t>
  </si>
  <si>
    <t>13,17,10,93,377.90</t>
  </si>
  <si>
    <t>2,33,507</t>
  </si>
  <si>
    <t>81,96,569</t>
  </si>
  <si>
    <t>3,38,02,86,305.70</t>
  </si>
  <si>
    <t>1,22,083</t>
  </si>
  <si>
    <t>1,19,74,174</t>
  </si>
  <si>
    <t>17,75,78,90,209.50</t>
  </si>
  <si>
    <t>1,84,240</t>
  </si>
  <si>
    <t>52,57,859</t>
  </si>
  <si>
    <t>2,15,47,06,809.40</t>
  </si>
  <si>
    <t>67,00,578</t>
  </si>
  <si>
    <t>9,94,66,14,738.30</t>
  </si>
  <si>
    <t>1,37,503</t>
  </si>
  <si>
    <t>1,38,61,897</t>
  </si>
  <si>
    <t>5,67,65,00,784.85</t>
  </si>
  <si>
    <t>1,06,364</t>
  </si>
  <si>
    <t>86,96,077</t>
  </si>
  <si>
    <t>12,88,30,11,018.60</t>
  </si>
  <si>
    <t>1,28,30,387</t>
  </si>
  <si>
    <t>1,93,064</t>
  </si>
  <si>
    <t>5,18,99,84,214.60</t>
  </si>
  <si>
    <t>1,35,494</t>
  </si>
  <si>
    <t>1,69,94,037</t>
  </si>
  <si>
    <t>6,85,71,53,651.65</t>
  </si>
  <si>
    <t>1,25,979</t>
  </si>
  <si>
    <t>75,07,479</t>
  </si>
  <si>
    <t>11,16,40,17,329.70</t>
  </si>
  <si>
    <t>1,99,416</t>
  </si>
  <si>
    <t>97,76,027</t>
  </si>
  <si>
    <t>14,50,24,89,122.80</t>
  </si>
  <si>
    <t>2,30,759</t>
  </si>
  <si>
    <t>2,53,02,035</t>
  </si>
  <si>
    <t>10,22,46,18,507.85</t>
  </si>
  <si>
    <t>1,30,427</t>
  </si>
  <si>
    <t>72,38,625</t>
  </si>
  <si>
    <t>10,73,77,74,608.00</t>
  </si>
  <si>
    <t>1,43,62,572</t>
  </si>
  <si>
    <t>1,76,359</t>
  </si>
  <si>
    <t>5,88,35,05,695.50</t>
  </si>
  <si>
    <t>1,38,703</t>
  </si>
  <si>
    <t>2,03,38,110</t>
  </si>
  <si>
    <t>1,24,06,146</t>
  </si>
  <si>
    <t>8,36,24,11,027.50</t>
  </si>
  <si>
    <t>1,38,414</t>
  </si>
  <si>
    <t>18,37,50,22,495.40</t>
  </si>
  <si>
    <t>3,06,162</t>
  </si>
  <si>
    <t>1,38,91,436</t>
  </si>
  <si>
    <t>5,68,19,50,426.05</t>
  </si>
  <si>
    <t>1,03,317</t>
  </si>
  <si>
    <t>44,16,771</t>
  </si>
  <si>
    <t>6,51,36,45,513.80</t>
  </si>
  <si>
    <t>1,42,277</t>
  </si>
  <si>
    <t>1,86,42,328</t>
  </si>
  <si>
    <t>7,63,12,35,472.20</t>
  </si>
  <si>
    <t>1,53,590</t>
  </si>
  <si>
    <t>61,40,054</t>
  </si>
  <si>
    <t>9,00,54,48,862.60</t>
  </si>
  <si>
    <t>1,35,797</t>
  </si>
  <si>
    <t>1,29,81,873</t>
  </si>
  <si>
    <t>5,33,44,43,057.90</t>
  </si>
  <si>
    <t>1,14,689</t>
  </si>
  <si>
    <t>1,47,99,343</t>
  </si>
  <si>
    <t>21,39,63,97,537.40</t>
  </si>
  <si>
    <t>1,56,234</t>
  </si>
  <si>
    <t>1,52,06,240</t>
  </si>
  <si>
    <t>6,22,36,51,577.60</t>
  </si>
  <si>
    <t>1,27,499</t>
  </si>
  <si>
    <t>78,05,252</t>
  </si>
  <si>
    <t>11,29,04,38,379.50</t>
  </si>
  <si>
    <t>1,21,663</t>
  </si>
  <si>
    <t>80,01,323</t>
  </si>
  <si>
    <t>3,26,97,11,918.80</t>
  </si>
  <si>
    <t>74,32,535</t>
  </si>
  <si>
    <t>10,67,09,30,441.90</t>
  </si>
  <si>
    <t>1,51,043</t>
  </si>
  <si>
    <t>70,59,566</t>
  </si>
  <si>
    <t>2,88,68,81,314.85</t>
  </si>
  <si>
    <t>54,15,511</t>
  </si>
  <si>
    <t>7,78,20,61,616.90</t>
  </si>
  <si>
    <t>1,02,913</t>
  </si>
  <si>
    <t>1,86,27,592</t>
  </si>
  <si>
    <t>7,62,67,98,175.75</t>
  </si>
  <si>
    <t>1,49,408</t>
  </si>
  <si>
    <t>84,92,484</t>
  </si>
  <si>
    <t>12,13,50,55,891.30</t>
  </si>
  <si>
    <t>1,82,653</t>
  </si>
  <si>
    <t>2,67,62,866</t>
  </si>
  <si>
    <t>10,78,58,70,136.45</t>
  </si>
  <si>
    <t>3,07,280</t>
  </si>
  <si>
    <t>59,13,947</t>
  </si>
  <si>
    <t>8,42,79,86,637.00</t>
  </si>
  <si>
    <t>1,99,744</t>
  </si>
  <si>
    <t>90,09,465</t>
  </si>
  <si>
    <t>1,86,00,796</t>
  </si>
  <si>
    <t>12,80,45,39,647.10</t>
  </si>
  <si>
    <t>7,65,54,92,505.50</t>
  </si>
  <si>
    <t>1,58,523</t>
  </si>
  <si>
    <t>2,34,584</t>
  </si>
  <si>
    <t>75,77,793</t>
  </si>
  <si>
    <t>10,80,90,59,788.70</t>
  </si>
  <si>
    <t>1,46,431</t>
  </si>
  <si>
    <t>2,17,85,572</t>
  </si>
  <si>
    <t>9,07,16,50,104.35</t>
  </si>
  <si>
    <t>2,42,191</t>
  </si>
  <si>
    <t>69,08,844</t>
  </si>
  <si>
    <t>9,95,28,55,665.50</t>
  </si>
  <si>
    <t>1,50,892</t>
  </si>
  <si>
    <t>89,39,356</t>
  </si>
  <si>
    <t>3,75,80,63,114.55</t>
  </si>
  <si>
    <t>67,09,554</t>
  </si>
  <si>
    <t>9,62,67,06,605.90</t>
  </si>
  <si>
    <t>1,61,273</t>
  </si>
  <si>
    <t>1,16,85,880</t>
  </si>
  <si>
    <t>4,92,38,48,655.80</t>
  </si>
  <si>
    <t>1,29,742</t>
  </si>
  <si>
    <t>58,17,858</t>
  </si>
  <si>
    <t>8,31,89,55,912.50</t>
  </si>
  <si>
    <t>1,53,109</t>
  </si>
  <si>
    <t>1,30,34,594</t>
  </si>
  <si>
    <t>5,51,74,51,893.15</t>
  </si>
  <si>
    <t>1,15,189</t>
  </si>
  <si>
    <t>62,38,645</t>
  </si>
  <si>
    <t>9,00,08,76,523.40</t>
  </si>
  <si>
    <t>1,61,682</t>
  </si>
  <si>
    <t>66,57,207</t>
  </si>
  <si>
    <t>2,24,10,217</t>
  </si>
  <si>
    <t>9,56,43,47,160.10</t>
  </si>
  <si>
    <t>9,53,26,79,412.90</t>
  </si>
  <si>
    <t>1,61,483</t>
  </si>
  <si>
    <t>2,22,404</t>
  </si>
  <si>
    <t>2,73,88,236</t>
  </si>
  <si>
    <t>11,57,18,85,187.30</t>
  </si>
  <si>
    <t>67,38,427</t>
  </si>
  <si>
    <t>2,18,049</t>
  </si>
  <si>
    <t>9,63,69,18,576.00</t>
  </si>
  <si>
    <t>1,42,654</t>
  </si>
  <si>
    <t>3,20,31,936</t>
  </si>
  <si>
    <t>13,70,84,85,407.15</t>
  </si>
  <si>
    <t>1,67,601</t>
  </si>
  <si>
    <t>87,20,155</t>
  </si>
  <si>
    <t>12,36,05,95,794.00</t>
  </si>
  <si>
    <t>2,01,100</t>
  </si>
  <si>
    <t>1,29,90,789</t>
  </si>
  <si>
    <t>18,22,63,41,926.40</t>
  </si>
  <si>
    <t>2,41,173</t>
  </si>
  <si>
    <t>1,95,66,317</t>
  </si>
  <si>
    <t>8,43,59,17,733.65</t>
  </si>
  <si>
    <t>1,44,472</t>
  </si>
  <si>
    <t>85,19,507</t>
  </si>
  <si>
    <t>11,92,57,41,661.00</t>
  </si>
  <si>
    <t>1,83,125</t>
  </si>
  <si>
    <t>2,60,64,089</t>
  </si>
  <si>
    <t>11,25,41,47,788.10</t>
  </si>
  <si>
    <t>1,34,018</t>
  </si>
  <si>
    <t>49,27,348</t>
  </si>
  <si>
    <t>6,93,16,17,328.70</t>
  </si>
  <si>
    <t>1,37,472</t>
  </si>
  <si>
    <t>71,63,073</t>
  </si>
  <si>
    <t>10,04,23,41,320.30</t>
  </si>
  <si>
    <t>2,07,579</t>
  </si>
  <si>
    <t>2,29,44,377</t>
  </si>
  <si>
    <t>98,13,382</t>
  </si>
  <si>
    <t>9,77,40,87,061.50</t>
  </si>
  <si>
    <t>13,66,26,18,272.40</t>
  </si>
  <si>
    <t>1,20,877</t>
  </si>
  <si>
    <t>2,15,122</t>
  </si>
  <si>
    <t>1,05,64,859</t>
  </si>
  <si>
    <t>14,87,93,68,496.70</t>
  </si>
  <si>
    <t>62,87,095</t>
  </si>
  <si>
    <t>1,78,722</t>
  </si>
  <si>
    <t>2,69,44,27,013.85</t>
  </si>
  <si>
    <t>66,21,077</t>
  </si>
  <si>
    <t>9,25,32,43,890.30</t>
  </si>
  <si>
    <t>1,11,89,930</t>
  </si>
  <si>
    <t>4,77,03,31,679.80</t>
  </si>
  <si>
    <t>2,28,223</t>
  </si>
  <si>
    <t>58,80,943</t>
  </si>
  <si>
    <t>8,26,01,53,082.30</t>
  </si>
  <si>
    <t>1,33,142</t>
  </si>
  <si>
    <t>1,00,26,546</t>
  </si>
  <si>
    <t>4,27,85,52,724.80</t>
  </si>
  <si>
    <t>1,97,832</t>
  </si>
  <si>
    <t>64,70,679</t>
  </si>
  <si>
    <t>9,07,06,76,168.90</t>
  </si>
  <si>
    <t>1,29,854</t>
  </si>
  <si>
    <t>1,27,69,461</t>
  </si>
  <si>
    <t>5,47,58,58,517.65</t>
  </si>
  <si>
    <t>1,15,137</t>
  </si>
  <si>
    <t>74,52,347</t>
  </si>
  <si>
    <t>10,48,67,22,637.70</t>
  </si>
  <si>
    <t>1,15,25,305</t>
  </si>
  <si>
    <t>5,02,63,39,793.80</t>
  </si>
  <si>
    <t>1,17,066</t>
  </si>
  <si>
    <t>1,50,26,568</t>
  </si>
  <si>
    <t>6,55,51,76,631.90</t>
  </si>
  <si>
    <t>1,33,609</t>
  </si>
  <si>
    <t>97,10,361</t>
  </si>
  <si>
    <t>4,19,26,56,819.60</t>
  </si>
  <si>
    <t>1,48,037</t>
  </si>
  <si>
    <t>1,01,92,026</t>
  </si>
  <si>
    <t>14,30,19,23,215.80</t>
  </si>
  <si>
    <t>1,81,447</t>
  </si>
  <si>
    <t>1,99,37,960</t>
  </si>
  <si>
    <t>8,55,31,17,657.75</t>
  </si>
  <si>
    <t>1,73,524</t>
  </si>
  <si>
    <t>77,70,038</t>
  </si>
  <si>
    <t>10,97,79,91,343.80</t>
  </si>
  <si>
    <t>1,65,154</t>
  </si>
  <si>
    <t>82,26,512</t>
  </si>
  <si>
    <t>3,50,10,26,096.65</t>
  </si>
  <si>
    <t>1,34,382</t>
  </si>
  <si>
    <t>58,45,637</t>
  </si>
  <si>
    <t>8,31,24,11,904.60</t>
  </si>
  <si>
    <t>1,30,816</t>
  </si>
  <si>
    <t>80,31,891</t>
  </si>
  <si>
    <t>3,48,28,63,921.65</t>
  </si>
  <si>
    <t>82,13,151</t>
  </si>
  <si>
    <t>11,66,78,59,743.80</t>
  </si>
  <si>
    <t>1,39,536</t>
  </si>
  <si>
    <t>1,49,76,369</t>
  </si>
  <si>
    <t>6,43,19,40,112.45</t>
  </si>
  <si>
    <t>1,53,294</t>
  </si>
  <si>
    <t>74,84,283</t>
  </si>
  <si>
    <t>10,63,40,07,393.70</t>
  </si>
  <si>
    <t>1,31,200</t>
  </si>
  <si>
    <t>95,57,309</t>
  </si>
  <si>
    <t>4,09,67,82,375.45</t>
  </si>
  <si>
    <t>81,30,537</t>
  </si>
  <si>
    <t>11,56,55,63,636.60</t>
  </si>
  <si>
    <t>1,65,955</t>
  </si>
  <si>
    <t>2,42,63,510</t>
  </si>
  <si>
    <t>10,46,09,38,250.10</t>
  </si>
  <si>
    <t>1,73,965</t>
  </si>
  <si>
    <t>1,34,57,344</t>
  </si>
  <si>
    <t>18,89,65,59,650.80</t>
  </si>
  <si>
    <t>1,72,737</t>
  </si>
  <si>
    <t>1,64,02,035</t>
  </si>
  <si>
    <t>7,13,06,84,218.55</t>
  </si>
  <si>
    <t>1,05,849</t>
  </si>
  <si>
    <t>88,47,948</t>
  </si>
  <si>
    <t>12,41,62,09,740.20</t>
  </si>
  <si>
    <t>1,13,260</t>
  </si>
  <si>
    <t>75,43,854</t>
  </si>
  <si>
    <t>3,28,15,49,026.60</t>
  </si>
  <si>
    <t>1,04,429</t>
  </si>
  <si>
    <t>1,28,27,524</t>
  </si>
  <si>
    <t>17,91,68,01,862.90</t>
  </si>
  <si>
    <t>1,97,247</t>
  </si>
  <si>
    <t>98,68,414</t>
  </si>
  <si>
    <t>4,30,83,92,163.40</t>
  </si>
  <si>
    <t>1,03,234</t>
  </si>
  <si>
    <t>97,35,678</t>
  </si>
  <si>
    <t>13,45,66,84,266.10</t>
  </si>
  <si>
    <t>2,10,851</t>
  </si>
  <si>
    <t>57,76,672</t>
  </si>
  <si>
    <t>2,51,31,03,067.75</t>
  </si>
  <si>
    <t>2,16,13,389</t>
  </si>
  <si>
    <t>29,79,00,90,966.10</t>
  </si>
  <si>
    <t>1,96,991</t>
  </si>
  <si>
    <t>1,94,51,749</t>
  </si>
  <si>
    <t>8,27,73,12,766.40</t>
  </si>
  <si>
    <t>1,72,555</t>
  </si>
  <si>
    <t>1,83,42,280</t>
  </si>
  <si>
    <t>25,00,66,44,406.50</t>
  </si>
  <si>
    <t>1,83,369</t>
  </si>
  <si>
    <t>1,85,36,884</t>
  </si>
  <si>
    <t>8,06,94,22,032.25</t>
  </si>
  <si>
    <t>1,80,589</t>
  </si>
  <si>
    <t>2,05,63,163</t>
  </si>
  <si>
    <t>27,81,56,85,218.20</t>
  </si>
  <si>
    <t>2,77,001</t>
  </si>
  <si>
    <t>1,31,07,662</t>
  </si>
  <si>
    <t>5,76,98,28,393.55</t>
  </si>
  <si>
    <t>1,07,919</t>
  </si>
  <si>
    <t>2,01,66,871</t>
  </si>
  <si>
    <t>27,20,93,26,360.40</t>
  </si>
  <si>
    <t>2,14,277</t>
  </si>
  <si>
    <t>2,69,86,022</t>
  </si>
  <si>
    <t>11,77,63,31,084.90</t>
  </si>
  <si>
    <t>2,24,458</t>
  </si>
  <si>
    <t>2,09,52,632</t>
  </si>
  <si>
    <t>28,68,25,59,363.90</t>
  </si>
  <si>
    <t>4,90,279</t>
  </si>
  <si>
    <t>43,18,51,622</t>
  </si>
  <si>
    <t>1,79,25,50,83,660.80</t>
  </si>
  <si>
    <t>4,13,487</t>
  </si>
  <si>
    <t>1,21,63,695</t>
  </si>
  <si>
    <t>16,62,61,22,666.10</t>
  </si>
  <si>
    <t>1,92,526</t>
  </si>
  <si>
    <t>2,14,78,547</t>
  </si>
  <si>
    <t>8,98,74,65,219.90</t>
  </si>
  <si>
    <t>2,01,763</t>
  </si>
  <si>
    <t>1,43,14,283</t>
  </si>
  <si>
    <t>19,52,68,28,804.40</t>
  </si>
  <si>
    <t>2,00,684</t>
  </si>
  <si>
    <t>3,06,56,239</t>
  </si>
  <si>
    <t>12,81,01,87,425.40</t>
  </si>
  <si>
    <t>1,59,932</t>
  </si>
  <si>
    <t>1,61,26,464</t>
  </si>
  <si>
    <t>22,22,08,30,751.10</t>
  </si>
  <si>
    <t>2,17,688</t>
  </si>
  <si>
    <t>1,49,73,380</t>
  </si>
  <si>
    <t>6,26,12,14,003.60</t>
  </si>
  <si>
    <t>1,65,410</t>
  </si>
  <si>
    <t>81,00,832</t>
  </si>
  <si>
    <t>11,11,53,59,090.30</t>
  </si>
  <si>
    <t>1,76,755</t>
  </si>
  <si>
    <t>1,32,16,486</t>
  </si>
  <si>
    <t>5,52,49,19,470.20</t>
  </si>
  <si>
    <t>1,40,901</t>
  </si>
  <si>
    <t>79,09,575</t>
  </si>
  <si>
    <t>10,87,16,77,779.10</t>
  </si>
  <si>
    <t>1,75,558</t>
  </si>
  <si>
    <t>1,25,98,933</t>
  </si>
  <si>
    <t>5,25,55,34,433.40</t>
  </si>
  <si>
    <t>1,16,476</t>
  </si>
  <si>
    <t>76,73,816</t>
  </si>
  <si>
    <t>10,59,12,67,726.70</t>
  </si>
  <si>
    <t>1,36,734</t>
  </si>
  <si>
    <t>1,32,12,523</t>
  </si>
  <si>
    <t>5,53,02,48,629.80</t>
  </si>
  <si>
    <t>1,25,958</t>
  </si>
  <si>
    <t>89,23,018</t>
  </si>
  <si>
    <t>12,30,58,47,453.30</t>
  </si>
  <si>
    <t>2,95,408</t>
  </si>
  <si>
    <t>87,74,988</t>
  </si>
  <si>
    <t>3,68,86,50,527.20</t>
  </si>
  <si>
    <t>1,35,147</t>
  </si>
  <si>
    <t>1,06,10,855</t>
  </si>
  <si>
    <t>14,65,86,07,710.70</t>
  </si>
  <si>
    <t>1,26,104</t>
  </si>
  <si>
    <t>1,04,73,123</t>
  </si>
  <si>
    <t>4,42,60,07,949.65</t>
  </si>
  <si>
    <t>1,52,980</t>
  </si>
  <si>
    <t>89,88,550</t>
  </si>
  <si>
    <t>12,53,73,42,798.30</t>
  </si>
  <si>
    <t>2,44,373</t>
  </si>
  <si>
    <t>1,30,41,075</t>
  </si>
  <si>
    <t>5,56,30,34,401.50</t>
  </si>
  <si>
    <t>1,70,097</t>
  </si>
  <si>
    <t>1,21,85,032</t>
  </si>
  <si>
    <t>17,21,59,99,886.50</t>
  </si>
  <si>
    <t>2,33,599</t>
  </si>
  <si>
    <t>2,07,89,182</t>
  </si>
  <si>
    <t>8,86,60,64,896.50</t>
  </si>
  <si>
    <t>1,48,079</t>
  </si>
  <si>
    <t>1,70,37,215</t>
  </si>
  <si>
    <t>24,32,52,73,729.90</t>
  </si>
  <si>
    <t>3,26,926</t>
  </si>
  <si>
    <t>1,85,08,835</t>
  </si>
  <si>
    <t>7,80,66,98,998.50</t>
  </si>
  <si>
    <t>2,50,912</t>
  </si>
  <si>
    <t>2,33,30,227</t>
  </si>
  <si>
    <t>32,70,04,79,176.40</t>
  </si>
  <si>
    <t>6,70,783</t>
  </si>
  <si>
    <t>1,78,73,926</t>
  </si>
  <si>
    <t>7,44,07,50,348.70</t>
  </si>
  <si>
    <t>1,63,341</t>
  </si>
  <si>
    <t>34,15,560</t>
  </si>
  <si>
    <t>4,72,43,55,077.40</t>
  </si>
  <si>
    <t>70,06,629</t>
  </si>
  <si>
    <t>2,92,40,40,280.95</t>
  </si>
  <si>
    <t>1,01,302</t>
  </si>
  <si>
    <t>2,11,24,942</t>
  </si>
  <si>
    <t>29,05,87,72,536.50</t>
  </si>
  <si>
    <t>4,01,439</t>
  </si>
  <si>
    <t>90,28,406</t>
  </si>
  <si>
    <t>3,76,77,81,671.25</t>
  </si>
  <si>
    <t>1,15,094</t>
  </si>
  <si>
    <t>1,05,70,263</t>
  </si>
  <si>
    <t>14,54,62,56,446.30</t>
  </si>
  <si>
    <t>2,54,633</t>
  </si>
  <si>
    <t>80,36,215</t>
  </si>
  <si>
    <t>3,34,39,60,493.95</t>
  </si>
  <si>
    <t>1,26,035</t>
  </si>
  <si>
    <t>1,14,99,836</t>
  </si>
  <si>
    <t>15,85,97,16,513.70</t>
  </si>
  <si>
    <t>2,96,317</t>
  </si>
  <si>
    <t>1,26,01,006</t>
  </si>
  <si>
    <t>5,25,11,07,254.85</t>
  </si>
  <si>
    <t>2,64,77,914</t>
  </si>
  <si>
    <t>36,05,79,49,499.50</t>
  </si>
  <si>
    <t>4,80,704</t>
  </si>
  <si>
    <t>1,32,03,184</t>
  </si>
  <si>
    <t>5,52,49,85,516.30</t>
  </si>
  <si>
    <t>1,10,675</t>
  </si>
  <si>
    <t>1,61,29,382</t>
  </si>
  <si>
    <t>22,01,90,31,340.90</t>
  </si>
  <si>
    <t>3,53,776</t>
  </si>
  <si>
    <t>1,48,39,890</t>
  </si>
  <si>
    <t>6,15,85,08,971.45</t>
  </si>
  <si>
    <t>1,71,311</t>
  </si>
  <si>
    <t>93,24,401</t>
  </si>
  <si>
    <t>12,72,06,37,741.30</t>
  </si>
  <si>
    <t>3,01,933</t>
  </si>
  <si>
    <t>1,66,90,068</t>
  </si>
  <si>
    <t>6,94,95,18,762.75</t>
  </si>
  <si>
    <t>1,59,26,798</t>
  </si>
  <si>
    <t>2,01,406</t>
  </si>
  <si>
    <t>21,48,99,88,727.80</t>
  </si>
  <si>
    <t>3,09,384</t>
  </si>
  <si>
    <t>1,10,71,450</t>
  </si>
  <si>
    <t>14,88,99,21,391.00</t>
  </si>
  <si>
    <t>99,46,718</t>
  </si>
  <si>
    <t>3,01,531</t>
  </si>
  <si>
    <t>4,14,67,14,301.45</t>
  </si>
  <si>
    <t>1,50,780</t>
  </si>
  <si>
    <t>1,52,11,183</t>
  </si>
  <si>
    <t>20,34,48,38,007.00</t>
  </si>
  <si>
    <t>2,76,007</t>
  </si>
  <si>
    <t>1,37,03,918</t>
  </si>
  <si>
    <t>5,73,45,31,592.15</t>
  </si>
  <si>
    <t>2,48,476</t>
  </si>
  <si>
    <t>2,42,21,853</t>
  </si>
  <si>
    <t>32,08,45,16,054.80</t>
  </si>
  <si>
    <t>3,68,806</t>
  </si>
  <si>
    <t>2,14,09,935</t>
  </si>
  <si>
    <t>8,97,88,30,736.00</t>
  </si>
  <si>
    <t>1,38,937</t>
  </si>
  <si>
    <t>77,19,245</t>
  </si>
  <si>
    <t>10,32,60,29,497.00</t>
  </si>
  <si>
    <t>1,49,776</t>
  </si>
  <si>
    <t>1,23,17,124</t>
  </si>
  <si>
    <t>5,14,07,85,633.05</t>
  </si>
  <si>
    <t>1,45,533</t>
  </si>
  <si>
    <t>85,42,340</t>
  </si>
  <si>
    <t>11,49,72,41,405.30</t>
  </si>
  <si>
    <t>1,55,442</t>
  </si>
  <si>
    <t>1,36,70,465</t>
  </si>
  <si>
    <t>5,69,19,10,423.45</t>
  </si>
  <si>
    <t>1,35,207</t>
  </si>
  <si>
    <t>83,05,184</t>
  </si>
  <si>
    <t>11,25,26,12,832.30</t>
  </si>
  <si>
    <t>2,08,140</t>
  </si>
  <si>
    <t>1,59,90,899</t>
  </si>
  <si>
    <t>6,61,34,37,048.00</t>
  </si>
  <si>
    <t>1,48,675</t>
  </si>
  <si>
    <t>97,36,761</t>
  </si>
  <si>
    <t>13,25,94,41,993.50</t>
  </si>
  <si>
    <t>1,68,204</t>
  </si>
  <si>
    <t>1,41,85,298</t>
  </si>
  <si>
    <t>5,86,66,30,211.25</t>
  </si>
  <si>
    <t>1,42,804</t>
  </si>
  <si>
    <t>1,82,96,626</t>
  </si>
  <si>
    <t>25,31,28,23,046.70</t>
  </si>
  <si>
    <t>2,39,327</t>
  </si>
  <si>
    <t>82,56,733</t>
  </si>
  <si>
    <t>3,40,83,42,585.95</t>
  </si>
  <si>
    <t>1,03,880</t>
  </si>
  <si>
    <t>96,94,498</t>
  </si>
  <si>
    <t>13,29,04,12,846.70</t>
  </si>
  <si>
    <t>1,90,956</t>
  </si>
  <si>
    <t>68,45,218</t>
  </si>
  <si>
    <t>2,84,68,07,822.50</t>
  </si>
  <si>
    <t>1,20,392</t>
  </si>
  <si>
    <t>76,60,717</t>
  </si>
  <si>
    <t>10,56,34,73,675.80</t>
  </si>
  <si>
    <t>1,09,085</t>
  </si>
  <si>
    <t>68,07,192</t>
  </si>
  <si>
    <t>2,83,49,24,838.55</t>
  </si>
  <si>
    <t>95,29,560</t>
  </si>
  <si>
    <t>13,10,06,17,263.50</t>
  </si>
  <si>
    <t>1,43,242</t>
  </si>
  <si>
    <t>99,30,533</t>
  </si>
  <si>
    <t>4,16,16,51,352.25</t>
  </si>
  <si>
    <t>1,46,808</t>
  </si>
  <si>
    <t>1,03,93,918</t>
  </si>
  <si>
    <t>14,33,95,82,068.90</t>
  </si>
  <si>
    <t>1,52,320</t>
  </si>
  <si>
    <t>62,20,360</t>
  </si>
  <si>
    <t>2,59,76,61,683.25</t>
  </si>
  <si>
    <t>1,01,31,863</t>
  </si>
  <si>
    <t>13,99,53,31,858.30</t>
  </si>
  <si>
    <t>1,99,484</t>
  </si>
  <si>
    <t>85,78,844</t>
  </si>
  <si>
    <t>3,57,67,13,516.45</t>
  </si>
  <si>
    <t>1,14,83,595</t>
  </si>
  <si>
    <t>15,72,41,08,014.60</t>
  </si>
  <si>
    <t>1,71,633</t>
  </si>
  <si>
    <t>68,96,989</t>
  </si>
  <si>
    <t>2,88,91,23,352.95</t>
  </si>
  <si>
    <t>1,58,96,003</t>
  </si>
  <si>
    <t>21,77,31,46,809.90</t>
  </si>
  <si>
    <t>1,92,513</t>
  </si>
  <si>
    <t>85,32,755</t>
  </si>
  <si>
    <t>3,59,54,25,226.20</t>
  </si>
  <si>
    <t>1,22,35,000</t>
  </si>
  <si>
    <t>1,12,643</t>
  </si>
  <si>
    <t>16,66,69,09,341.50</t>
  </si>
  <si>
    <t>2,17,159</t>
  </si>
  <si>
    <t>96,59,004</t>
  </si>
  <si>
    <t>97,80,773</t>
  </si>
  <si>
    <t>13,23,20,68,784.90</t>
  </si>
  <si>
    <t>4,14,23,30,034.65</t>
  </si>
  <si>
    <t>1,40,169</t>
  </si>
  <si>
    <t>1,51,58,741</t>
  </si>
  <si>
    <t>21,05,37,99,768.40</t>
  </si>
  <si>
    <t>72,40,795</t>
  </si>
  <si>
    <t>2,32,290</t>
  </si>
  <si>
    <t>3,07,46,22,256.70</t>
  </si>
  <si>
    <t>76,83,986</t>
  </si>
  <si>
    <t>10,68,32,52,227.00</t>
  </si>
  <si>
    <t>1,98,302</t>
  </si>
  <si>
    <t>67,30,256</t>
  </si>
  <si>
    <t>2,84,16,42,514.05</t>
  </si>
  <si>
    <t>88,67,593</t>
  </si>
  <si>
    <t>12,35,44,67,146.10</t>
  </si>
  <si>
    <t>48,22,343</t>
  </si>
  <si>
    <t>2,25,630</t>
  </si>
  <si>
    <t>2,02,80,12,485.95</t>
  </si>
  <si>
    <t>1,21,26,396</t>
  </si>
  <si>
    <t>16,66,98,81,069.60</t>
  </si>
  <si>
    <t>98,69,507</t>
  </si>
  <si>
    <t>3,35,552</t>
  </si>
  <si>
    <t>4,11,38,26,380.95</t>
  </si>
  <si>
    <t>1,17,437</t>
  </si>
  <si>
    <t>1,21,96,187</t>
  </si>
  <si>
    <t>79,55,933</t>
  </si>
  <si>
    <t>11,00,30,40,759.70</t>
  </si>
  <si>
    <t>5,06,18,66,238.40</t>
  </si>
  <si>
    <t>1,82,044</t>
  </si>
  <si>
    <t>73,73,909</t>
  </si>
  <si>
    <t>10,21,44,31,633.60</t>
  </si>
  <si>
    <t>90,05,157</t>
  </si>
  <si>
    <t>1,89,163</t>
  </si>
  <si>
    <t>3,70,48,82,523.95</t>
  </si>
  <si>
    <t>1,32,378</t>
  </si>
  <si>
    <t>49,42,638</t>
  </si>
  <si>
    <t>6,87,27,04,506.90</t>
  </si>
  <si>
    <t>1,30,513</t>
  </si>
  <si>
    <t>58,24,089</t>
  </si>
  <si>
    <t>2,38,30,43,433.05</t>
  </si>
  <si>
    <t>1,00,941</t>
  </si>
  <si>
    <t>78,26,227</t>
  </si>
  <si>
    <t>10,86,96,28,559.20</t>
  </si>
  <si>
    <t>1,77,670</t>
  </si>
  <si>
    <t>81,23,337</t>
  </si>
  <si>
    <t>3,32,95,57,179.75</t>
  </si>
  <si>
    <t>1,04,92,030</t>
  </si>
  <si>
    <t>14,45,16,76,568.30</t>
  </si>
  <si>
    <t>1,75,866</t>
  </si>
  <si>
    <t>68,11,772</t>
  </si>
  <si>
    <t>2,78,80,74,823.55</t>
  </si>
  <si>
    <t>87,25,381</t>
  </si>
  <si>
    <t>11,92,31,88,503.50</t>
  </si>
  <si>
    <t>1,64,913</t>
  </si>
  <si>
    <t>1,09,15,863</t>
  </si>
  <si>
    <t>4,44,68,03,251.75</t>
  </si>
  <si>
    <t>1,02,742</t>
  </si>
  <si>
    <t>67,34,750</t>
  </si>
  <si>
    <t>9,16,19,34,313.70</t>
  </si>
  <si>
    <t>1,66,103</t>
  </si>
  <si>
    <t>1,93,64,174</t>
  </si>
  <si>
    <t>7,94,81,30,344.70</t>
  </si>
  <si>
    <t>1,45,541</t>
  </si>
  <si>
    <t>38,90,885</t>
  </si>
  <si>
    <t>5,31,66,35,958.20</t>
  </si>
  <si>
    <t>1,13,064</t>
  </si>
  <si>
    <t>1,43,24,065</t>
  </si>
  <si>
    <t>5,96,65,72,601.75</t>
  </si>
  <si>
    <t>1,43,905</t>
  </si>
  <si>
    <t>53,42,530</t>
  </si>
  <si>
    <t>7,29,01,05,034.90</t>
  </si>
  <si>
    <t>2,67,792</t>
  </si>
  <si>
    <t>1,83,52,458</t>
  </si>
  <si>
    <t>7,67,05,04,419.40</t>
  </si>
  <si>
    <t>3,46,053</t>
  </si>
  <si>
    <t>1,23,59,741</t>
  </si>
  <si>
    <t>16,85,49,16,855.00</t>
  </si>
  <si>
    <t>3,45,540</t>
  </si>
  <si>
    <t>84,95,104</t>
  </si>
  <si>
    <t>3,51,97,98,904.05</t>
  </si>
  <si>
    <t>1,47,684</t>
  </si>
  <si>
    <t>94,40,391</t>
  </si>
  <si>
    <t>12,75,00,64,577.50</t>
  </si>
  <si>
    <t>1,99,498</t>
  </si>
  <si>
    <t>90,80,543</t>
  </si>
  <si>
    <t>3,73,88,41,645.30</t>
  </si>
  <si>
    <t>1,23,746</t>
  </si>
  <si>
    <t>73,14,573</t>
  </si>
  <si>
    <t>9,94,86,07,088.40</t>
  </si>
  <si>
    <t>2,07,464</t>
  </si>
  <si>
    <t>1,15,14,878</t>
  </si>
  <si>
    <t>4,75,95,38,600.10</t>
  </si>
  <si>
    <t>1,07,647</t>
  </si>
  <si>
    <t>1,43,18,512</t>
  </si>
  <si>
    <t>19,39,02,42,360.80</t>
  </si>
  <si>
    <t>2,24,715</t>
  </si>
  <si>
    <t>98,14,361</t>
  </si>
  <si>
    <t>4,06,62,50,194.90</t>
  </si>
  <si>
    <t>93,75,294</t>
  </si>
  <si>
    <t>12,80,35,46,328.80</t>
  </si>
  <si>
    <t>2,04,189</t>
  </si>
  <si>
    <t>85,14,272</t>
  </si>
  <si>
    <t>3,54,23,55,434.80</t>
  </si>
  <si>
    <t>1,11,986</t>
  </si>
  <si>
    <t>91,05,467</t>
  </si>
  <si>
    <t>12,39,98,97,178.60</t>
  </si>
  <si>
    <t>2,31,134</t>
  </si>
  <si>
    <t>1,36,35,738</t>
  </si>
  <si>
    <t>89,55,140</t>
  </si>
  <si>
    <t>12,19,92,71,454.00</t>
  </si>
  <si>
    <t>5,69,20,02,511.40</t>
  </si>
  <si>
    <t>1,63,168</t>
  </si>
  <si>
    <t>1,05,553</t>
  </si>
  <si>
    <t>28,12,144</t>
  </si>
  <si>
    <t>3,80,55,33,190.00</t>
  </si>
  <si>
    <t>1,08,74,910</t>
  </si>
  <si>
    <t>4,51,10,79,760.80</t>
  </si>
  <si>
    <t>60,57,201</t>
  </si>
  <si>
    <t>8,15,34,10,855.40</t>
  </si>
  <si>
    <t>1,45,962</t>
  </si>
  <si>
    <t>95,80,361</t>
  </si>
  <si>
    <t>3,95,16,69,337.50</t>
  </si>
  <si>
    <t>1,22,767</t>
  </si>
  <si>
    <t>1,86,21,277</t>
  </si>
  <si>
    <t>24,98,86,03,546.50</t>
  </si>
  <si>
    <t>2,61,375</t>
  </si>
  <si>
    <t>3,09,50,814</t>
  </si>
  <si>
    <t>12,64,96,59,054.30</t>
  </si>
  <si>
    <t>1,93,343</t>
  </si>
  <si>
    <t>61,50,634</t>
  </si>
  <si>
    <t>8,26,87,15,778.60</t>
  </si>
  <si>
    <t>1,33,779</t>
  </si>
  <si>
    <t>1,66,81,331</t>
  </si>
  <si>
    <t>6,78,69,12,397.30</t>
  </si>
  <si>
    <t>1,75,005</t>
  </si>
  <si>
    <t>41,79,311</t>
  </si>
  <si>
    <t>5,60,15,12,243.10</t>
  </si>
  <si>
    <t>1,81,88,129</t>
  </si>
  <si>
    <t>7,41,84,16,584.55</t>
  </si>
  <si>
    <t>1,58,846</t>
  </si>
  <si>
    <t>82,26,205</t>
  </si>
  <si>
    <t>11,09,68,63,710.80</t>
  </si>
  <si>
    <t>1,23,080</t>
  </si>
  <si>
    <t>1,50,28,966</t>
  </si>
  <si>
    <t>6,09,71,00,177.45</t>
  </si>
  <si>
    <t>1,82,931</t>
  </si>
  <si>
    <t>69,20,565</t>
  </si>
  <si>
    <t>9,47,44,70,607.30</t>
  </si>
  <si>
    <t>2,51,280</t>
  </si>
  <si>
    <t>1,30,87,624</t>
  </si>
  <si>
    <t>5,23,38,81,432.80</t>
  </si>
  <si>
    <t>2,04,639</t>
  </si>
  <si>
    <t>1,72,60,416</t>
  </si>
  <si>
    <t>24,23,63,60,970.10</t>
  </si>
  <si>
    <t>3,38,562</t>
  </si>
  <si>
    <t>1,04,40,286</t>
  </si>
  <si>
    <t>4,16,74,97,911.50</t>
  </si>
  <si>
    <t>1,42,577</t>
  </si>
  <si>
    <t>1,37,15,752</t>
  </si>
  <si>
    <t>1,58,13,795</t>
  </si>
  <si>
    <t>5,51,78,42,190.00</t>
  </si>
  <si>
    <t>22,48,69,67,388.80</t>
  </si>
  <si>
    <t>1,80,641</t>
  </si>
  <si>
    <t>2,63,196</t>
  </si>
  <si>
    <t>1,24,71,719</t>
  </si>
  <si>
    <t>5,00,61,14,050.00</t>
  </si>
  <si>
    <t>1,48,61,699</t>
  </si>
  <si>
    <t>1,65,609</t>
  </si>
  <si>
    <t>21,34,04,84,627.50</t>
  </si>
  <si>
    <t>2,90,412</t>
  </si>
  <si>
    <t>2,52,55,050</t>
  </si>
  <si>
    <t>10,29,25,36,558.90</t>
  </si>
  <si>
    <t>1,25,55,636</t>
  </si>
  <si>
    <t>1,52,907</t>
  </si>
  <si>
    <t>17,67,60,64,959.30</t>
  </si>
  <si>
    <t>1,76,569</t>
  </si>
  <si>
    <t>1,09,23,811</t>
  </si>
  <si>
    <t>1,22,68,090</t>
  </si>
  <si>
    <t>15,39,27,57,596.10</t>
  </si>
  <si>
    <t>4,98,47,83,795.80</t>
  </si>
  <si>
    <t>2,13,429</t>
  </si>
  <si>
    <t>1,69,790</t>
  </si>
  <si>
    <t>1,42,95,581</t>
  </si>
  <si>
    <t>20,48,22,94,150.00</t>
  </si>
  <si>
    <t>1,98,08,255</t>
  </si>
  <si>
    <t>3,24,654</t>
  </si>
  <si>
    <t>8,04,95,46,791.50</t>
  </si>
  <si>
    <t>2,24,334</t>
  </si>
  <si>
    <t>1,38,32,255</t>
  </si>
  <si>
    <t>19,71,90,79,329.90</t>
  </si>
  <si>
    <t>2,58,446</t>
  </si>
  <si>
    <t>1,29,36,588</t>
  </si>
  <si>
    <t>5,31,11,34,586.60</t>
  </si>
  <si>
    <t>1,18,422</t>
  </si>
  <si>
    <t>1,25,30,886</t>
  </si>
  <si>
    <t>17,71,11,65,102.70</t>
  </si>
  <si>
    <t>3,10,123</t>
  </si>
  <si>
    <t>2,72,74,123</t>
  </si>
  <si>
    <t>11,41,58,87,821.05</t>
  </si>
  <si>
    <t>2,71,564</t>
  </si>
  <si>
    <t>2,33,02,883</t>
  </si>
  <si>
    <t>32,02,33,23,446.30</t>
  </si>
  <si>
    <t>4,43,246</t>
  </si>
  <si>
    <t>1,60,00,675</t>
  </si>
  <si>
    <t>6,50,94,28,201.45</t>
  </si>
  <si>
    <t>2,13,298</t>
  </si>
  <si>
    <t>1,50,12,785</t>
  </si>
  <si>
    <t>20,72,33,99,138.70</t>
  </si>
  <si>
    <t>3,48,185</t>
  </si>
  <si>
    <t>74,19,022</t>
  </si>
  <si>
    <t>3,02,85,06,105.15</t>
  </si>
  <si>
    <t>1,13,635</t>
  </si>
  <si>
    <t>2,17,66,068</t>
  </si>
  <si>
    <t>29,45,08,24,904.30</t>
  </si>
  <si>
    <t>3,25,494</t>
  </si>
  <si>
    <t>88,25,896</t>
  </si>
  <si>
    <t>3,61,66,92,854.60</t>
  </si>
  <si>
    <t>1,71,79,765</t>
  </si>
  <si>
    <t>23,11,41,75,406.10</t>
  </si>
  <si>
    <t>3,76,183</t>
  </si>
  <si>
    <t>92,52,397</t>
  </si>
  <si>
    <t>3,80,50,55,609.05</t>
  </si>
  <si>
    <t>1,41,806</t>
  </si>
  <si>
    <t>1,40,56,524</t>
  </si>
  <si>
    <t>18,91,09,09,222.00</t>
  </si>
  <si>
    <t>2,66,966</t>
  </si>
  <si>
    <t>82,74,406</t>
  </si>
  <si>
    <t>3,43,80,66,391.55</t>
  </si>
  <si>
    <t>1,95,524</t>
  </si>
  <si>
    <t>2,52,63,634</t>
  </si>
  <si>
    <t>34,15,21,85,794.40</t>
  </si>
  <si>
    <t>3,97,382</t>
  </si>
  <si>
    <t>78,03,379</t>
  </si>
  <si>
    <t>3,23,75,50,924.50</t>
  </si>
  <si>
    <t>1,32,42,696</t>
  </si>
  <si>
    <t>18,13,91,17,842.70</t>
  </si>
  <si>
    <t>2,14,114</t>
  </si>
  <si>
    <t>57,07,331</t>
  </si>
  <si>
    <t>2,35,74,18,512.55</t>
  </si>
  <si>
    <t>2,31,18,234</t>
  </si>
  <si>
    <t>31,79,58,80,950.80</t>
  </si>
  <si>
    <t>3,16,133</t>
  </si>
  <si>
    <t>2,40,13,717</t>
  </si>
  <si>
    <t>32,78,80,49,343.30</t>
  </si>
  <si>
    <t>1,74,668</t>
  </si>
  <si>
    <t>82,39,087</t>
  </si>
  <si>
    <t>3,40,37,29,371.05</t>
  </si>
  <si>
    <t>49,69,610</t>
  </si>
  <si>
    <t>6,70,75,90,848.90</t>
  </si>
  <si>
    <t>1,41,13,882</t>
  </si>
  <si>
    <t>5,78,91,28,854.55</t>
  </si>
  <si>
    <t>1,47,228</t>
  </si>
  <si>
    <t>1,28,00,245</t>
  </si>
  <si>
    <t>17,22,18,71,131.70</t>
  </si>
  <si>
    <t>2,96,520</t>
  </si>
  <si>
    <t>1,56,47,808</t>
  </si>
  <si>
    <t>6,43,92,99,773.30</t>
  </si>
  <si>
    <t>1,05,500</t>
  </si>
  <si>
    <t>2,48,96,698</t>
  </si>
  <si>
    <t>34,65,02,22,974.70</t>
  </si>
  <si>
    <t>3,62,321</t>
  </si>
  <si>
    <t>1,95,05,321</t>
  </si>
  <si>
    <t>8,00,63,79,578.25</t>
  </si>
  <si>
    <t>1,19,041</t>
  </si>
  <si>
    <t>1,10,80,683</t>
  </si>
  <si>
    <t>15,58,87,50,561.40</t>
  </si>
  <si>
    <t>1,91,128</t>
  </si>
  <si>
    <t>89,30,779</t>
  </si>
  <si>
    <t>3,64,39,75,296.25</t>
  </si>
  <si>
    <t>1,28,779</t>
  </si>
  <si>
    <t>89,82,761</t>
  </si>
  <si>
    <t>12,59,44,68,388.50</t>
  </si>
  <si>
    <t>1,79,749</t>
  </si>
  <si>
    <t>1,49,36,357</t>
  </si>
  <si>
    <t>6,02,94,14,917.85</t>
  </si>
  <si>
    <t>1,65,353</t>
  </si>
  <si>
    <t>1,08,51,190</t>
  </si>
  <si>
    <t>15,22,06,80,762.50</t>
  </si>
  <si>
    <t>1,67,764</t>
  </si>
  <si>
    <t>1,23,80,865</t>
  </si>
  <si>
    <t>4,97,28,36,129.35</t>
  </si>
  <si>
    <t>1,17,613</t>
  </si>
  <si>
    <t>78,89,742</t>
  </si>
  <si>
    <t>11,01,81,92,537.50</t>
  </si>
  <si>
    <t>2,01,425</t>
  </si>
  <si>
    <t>2,20,06,368</t>
  </si>
  <si>
    <t>8,80,36,08,106.55</t>
  </si>
  <si>
    <t>1,74,393</t>
  </si>
  <si>
    <t>1,64,97,628</t>
  </si>
  <si>
    <t>23,15,56,53,318.50</t>
  </si>
  <si>
    <t>2,90,456</t>
  </si>
  <si>
    <t>85,51,341</t>
  </si>
  <si>
    <t>12,01,73,47,016.70</t>
  </si>
  <si>
    <t>2,33,720</t>
  </si>
  <si>
    <t>1,44,14,044</t>
  </si>
  <si>
    <t>5,81,77,82,528.90</t>
  </si>
  <si>
    <t>1,20,767</t>
  </si>
  <si>
    <t>1,96,46,265</t>
  </si>
  <si>
    <t>28,02,57,18,740.70</t>
  </si>
  <si>
    <t>3,59,078</t>
  </si>
  <si>
    <t>1,97,17,660</t>
  </si>
  <si>
    <t>8,01,61,25,728.80</t>
  </si>
  <si>
    <t>1,22,28,083</t>
  </si>
  <si>
    <t>1,38,356</t>
  </si>
  <si>
    <t>17,33,58,09,677.40</t>
  </si>
  <si>
    <t>3,31,274</t>
  </si>
  <si>
    <t>94,65,490</t>
  </si>
  <si>
    <t>50,00,042</t>
  </si>
  <si>
    <t>3,80,71,99,569.50</t>
  </si>
  <si>
    <t>7,04,43,01,759.40</t>
  </si>
  <si>
    <t>1,35,011</t>
  </si>
  <si>
    <t>1,62,024</t>
  </si>
  <si>
    <t>1,17,56,187</t>
  </si>
  <si>
    <t>16,51,33,61,505.90</t>
  </si>
  <si>
    <t>1,81,342</t>
  </si>
  <si>
    <t>1,76,43,039</t>
  </si>
  <si>
    <t>7,12,28,31,971.25</t>
  </si>
  <si>
    <t>1,16,986</t>
  </si>
  <si>
    <t>47,58,071</t>
  </si>
  <si>
    <t>6,68,01,16,792.30</t>
  </si>
  <si>
    <t>1,07,958</t>
  </si>
  <si>
    <t>1,69,87,141</t>
  </si>
  <si>
    <t>6,86,82,13,808.30</t>
  </si>
  <si>
    <t>1,19,898</t>
  </si>
  <si>
    <t>1,43,23,091</t>
  </si>
  <si>
    <t>19,98,06,13,931.70</t>
  </si>
  <si>
    <t>1,72,043</t>
  </si>
  <si>
    <t>1,39,89,077</t>
  </si>
  <si>
    <t>5,60,55,84,637.30</t>
  </si>
  <si>
    <t>1,19,696</t>
  </si>
  <si>
    <t>1,03,37,877</t>
  </si>
  <si>
    <t>14,43,20,24,508.80</t>
  </si>
  <si>
    <t>1,25,352</t>
  </si>
  <si>
    <t>1,22,98,968</t>
  </si>
  <si>
    <t>4,92,53,18,576.70</t>
  </si>
  <si>
    <t>1,28,812</t>
  </si>
  <si>
    <t>1,07,28,445</t>
  </si>
  <si>
    <t>15,02,90,32,958.60</t>
  </si>
  <si>
    <t>1,37,169</t>
  </si>
  <si>
    <t>84,02,463</t>
  </si>
  <si>
    <t>3,35,67,45,732.55</t>
  </si>
  <si>
    <t>1,82,74,784</t>
  </si>
  <si>
    <t>25,37,45,56,219.00</t>
  </si>
  <si>
    <t>1,78,572</t>
  </si>
  <si>
    <t>1,56,56,267</t>
  </si>
  <si>
    <t>6,26,20,21,427.10</t>
  </si>
  <si>
    <t>1,62,97,015</t>
  </si>
  <si>
    <t>1,27,019</t>
  </si>
  <si>
    <t>22,81,44,95,610.00</t>
  </si>
  <si>
    <t>2,19,690</t>
  </si>
  <si>
    <t>2,72,88,792</t>
  </si>
  <si>
    <t>38,30,31,70,835.60</t>
  </si>
  <si>
    <t>2,75,171</t>
  </si>
  <si>
    <t>1,50,85,738</t>
  </si>
  <si>
    <t>6,06,87,94,009.10</t>
  </si>
  <si>
    <t>1,15,991</t>
  </si>
  <si>
    <t>1,50,96,898</t>
  </si>
  <si>
    <t>20,91,91,49,418.30</t>
  </si>
  <si>
    <t>1,71,296</t>
  </si>
  <si>
    <t>95,08,594</t>
  </si>
  <si>
    <t>3,80,02,78,856.70</t>
  </si>
  <si>
    <t>1,72,792</t>
  </si>
  <si>
    <t>1,69,28,683</t>
  </si>
  <si>
    <t>23,18,53,56,350.40</t>
  </si>
  <si>
    <t>3,08,886</t>
  </si>
  <si>
    <t>1,02,91,102</t>
  </si>
  <si>
    <t>4,09,35,09,264.00</t>
  </si>
  <si>
    <t>1,55,469</t>
  </si>
  <si>
    <t>2,00,09,132</t>
  </si>
  <si>
    <t>27,11,85,32,926.00</t>
  </si>
  <si>
    <t>5,02,432</t>
  </si>
  <si>
    <t>1,60,43,867</t>
  </si>
  <si>
    <t>6,41,38,86,116.50</t>
  </si>
  <si>
    <t>1,07,335</t>
  </si>
  <si>
    <t>2,29,62,049</t>
  </si>
  <si>
    <t>1,75,90,491</t>
  </si>
  <si>
    <t>9,25,37,41,617.70</t>
  </si>
  <si>
    <t>1,61,737</t>
  </si>
  <si>
    <t>23,86,92,37,214.50</t>
  </si>
  <si>
    <t>2,14,379</t>
  </si>
  <si>
    <t>2,10,71,344</t>
  </si>
  <si>
    <t>8,66,91,97,740.65</t>
  </si>
  <si>
    <t>1,55,146</t>
  </si>
  <si>
    <t>2,27,78,852</t>
  </si>
  <si>
    <t>30,13,28,94,838.80</t>
  </si>
  <si>
    <t>1,30,83,621</t>
  </si>
  <si>
    <t>3,96,209</t>
  </si>
  <si>
    <t>5,40,30,72,501.60</t>
  </si>
  <si>
    <t>1,26,249</t>
  </si>
  <si>
    <t>11,42,130</t>
  </si>
  <si>
    <t>47,16,23,300.60</t>
  </si>
  <si>
    <t>1,61,16,652</t>
  </si>
  <si>
    <t>20,49,29,13,753.00</t>
  </si>
  <si>
    <t>3,21,194</t>
  </si>
  <si>
    <t>2,43,05,990</t>
  </si>
  <si>
    <t>10,14,35,43,220.15</t>
  </si>
  <si>
    <t>1,89,470</t>
  </si>
  <si>
    <t>1,91,36,143</t>
  </si>
  <si>
    <t>24,95,83,13,823.40</t>
  </si>
  <si>
    <t>3,18,391</t>
  </si>
  <si>
    <t>1,49,35,678</t>
  </si>
  <si>
    <t>6,20,59,57,776.10</t>
  </si>
  <si>
    <t>1,14,037</t>
  </si>
  <si>
    <t>1,32,24,259</t>
  </si>
  <si>
    <t>17,15,77,29,375.10</t>
  </si>
  <si>
    <t>2,65,729</t>
  </si>
  <si>
    <t>1,16,03,679</t>
  </si>
  <si>
    <t>4,88,02,29,507.85</t>
  </si>
  <si>
    <t>1,15,318</t>
  </si>
  <si>
    <t>1,96,76,187</t>
  </si>
  <si>
    <t>1,71,63,147</t>
  </si>
  <si>
    <t>7,17,34,91,707.05</t>
  </si>
  <si>
    <t>24,99,95,30,425.90</t>
  </si>
  <si>
    <t>1,47,046</t>
  </si>
  <si>
    <t>3,35,143</t>
  </si>
  <si>
    <t>1,14,70,661</t>
  </si>
  <si>
    <t>4,81,15,76,571.15</t>
  </si>
  <si>
    <t>1,26,826</t>
  </si>
  <si>
    <t>1,73,44,394</t>
  </si>
  <si>
    <t>21,76,42,18,501.60</t>
  </si>
  <si>
    <t>2,48,517</t>
  </si>
  <si>
    <t>1,29,38,674</t>
  </si>
  <si>
    <t>5,42,50,28,130.20</t>
  </si>
  <si>
    <t>1,28,633</t>
  </si>
  <si>
    <t>2,27,40,688</t>
  </si>
  <si>
    <t>28,67,59,65,063.50</t>
  </si>
  <si>
    <t>2,64,944</t>
  </si>
  <si>
    <t>1,85,99,864</t>
  </si>
  <si>
    <t>7,85,74,95,955.95</t>
  </si>
  <si>
    <t>2,03,655</t>
  </si>
  <si>
    <t>2,23,03,102</t>
  </si>
  <si>
    <t>28,67,25,15,530.30</t>
  </si>
  <si>
    <t>2,42,007</t>
  </si>
  <si>
    <t>76,35,440</t>
  </si>
  <si>
    <t>3,17,40,92,208.20</t>
  </si>
  <si>
    <t>1,68,846</t>
  </si>
  <si>
    <t>1,29,61,135</t>
  </si>
  <si>
    <t>16,69,17,03,269.00</t>
  </si>
  <si>
    <t>2,24,259</t>
  </si>
  <si>
    <t>1,00,85,404</t>
  </si>
  <si>
    <t>4,13,66,35,461.40</t>
  </si>
  <si>
    <t>1,40,114</t>
  </si>
  <si>
    <t>1,44,22,899</t>
  </si>
  <si>
    <t>18,15,66,25,895.60</t>
  </si>
  <si>
    <t>2,85,591</t>
  </si>
  <si>
    <t>1,00,95,563</t>
  </si>
  <si>
    <t>4,12,15,88,309.65</t>
  </si>
  <si>
    <t>1,46,248</t>
  </si>
  <si>
    <t>1,64,21,006</t>
  </si>
  <si>
    <t>20,62,56,09,488.50</t>
  </si>
  <si>
    <t>3,20,542</t>
  </si>
  <si>
    <t>84,11,611</t>
  </si>
  <si>
    <t>3,40,78,15,043.20</t>
  </si>
  <si>
    <t>1,70,49,534</t>
  </si>
  <si>
    <t>20,89,17,71,051.10</t>
  </si>
  <si>
    <t>2,79,421</t>
  </si>
  <si>
    <t>66,50,003</t>
  </si>
  <si>
    <t>2,69,82,66,556.55</t>
  </si>
  <si>
    <t>1,28,591</t>
  </si>
  <si>
    <t>2,06,17,782</t>
  </si>
  <si>
    <t>25,61,72,06,863.50</t>
  </si>
  <si>
    <t>2,41,682</t>
  </si>
  <si>
    <t>1,20,05,318</t>
  </si>
  <si>
    <t>4,87,76,32,724.55</t>
  </si>
  <si>
    <t>1,72,90,030</t>
  </si>
  <si>
    <t>21,82,83,49,228.10</t>
  </si>
  <si>
    <t>2,45,636</t>
  </si>
  <si>
    <t>79,87,236</t>
  </si>
  <si>
    <t>3,24,93,80,333.55</t>
  </si>
  <si>
    <t>1,07,940</t>
  </si>
  <si>
    <t>2,36,30,905</t>
  </si>
  <si>
    <t>29,34,75,00,695.00</t>
  </si>
  <si>
    <t>2,80,968</t>
  </si>
  <si>
    <t>66,17,185</t>
  </si>
  <si>
    <t>2,39,52,775</t>
  </si>
  <si>
    <t>2,68,86,12,018.50</t>
  </si>
  <si>
    <t>29,01,57,83,813.00</t>
  </si>
  <si>
    <t>2,24,335</t>
  </si>
  <si>
    <t>6,40,20,258</t>
  </si>
  <si>
    <t>2,54,72,333</t>
  </si>
  <si>
    <t>31,06,54,55,922.50</t>
  </si>
  <si>
    <t>25,69,71,82,566.80</t>
  </si>
  <si>
    <t>2,56,306</t>
  </si>
  <si>
    <t>2,08,51,722</t>
  </si>
  <si>
    <t>78,55,399</t>
  </si>
  <si>
    <t>25,12,44,02,749.50</t>
  </si>
  <si>
    <t>3,20,01,40,693.40</t>
  </si>
  <si>
    <t>3,46,186</t>
  </si>
  <si>
    <t>1,14,679</t>
  </si>
  <si>
    <t>1,00,58,414</t>
  </si>
  <si>
    <t>12,25,20,23,145.80</t>
  </si>
  <si>
    <t>76,61,681</t>
  </si>
  <si>
    <t>1,31,870</t>
  </si>
  <si>
    <t>3,10,78,54,790.65</t>
  </si>
  <si>
    <t>2,56,00,557</t>
  </si>
  <si>
    <t>31,61,70,31,068.70</t>
  </si>
  <si>
    <t>2,12,038</t>
  </si>
  <si>
    <t>78,82,450</t>
  </si>
  <si>
    <t>3,18,19,92,048.10</t>
  </si>
  <si>
    <t>2,51,48,651</t>
  </si>
  <si>
    <t>66,93,410</t>
  </si>
  <si>
    <t>32,86,97,93,000.90</t>
  </si>
  <si>
    <t>2,71,45,19,990.35</t>
  </si>
  <si>
    <t>2,67,068</t>
  </si>
  <si>
    <t>1,08,333</t>
  </si>
  <si>
    <t>2,29,23,062</t>
  </si>
  <si>
    <t>29,50,27,99,668.90</t>
  </si>
  <si>
    <t>58,08,131</t>
  </si>
  <si>
    <t>2,95,814</t>
  </si>
  <si>
    <t>2,36,55,41,111.25</t>
  </si>
  <si>
    <t>1,81,74,755</t>
  </si>
  <si>
    <t>23,94,03,99,460.20</t>
  </si>
  <si>
    <t>2,65,455</t>
  </si>
  <si>
    <t>1,10,37,491</t>
  </si>
  <si>
    <t>4,46,34,45,092.75</t>
  </si>
  <si>
    <t>1,28,280</t>
  </si>
  <si>
    <t>3,05,72,141</t>
  </si>
  <si>
    <t>40,84,46,87,271.30</t>
  </si>
  <si>
    <t>3,91,182</t>
  </si>
  <si>
    <t>81,99,785</t>
  </si>
  <si>
    <t>3,29,87,22,901.65</t>
  </si>
  <si>
    <t>1,14,076</t>
  </si>
  <si>
    <t>2,38,27,473</t>
  </si>
  <si>
    <t>32,13,01,12,128.20</t>
  </si>
  <si>
    <t>3,67,877</t>
  </si>
  <si>
    <t>1,14,43,953</t>
  </si>
  <si>
    <t>4,60,72,86,432.40</t>
  </si>
  <si>
    <t>1,07,847</t>
  </si>
  <si>
    <t>2,40,17,236</t>
  </si>
  <si>
    <t>32,46,24,01,733.80</t>
  </si>
  <si>
    <t>3,69,800</t>
  </si>
  <si>
    <t>86,79,529</t>
  </si>
  <si>
    <t>3,49,97,92,465.40</t>
  </si>
  <si>
    <t>1,05,551</t>
  </si>
  <si>
    <t>1,81,51,993</t>
  </si>
  <si>
    <t>24,34,75,56,255.20</t>
  </si>
  <si>
    <t>2,12,763</t>
  </si>
  <si>
    <t>68,83,500</t>
  </si>
  <si>
    <t>2,77,86,54,678.40</t>
  </si>
  <si>
    <t>2,15,51,520</t>
  </si>
  <si>
    <t>1,04,754</t>
  </si>
  <si>
    <t>29,36,59,07,872.80</t>
  </si>
  <si>
    <t>3,20,334</t>
  </si>
  <si>
    <t>1,34,42,658</t>
  </si>
  <si>
    <t>5,41,04,24,427.90</t>
  </si>
  <si>
    <t>2,33,12,455</t>
  </si>
  <si>
    <t>2,04,438</t>
  </si>
  <si>
    <t>32,23,24,21,315.50</t>
  </si>
  <si>
    <t>2,49,510</t>
  </si>
  <si>
    <t>80,93,808</t>
  </si>
  <si>
    <t>3,25,11,35,210.45</t>
  </si>
  <si>
    <t>1,12,342</t>
  </si>
  <si>
    <t>1,36,13,487</t>
  </si>
  <si>
    <t>18,65,49,24,562.10</t>
  </si>
  <si>
    <t>2,10,901</t>
  </si>
  <si>
    <t>1,07,72,192</t>
  </si>
  <si>
    <t>4,31,23,88,380.25</t>
  </si>
  <si>
    <t>1,45,572</t>
  </si>
  <si>
    <t>2,01,11,792</t>
  </si>
  <si>
    <t>27,12,94,05,927.90</t>
  </si>
  <si>
    <t>1,80,688</t>
  </si>
  <si>
    <t>80,57,989</t>
  </si>
  <si>
    <t>3,24,00,08,562.15</t>
  </si>
  <si>
    <t>1,00,529</t>
  </si>
  <si>
    <t>1,40,56,743</t>
  </si>
  <si>
    <t>18,72,86,38,323.00</t>
  </si>
  <si>
    <t>1,92,491</t>
  </si>
  <si>
    <t>44,19,747</t>
  </si>
  <si>
    <t>1,78,60,97,800.35</t>
  </si>
  <si>
    <t>1,53,85,625</t>
  </si>
  <si>
    <t>20,29,68,18,470.50</t>
  </si>
  <si>
    <t>2,21,899</t>
  </si>
  <si>
    <t>60,56,866</t>
  </si>
  <si>
    <t>2,44,02,76,710.15</t>
  </si>
  <si>
    <t>1,01,139</t>
  </si>
  <si>
    <t>1,67,74,778</t>
  </si>
  <si>
    <t>21,81,28,94,339.10</t>
  </si>
  <si>
    <t>1,97,497</t>
  </si>
  <si>
    <t>94,26,717</t>
  </si>
  <si>
    <t>3,79,21,90,139.05</t>
  </si>
  <si>
    <t>1,19,643</t>
  </si>
  <si>
    <t>1,17,16,030</t>
  </si>
  <si>
    <t>15,08,40,08,549.00</t>
  </si>
  <si>
    <t>1,91,545</t>
  </si>
  <si>
    <t>69,69,146</t>
  </si>
  <si>
    <t>2,81,07,30,997.45</t>
  </si>
  <si>
    <t>1,06,280</t>
  </si>
  <si>
    <t>1,77,40,110</t>
  </si>
  <si>
    <t>22,43,54,14,841.10</t>
  </si>
  <si>
    <t>2,61,998</t>
  </si>
  <si>
    <t>69,80,147</t>
  </si>
  <si>
    <t>2,80,88,21,372.05</t>
  </si>
  <si>
    <t>1,45,97,051</t>
  </si>
  <si>
    <t>18,58,38,84,989.90</t>
  </si>
  <si>
    <t>1,78,442</t>
  </si>
  <si>
    <t>1,24,07,516</t>
  </si>
  <si>
    <t>4,96,97,85,471.85</t>
  </si>
  <si>
    <t>1,15,410</t>
  </si>
  <si>
    <t>2,44,47,935</t>
  </si>
  <si>
    <t>30,61,18,50,377.00</t>
  </si>
  <si>
    <t>2,57,742</t>
  </si>
  <si>
    <t>77,56,564</t>
  </si>
  <si>
    <t>3,11,65,64,595.55</t>
  </si>
  <si>
    <t>2,29,09,586</t>
  </si>
  <si>
    <t>29,06,93,05,516.60</t>
  </si>
  <si>
    <t>2,88,318</t>
  </si>
  <si>
    <t>1,23,47,384</t>
  </si>
  <si>
    <t>4,97,73,88,189.80</t>
  </si>
  <si>
    <t>1,20,140</t>
  </si>
  <si>
    <t>2,50,28,552</t>
  </si>
  <si>
    <t>32,10,37,38,356.80</t>
  </si>
  <si>
    <t>3,22,972</t>
  </si>
  <si>
    <t>80,87,490</t>
  </si>
  <si>
    <t>3,23,93,01,844.80</t>
  </si>
  <si>
    <t>1,17,330</t>
  </si>
  <si>
    <t>1,11,37,424</t>
  </si>
  <si>
    <t>14,09,99,55,630.00</t>
  </si>
  <si>
    <t>1,85,392</t>
  </si>
  <si>
    <t>72,27,668</t>
  </si>
  <si>
    <t>2,89,63,90,248.80</t>
  </si>
  <si>
    <t>1,06,780</t>
  </si>
  <si>
    <t>1,89,80,488</t>
  </si>
  <si>
    <t>24,06,61,15,479.60</t>
  </si>
  <si>
    <t>5,37,303</t>
  </si>
  <si>
    <t>1,06,54,835</t>
  </si>
  <si>
    <t>4,27,67,83,887.20</t>
  </si>
  <si>
    <t>1,38,048</t>
  </si>
  <si>
    <t>2,11,10,708</t>
  </si>
  <si>
    <t>26,26,90,40,947.30</t>
  </si>
  <si>
    <t>3,80,833</t>
  </si>
  <si>
    <t>68,47,871</t>
  </si>
  <si>
    <t>2,75,82,63,703.80</t>
  </si>
  <si>
    <t>1,94,90,295</t>
  </si>
  <si>
    <t>24,14,55,79,380.30</t>
  </si>
  <si>
    <t>2,86,906</t>
  </si>
  <si>
    <t>1,00,81,997</t>
  </si>
  <si>
    <t>4,08,98,15,715.85</t>
  </si>
  <si>
    <t>1,58,483</t>
  </si>
  <si>
    <t>1,65,35,600</t>
  </si>
  <si>
    <t>20,64,04,95,752.30</t>
  </si>
  <si>
    <t>3,56,567</t>
  </si>
  <si>
    <t>57,77,430</t>
  </si>
  <si>
    <t>2,35,24,33,725.00</t>
  </si>
  <si>
    <t>1,17,45,614</t>
  </si>
  <si>
    <t>14,65,82,50,228.70</t>
  </si>
  <si>
    <t>2,21,105</t>
  </si>
  <si>
    <t>31,52,453</t>
  </si>
  <si>
    <t>1,27,55,62,322.60</t>
  </si>
  <si>
    <t>1,39,18,850</t>
  </si>
  <si>
    <t>17,31,10,46,029.30</t>
  </si>
  <si>
    <t>2,42,335</t>
  </si>
  <si>
    <t>66,47,710</t>
  </si>
  <si>
    <t>2,67,60,07,103.70</t>
  </si>
  <si>
    <t>3,89,29,053</t>
  </si>
  <si>
    <t>48,13,82,72,774.70</t>
  </si>
  <si>
    <t>2,83,791</t>
  </si>
  <si>
    <t>1,23,40,527</t>
  </si>
  <si>
    <t>4,95,12,65,566.85</t>
  </si>
  <si>
    <t>1,34,214</t>
  </si>
  <si>
    <t>1,49,53,103</t>
  </si>
  <si>
    <t>18,43,03,75,623.00</t>
  </si>
  <si>
    <t>1,96,646</t>
  </si>
  <si>
    <t>99,45,109</t>
  </si>
  <si>
    <t>4,00,59,57,774.45</t>
  </si>
  <si>
    <t>1,43,94,386</t>
  </si>
  <si>
    <t>17,88,49,96,507.30</t>
  </si>
  <si>
    <t>1,79,763</t>
  </si>
  <si>
    <t>28,26,26,710</t>
  </si>
  <si>
    <t>1,05,90,29,87,176.30</t>
  </si>
  <si>
    <t>14,97,861</t>
  </si>
  <si>
    <t>1,16,01,085</t>
  </si>
  <si>
    <t>14,66,78,24,476.70</t>
  </si>
  <si>
    <t>1,63,057</t>
  </si>
  <si>
    <t>11,87,90,358</t>
  </si>
  <si>
    <t>41,53,01,03,424.05</t>
  </si>
  <si>
    <t>9,11,774</t>
  </si>
  <si>
    <t>1,38,53,923</t>
  </si>
  <si>
    <t>17,76,70,46,157.90</t>
  </si>
  <si>
    <t>2,30,176</t>
  </si>
  <si>
    <t>4,83,58,124</t>
  </si>
  <si>
    <t>16,95,47,86,530.50</t>
  </si>
  <si>
    <t>4,49,885</t>
  </si>
  <si>
    <t>1,84,00,405</t>
  </si>
  <si>
    <t>23,69,17,57,179.00</t>
  </si>
  <si>
    <t>2,33,183</t>
  </si>
  <si>
    <t>7,25,82,738</t>
  </si>
  <si>
    <t>24,86,24,18,456.65</t>
  </si>
  <si>
    <t>6,18,090</t>
  </si>
  <si>
    <t>1,83,66,272</t>
  </si>
  <si>
    <t>23,47,13,39,315.50</t>
  </si>
  <si>
    <t>1,99,046</t>
  </si>
  <si>
    <t>2,94,40,734</t>
  </si>
  <si>
    <t>10,06,11,69,190.15</t>
  </si>
  <si>
    <t>3,85,259</t>
  </si>
  <si>
    <t>3,10,07,884</t>
  </si>
  <si>
    <t>39,17,94,79,642.80</t>
  </si>
  <si>
    <t>3,67,06,319</t>
  </si>
  <si>
    <t>3,92,957</t>
  </si>
  <si>
    <t>12,52,17,21,172.05</t>
  </si>
  <si>
    <t>3,17,166</t>
  </si>
  <si>
    <t>3,51,93,201</t>
  </si>
  <si>
    <t>99,11,975</t>
  </si>
  <si>
    <t>11,89,84,98,989.60</t>
  </si>
  <si>
    <t>12,34,39,58,316.50</t>
  </si>
  <si>
    <t>4,30,291</t>
  </si>
  <si>
    <t>1,79,104</t>
  </si>
  <si>
    <t>1,61,56,143</t>
  </si>
  <si>
    <t>1,79,20,892</t>
  </si>
  <si>
    <t>5,45,72,35,038.85</t>
  </si>
  <si>
    <t>22,02,48,48,172.50</t>
  </si>
  <si>
    <t>2,13,285</t>
  </si>
  <si>
    <t>2,51,540</t>
  </si>
  <si>
    <t>2,49,22,339</t>
  </si>
  <si>
    <t>1,39,34,754</t>
  </si>
  <si>
    <t>8,35,75,06,586.55</t>
  </si>
  <si>
    <t>17,16,05,89,675.90</t>
  </si>
  <si>
    <t>2,37,948</t>
  </si>
  <si>
    <t>3,73,364</t>
  </si>
  <si>
    <t>1,49,13,422</t>
  </si>
  <si>
    <t>1,94,61,560</t>
  </si>
  <si>
    <t>4,99,45,08,399.30</t>
  </si>
  <si>
    <t>24,36,41,21,089.30</t>
  </si>
  <si>
    <t>2,72,388</t>
  </si>
  <si>
    <t>VALUE WEIGHTED PORTFOLIO</t>
  </si>
  <si>
    <t>3,05,26,898</t>
  </si>
  <si>
    <t>1,01,66,393</t>
  </si>
  <si>
    <t>10,10,61,42,548.80</t>
  </si>
  <si>
    <t>12,79,87,54,410.30</t>
  </si>
  <si>
    <t>3,44,862</t>
  </si>
  <si>
    <t>2,32,444</t>
  </si>
  <si>
    <t>1,55,07,440</t>
  </si>
  <si>
    <t>5,14,68,96,960.75</t>
  </si>
  <si>
    <t>1,82,190</t>
  </si>
  <si>
    <t>1,07,14,196</t>
  </si>
  <si>
    <t>13,39,24,35,061.70</t>
  </si>
  <si>
    <t>1,65,598</t>
  </si>
  <si>
    <t>Market Cap (₹ Cr)</t>
  </si>
  <si>
    <t>Weight</t>
  </si>
  <si>
    <t>1,87,71,011</t>
  </si>
  <si>
    <t>6,18,66,67,084.45</t>
  </si>
  <si>
    <t>2,24,010</t>
  </si>
  <si>
    <t>2,23,68,579</t>
  </si>
  <si>
    <t>28,44,14,91,850.70</t>
  </si>
  <si>
    <t>2,95,130</t>
  </si>
  <si>
    <t>1,41,77,965</t>
  </si>
  <si>
    <t>4,62,23,34,427.75</t>
  </si>
  <si>
    <t>2,12,066</t>
  </si>
  <si>
    <t>2,59,51,584</t>
  </si>
  <si>
    <t>33,60,27,25,418.60</t>
  </si>
  <si>
    <t>3,17,951</t>
  </si>
  <si>
    <t>1,86,22,852</t>
  </si>
  <si>
    <t>6,05,46,14,413.45</t>
  </si>
  <si>
    <t>2,14,762</t>
  </si>
  <si>
    <t>3,59,19,374</t>
  </si>
  <si>
    <t>47,29,44,30,919.80</t>
  </si>
  <si>
    <t>4,62,944</t>
  </si>
  <si>
    <t>1,19,50,089</t>
  </si>
  <si>
    <t>3,87,76,10,831.50</t>
  </si>
  <si>
    <t>1,47,883</t>
  </si>
  <si>
    <t>1,83,39,846</t>
  </si>
  <si>
    <t>24,44,70,33,214.60</t>
  </si>
  <si>
    <t>2,37,916</t>
  </si>
  <si>
    <t>4,78,47,784</t>
  </si>
  <si>
    <t>15,31,38,89,340.85</t>
  </si>
  <si>
    <t>2,91,334</t>
  </si>
  <si>
    <t>Total</t>
  </si>
  <si>
    <t>1,61,72,921</t>
  </si>
  <si>
    <t>21,66,76,94,953.80</t>
  </si>
  <si>
    <t>2,31,944</t>
  </si>
  <si>
    <t>2,84,00,238</t>
  </si>
  <si>
    <t>Price-Weighted Portfolio</t>
  </si>
  <si>
    <t>9,11,92,02,270.50</t>
  </si>
  <si>
    <t>1,75,716</t>
  </si>
  <si>
    <t>1,30,69,159</t>
  </si>
  <si>
    <t>17,40,19,91,209.80</t>
  </si>
  <si>
    <t>Latest Close Price</t>
  </si>
  <si>
    <t>Price Weight</t>
  </si>
  <si>
    <t>1,77,19,420</t>
  </si>
  <si>
    <t>5,65,20,76,130.50</t>
  </si>
  <si>
    <t>1,67,761</t>
  </si>
  <si>
    <t>2,09,525</t>
  </si>
  <si>
    <t>4,19,75,824</t>
  </si>
  <si>
    <t>13,50,87,58,883.65</t>
  </si>
  <si>
    <t>2,55,515</t>
  </si>
  <si>
    <t>80,26,424</t>
  </si>
  <si>
    <t>10,74,45,44,350.00</t>
  </si>
  <si>
    <t>1,54,630</t>
  </si>
  <si>
    <t>3,32,78,995</t>
  </si>
  <si>
    <t>10,47,01,59,897.55</t>
  </si>
  <si>
    <t>3,52,370</t>
  </si>
  <si>
    <t>1,34,67,985</t>
  </si>
  <si>
    <t>18,05,80,46,131.10</t>
  </si>
  <si>
    <t>1,66,446</t>
  </si>
  <si>
    <t>3,52,27,572</t>
  </si>
  <si>
    <t>10,87,03,08,122.70</t>
  </si>
  <si>
    <t>3,65,578</t>
  </si>
  <si>
    <t>90,57,322</t>
  </si>
  <si>
    <t>12,19,43,67,731.90</t>
  </si>
  <si>
    <t>1,41,850</t>
  </si>
  <si>
    <t>3,31,68,353</t>
  </si>
  <si>
    <t>10,47,70,03,433.80</t>
  </si>
  <si>
    <t>2,52,922</t>
  </si>
  <si>
    <t>1,11,96,759</t>
  </si>
  <si>
    <t>3,51,20,93,652.60</t>
  </si>
  <si>
    <t>1,71,556</t>
  </si>
  <si>
    <t>Minimum Variance Portfolio</t>
  </si>
  <si>
    <t>48,14,845</t>
  </si>
  <si>
    <t>1,58,16,704</t>
  </si>
  <si>
    <t>6,52,71,49,141.90</t>
  </si>
  <si>
    <t>4,91,83,77,985.90</t>
  </si>
  <si>
    <t>1,11,040</t>
  </si>
  <si>
    <t>Value Weight</t>
  </si>
  <si>
    <t>2,63,742</t>
  </si>
  <si>
    <t>Minimum Variance Weight</t>
  </si>
  <si>
    <t>1,18,84,879</t>
  </si>
  <si>
    <t>6,80,57,745</t>
  </si>
  <si>
    <t>16,07,91,39,867.90</t>
  </si>
  <si>
    <t>21,95,98,53,321.30</t>
  </si>
  <si>
    <t>1,66,170</t>
  </si>
  <si>
    <t>3,58,377</t>
  </si>
  <si>
    <t>1,64,40,708</t>
  </si>
  <si>
    <t>22,52,33,78,860.90</t>
  </si>
  <si>
    <t>2,84,060</t>
  </si>
  <si>
    <t>2,00,59,198</t>
  </si>
  <si>
    <t>6,49,23,54,416.30</t>
  </si>
  <si>
    <t>1,69,853</t>
  </si>
  <si>
    <t>1,71,73,209</t>
  </si>
  <si>
    <t>23,88,17,28,053.40</t>
  </si>
  <si>
    <t>3,23,911</t>
  </si>
  <si>
    <t>Portfolio Weights Analysis</t>
  </si>
  <si>
    <t>1,32,49,405</t>
  </si>
  <si>
    <t>18,40,75,50,527.80</t>
  </si>
  <si>
    <t>2,38,572</t>
  </si>
  <si>
    <t>Value-Weighted Portfolio: The portfolio weights are based on the market capitalization of each company. Reliance received the highest weight (31.02%) due to its largest market capitalization, while ITC received the lowest weight (6.37%). This approach gives greater importance to larger companies.</t>
  </si>
  <si>
    <t>1,14,89,090</t>
  </si>
  <si>
    <t>3,69,67,75,555.25</t>
  </si>
  <si>
    <t>1,46,227</t>
  </si>
  <si>
    <t>Price-Weighted Portfolio: The weights are determined by the latest stock prices. TCS received the highest weight (33.10%) because it had the highest share price, whereas ITC received the lowest weight (3.84%). In this method, stocks with higher prices have a greater influence on the portfolio.</t>
  </si>
  <si>
    <t>Minimum Variance Portfolio: The weights were calculated using the covariance matrix to minimize the overall portfolio risk. The portfolio allocated the highest weights to ICICIBANK (33.32%) and ITC (29.60%), while HDFCBANK received the lowest weight (1.39%). This allocation aims to achieve the lowest possible portfolio variance through diversification.</t>
  </si>
  <si>
    <t>1,83,98,057</t>
  </si>
  <si>
    <t>25,35,02,31,179.70</t>
  </si>
  <si>
    <t>2,38,982</t>
  </si>
  <si>
    <t>2,48,43,366</t>
  </si>
  <si>
    <t>Overall Conclusion</t>
  </si>
  <si>
    <t>7,88,65,24,787.95</t>
  </si>
  <si>
    <t>1,68,577</t>
  </si>
  <si>
    <t>The three portfolio weighting methods produce different allocations because they follow different investment objectives. The Value-Weighted Portfolio emphasizes company size, the Price-Weighted Portfolio emphasizes stock price, and the Minimum Variance Portfolio emphasizes risk reduction. Among the three, the Minimum Variance Portfolio is designed to provide the most efficient diversification by minimizing the portfolio's overall risk.</t>
  </si>
  <si>
    <t>1,19,48,034</t>
  </si>
  <si>
    <t>16,45,44,77,473.20</t>
  </si>
  <si>
    <t>1,98,943</t>
  </si>
  <si>
    <t>1,32,94,561</t>
  </si>
  <si>
    <t>4,23,14,13,265.15</t>
  </si>
  <si>
    <t>1,55,726</t>
  </si>
  <si>
    <t>1,57,79,429</t>
  </si>
  <si>
    <t>22,01,78,71,341.30</t>
  </si>
  <si>
    <t>2,02,269</t>
  </si>
  <si>
    <t>87,30,618</t>
  </si>
  <si>
    <t>2,75,33,41,305.65</t>
  </si>
  <si>
    <t>1,31,785</t>
  </si>
  <si>
    <t>1,29,01,785</t>
  </si>
  <si>
    <t>18,22,12,50,388.90</t>
  </si>
  <si>
    <t>2,42,670</t>
  </si>
  <si>
    <t>1,16,93,763</t>
  </si>
  <si>
    <t>3,70,23,90,906.10</t>
  </si>
  <si>
    <t>1,23,06,949</t>
  </si>
  <si>
    <t>17,54,85,56,220.70</t>
  </si>
  <si>
    <t>2,15,378</t>
  </si>
  <si>
    <t>3,93,60,672</t>
  </si>
  <si>
    <t>12,78,97,37,872.30</t>
  </si>
  <si>
    <t>2,46,283</t>
  </si>
  <si>
    <t>1,56,64,178</t>
  </si>
  <si>
    <t>22,26,50,14,594.50</t>
  </si>
  <si>
    <t>2,70,831</t>
  </si>
  <si>
    <t>3,54,73,203</t>
  </si>
  <si>
    <t>11,71,90,43,134.90</t>
  </si>
  <si>
    <t>2,28,303</t>
  </si>
  <si>
    <t>1,05,73,142</t>
  </si>
  <si>
    <t>14,76,90,92,852.50</t>
  </si>
  <si>
    <t>2,79,456</t>
  </si>
  <si>
    <t>1,99,11,747</t>
  </si>
  <si>
    <t>6,55,10,69,293.75</t>
  </si>
  <si>
    <t>1,69,746</t>
  </si>
  <si>
    <t>1,39,48,838</t>
  </si>
  <si>
    <t>19,34,68,61,582.20</t>
  </si>
  <si>
    <t>3,13,842</t>
  </si>
  <si>
    <t>1,12,82,027</t>
  </si>
  <si>
    <t>3,68,68,34,270.95</t>
  </si>
  <si>
    <t>64,09,645</t>
  </si>
  <si>
    <t>8,98,70,46,054.60</t>
  </si>
  <si>
    <t>1,32,249</t>
  </si>
  <si>
    <t>1,34,86,092</t>
  </si>
  <si>
    <t>4,39,07,80,982.05</t>
  </si>
  <si>
    <t>1,18,812</t>
  </si>
  <si>
    <t>1,31,35,859</t>
  </si>
  <si>
    <t>1,00,91,437</t>
  </si>
  <si>
    <t>4,24,90,87,939.95</t>
  </si>
  <si>
    <t>14,16,19,08,061.50</t>
  </si>
  <si>
    <t>1,70,638</t>
  </si>
  <si>
    <t>2,05,509</t>
  </si>
  <si>
    <t>1,34,92,101</t>
  </si>
  <si>
    <t>4,33,16,78,210.95</t>
  </si>
  <si>
    <t>1,43,953</t>
  </si>
  <si>
    <t>1,41,33,017</t>
  </si>
  <si>
    <t>19,84,74,83,412.50</t>
  </si>
  <si>
    <t>1,72,884</t>
  </si>
  <si>
    <t>1,12,70,119</t>
  </si>
  <si>
    <t>3,59,49,34,700.80</t>
  </si>
  <si>
    <t>1,66,420</t>
  </si>
  <si>
    <t>1,29,61,648</t>
  </si>
  <si>
    <t>18,38,00,61,223.50</t>
  </si>
  <si>
    <t>2,03,709</t>
  </si>
  <si>
    <t>1,38,92,595</t>
  </si>
  <si>
    <t>4,37,24,95,896.70</t>
  </si>
  <si>
    <t>1,88,463</t>
  </si>
  <si>
    <t>1,01,65,264</t>
  </si>
  <si>
    <t>14,37,22,70,891.70</t>
  </si>
  <si>
    <t>2,21,94,311</t>
  </si>
  <si>
    <t>1,33,649</t>
  </si>
  <si>
    <t>6,94,83,00,891.05</t>
  </si>
  <si>
    <t>2,50,280</t>
  </si>
  <si>
    <t>2,41,65,489</t>
  </si>
  <si>
    <t>7,55,00,27,631.80</t>
  </si>
  <si>
    <t>1,11,12,550</t>
  </si>
  <si>
    <t>2,81,005</t>
  </si>
  <si>
    <t>15,98,32,33,304.00</t>
  </si>
  <si>
    <t>1,99,474</t>
  </si>
  <si>
    <t>1,99,38,009</t>
  </si>
  <si>
    <t>2,22,36,415</t>
  </si>
  <si>
    <t>6,19,48,01,511.75</t>
  </si>
  <si>
    <t>32,40,94,55,230.50</t>
  </si>
  <si>
    <t>2,06,179</t>
  </si>
  <si>
    <t>2,93,168</t>
  </si>
  <si>
    <t>2,12,88,269</t>
  </si>
  <si>
    <t>6,60,78,51,781.95</t>
  </si>
  <si>
    <t>2,12,819</t>
  </si>
  <si>
    <t>1,82,69,907</t>
  </si>
  <si>
    <t>26,74,54,65,548.10</t>
  </si>
  <si>
    <t>1,86,971</t>
  </si>
  <si>
    <t>1,40,84,931</t>
  </si>
  <si>
    <t>4,29,82,50,338.75</t>
  </si>
  <si>
    <t>1,90,235</t>
  </si>
  <si>
    <t>83,45,136</t>
  </si>
  <si>
    <t>12,05,74,81,788.80</t>
  </si>
  <si>
    <t>2,12,805</t>
  </si>
  <si>
    <t>1,83,52,950</t>
  </si>
  <si>
    <t>5,62,91,05,639.75</t>
  </si>
  <si>
    <t>1,56,365</t>
  </si>
  <si>
    <t>1,24,09,328</t>
  </si>
  <si>
    <t>17,81,02,97,603.80</t>
  </si>
  <si>
    <t>1,66,912</t>
  </si>
  <si>
    <t>1,48,42,485</t>
  </si>
  <si>
    <t>4,58,65,23,806.05</t>
  </si>
  <si>
    <t>1,94,139</t>
  </si>
  <si>
    <t>1,08,70,914</t>
  </si>
  <si>
    <t>15,52,52,53,507.70</t>
  </si>
  <si>
    <t>2,15,086</t>
  </si>
  <si>
    <t>2,33,19,679</t>
  </si>
  <si>
    <t>7,13,33,63,402.95</t>
  </si>
  <si>
    <t>2,09,187</t>
  </si>
  <si>
    <t>1,06,08,300</t>
  </si>
  <si>
    <t>15,27,05,61,725.50</t>
  </si>
  <si>
    <t>1,95,530</t>
  </si>
  <si>
    <t>2,56,59,996</t>
  </si>
  <si>
    <t>7,76,97,61,466.10</t>
  </si>
  <si>
    <t>2,45,554</t>
  </si>
  <si>
    <t>1,94,86,209</t>
  </si>
  <si>
    <t>27,89,07,07,962.20</t>
  </si>
  <si>
    <t>2,45,191</t>
  </si>
  <si>
    <t>3,74,72,204</t>
  </si>
  <si>
    <t>11,44,70,19,039.80</t>
  </si>
  <si>
    <t>2,22,548</t>
  </si>
  <si>
    <t>1,08,56,166</t>
  </si>
  <si>
    <t>15,61,46,04,535.70</t>
  </si>
  <si>
    <t>1,55,779</t>
  </si>
  <si>
    <t>2,56,49,286</t>
  </si>
  <si>
    <t>7,85,03,94,221.15</t>
  </si>
  <si>
    <t>2,00,983</t>
  </si>
  <si>
    <t>1,41,41,173</t>
  </si>
  <si>
    <t>20,23,29,71,620.00</t>
  </si>
  <si>
    <t>1,80,054</t>
  </si>
  <si>
    <t>1,67,02,554</t>
  </si>
  <si>
    <t>5,09,42,80,816.95</t>
  </si>
  <si>
    <t>1,38,882</t>
  </si>
  <si>
    <t>87,52,440</t>
  </si>
  <si>
    <t>12,55,93,02,182.90</t>
  </si>
  <si>
    <t>1,00,099</t>
  </si>
  <si>
    <t>1,78,51,126</t>
  </si>
  <si>
    <t>5,35,12,44,310.05</t>
  </si>
  <si>
    <t>2,46,450</t>
  </si>
  <si>
    <t>77,06,747</t>
  </si>
  <si>
    <t>11,14,29,59,295.90</t>
  </si>
  <si>
    <t>1,85,170</t>
  </si>
  <si>
    <t>5,86,79,529</t>
  </si>
  <si>
    <t>17,79,74,84,427.15</t>
  </si>
  <si>
    <t>3,41,612</t>
  </si>
  <si>
    <t>3,17,88,160</t>
  </si>
  <si>
    <t>9,28,18,62,168.35</t>
  </si>
  <si>
    <t>3,79,322</t>
  </si>
  <si>
    <t>3,33,35,721</t>
  </si>
  <si>
    <t>9,69,28,40,542.60</t>
  </si>
  <si>
    <t>2,21,679</t>
  </si>
  <si>
    <t>2,61,84,716</t>
  </si>
  <si>
    <t>7,76,17,78,320.60</t>
  </si>
  <si>
    <t>1,81,458</t>
  </si>
  <si>
    <t>2,21,79,022</t>
  </si>
  <si>
    <t>6,52,71,61,794.45</t>
  </si>
  <si>
    <t>1,81,894</t>
  </si>
  <si>
    <t>2,45,86,921</t>
  </si>
  <si>
    <t>7,13,34,59,794.75</t>
  </si>
  <si>
    <t>2,12,496</t>
  </si>
  <si>
    <t>1,86,04,340</t>
  </si>
  <si>
    <t>5,44,11,67,899.30</t>
  </si>
  <si>
    <t>1,40,075</t>
  </si>
  <si>
    <t>1,80,82,775</t>
  </si>
  <si>
    <t>5,26,44,58,303.15</t>
  </si>
  <si>
    <t>1,97,613</t>
  </si>
  <si>
    <t>1,80,47,063</t>
  </si>
  <si>
    <t>5,28,51,63,130.80</t>
  </si>
  <si>
    <t>2,15,231</t>
  </si>
  <si>
    <t>2,69,63,485</t>
  </si>
  <si>
    <t>8,01,06,71,591.60</t>
  </si>
  <si>
    <t>2,10,320</t>
  </si>
  <si>
    <t>2,23,10,207</t>
  </si>
  <si>
    <t>6,76,12,68,279.10</t>
  </si>
  <si>
    <t>1,80,186</t>
  </si>
  <si>
    <t>1,76,91,477</t>
  </si>
  <si>
    <t>5,36,30,59,735.75</t>
  </si>
  <si>
    <t>1,76,075</t>
  </si>
  <si>
    <t>1,77,44,386</t>
  </si>
  <si>
    <t>5,39,55,29,037.90</t>
  </si>
  <si>
    <t>1,24,063</t>
  </si>
  <si>
    <t>1,65,22,014</t>
  </si>
  <si>
    <t>4,94,73,77,826.70</t>
  </si>
  <si>
    <t>1,80,968</t>
  </si>
  <si>
    <t>1,87,01,403</t>
  </si>
  <si>
    <t>5,65,56,82,695.80</t>
  </si>
  <si>
    <t>1,92,295</t>
  </si>
  <si>
    <t>1,65,12,053</t>
  </si>
  <si>
    <t>5,00,68,84,013.45</t>
  </si>
  <si>
    <t>1,69,617</t>
  </si>
  <si>
    <t>3,51,11,203</t>
  </si>
  <si>
    <t>10,79,73,29,192.40</t>
  </si>
  <si>
    <t>2,49,619</t>
  </si>
  <si>
    <t>1,35,40,471</t>
  </si>
  <si>
    <t>4,14,45,92,967.80</t>
  </si>
  <si>
    <t>1,22,052</t>
  </si>
  <si>
    <t>2,44,11,865</t>
  </si>
  <si>
    <t>7,49,34,98,723.50</t>
  </si>
  <si>
    <t>1,82,624</t>
  </si>
  <si>
    <t>2,45,00,511</t>
  </si>
  <si>
    <t>7,50,68,09,236.00</t>
  </si>
  <si>
    <t>1,65,832</t>
  </si>
  <si>
    <t>1,07,01,849</t>
  </si>
  <si>
    <t>3,26,41,04,449.55</t>
  </si>
  <si>
    <t>1,70,11,704</t>
  </si>
  <si>
    <t>5,15,49,66,360.80</t>
  </si>
  <si>
    <t>1,65,949</t>
  </si>
  <si>
    <t>1,43,82,348</t>
  </si>
  <si>
    <t>4,37,39,75,412.50</t>
  </si>
  <si>
    <t>1,18,826</t>
  </si>
  <si>
    <t>1,29,07,339</t>
  </si>
  <si>
    <t>3,93,24,14,488.90</t>
  </si>
  <si>
    <t>1,06,023</t>
  </si>
  <si>
    <t>3,11,99,038</t>
  </si>
  <si>
    <t>9,79,43,00,607.15</t>
  </si>
  <si>
    <t>2,09,945</t>
  </si>
  <si>
    <t>1,15,41,956</t>
  </si>
  <si>
    <t>3,63,98,10,221.80</t>
  </si>
  <si>
    <t>1,47,148</t>
  </si>
  <si>
    <t>2,02,45,091</t>
  </si>
  <si>
    <t>6,34,95,09,910.65</t>
  </si>
  <si>
    <t>1,75,168</t>
  </si>
  <si>
    <t>2,67,95,704</t>
  </si>
  <si>
    <t>8,34,65,71,651.90</t>
  </si>
  <si>
    <t>1,74,972</t>
  </si>
  <si>
    <t>2,02,87,609</t>
  </si>
  <si>
    <t>6,30,41,84,013.15</t>
  </si>
  <si>
    <t>2,52,328</t>
  </si>
  <si>
    <t>2,57,18,615</t>
  </si>
  <si>
    <t>7,93,47,45,387.15</t>
  </si>
  <si>
    <t>1,80,779</t>
  </si>
  <si>
    <t>1,77,39,844</t>
  </si>
  <si>
    <t>5,45,06,89,616.20</t>
  </si>
  <si>
    <t>1,56,205</t>
  </si>
  <si>
    <t>1,49,68,661</t>
  </si>
  <si>
    <t>4,59,09,23,998.95</t>
  </si>
  <si>
    <t>1,58,117</t>
  </si>
  <si>
    <t>1,59,68,338</t>
  </si>
  <si>
    <t>4,83,76,32,219.60</t>
  </si>
  <si>
    <t>1,77,484</t>
  </si>
  <si>
    <t>1,30,24,778</t>
  </si>
  <si>
    <t>3,96,34,53,936.50</t>
  </si>
  <si>
    <t>1,88,106</t>
  </si>
  <si>
    <t>1,11,13,377</t>
  </si>
  <si>
    <t>3,41,81,76,560.95</t>
  </si>
  <si>
    <t>3,14,593</t>
  </si>
  <si>
    <t>1,19,54,564</t>
  </si>
  <si>
    <t>3,69,97,69,024.15</t>
  </si>
  <si>
    <t>1,85,043</t>
  </si>
  <si>
    <t>1,44,22,870</t>
  </si>
  <si>
    <t>4,46,13,40,381.80</t>
  </si>
  <si>
    <t>2,97,156</t>
  </si>
  <si>
    <t>1,75,19,355</t>
  </si>
  <si>
    <t>5,46,11,42,698.95</t>
  </si>
  <si>
    <t>2,53,592</t>
  </si>
  <si>
    <t>1,21,27,920</t>
  </si>
  <si>
    <t>3,72,90,82,939.15</t>
  </si>
  <si>
    <t>1,92,330</t>
  </si>
  <si>
    <t>2,18,68,988</t>
  </si>
  <si>
    <t>6,73,43,48,842.60</t>
  </si>
  <si>
    <t>2,30,048</t>
  </si>
  <si>
    <t>3,07,51,752</t>
  </si>
  <si>
    <t>9,33,79,67,818.05</t>
  </si>
  <si>
    <t>3,39,220</t>
  </si>
  <si>
    <t>1,57,34,247</t>
  </si>
  <si>
    <t>4,77,97,49,001.55</t>
  </si>
  <si>
    <t>1,27,469</t>
  </si>
  <si>
    <t>3,75,60,542</t>
  </si>
  <si>
    <t>11,33,92,94,994.00</t>
  </si>
  <si>
    <t>2,55,684</t>
  </si>
  <si>
    <t>2,54,46,093</t>
  </si>
  <si>
    <t>7,45,34,13,035.75</t>
  </si>
  <si>
    <t>3,82,102</t>
  </si>
  <si>
    <t>3,19,30,439</t>
  </si>
  <si>
    <t>9,20,76,35,381.25</t>
  </si>
  <si>
    <t>4,30,026</t>
  </si>
  <si>
    <t>2,34,77,875</t>
  </si>
  <si>
    <t>6,63,89,24,445.00</t>
  </si>
  <si>
    <t>4,38,086</t>
  </si>
  <si>
    <t>2,02,06,131</t>
  </si>
  <si>
    <t>5,67,05,67,934.70</t>
  </si>
  <si>
    <t>3,51,434</t>
  </si>
  <si>
    <t>2,80,01,438</t>
  </si>
  <si>
    <t>7,75,76,11,536.35</t>
  </si>
  <si>
    <t>4,28,631</t>
  </si>
  <si>
    <t>2,20,17,634</t>
  </si>
  <si>
    <t>6,14,80,78,901.55</t>
  </si>
  <si>
    <t>3,20,720</t>
  </si>
  <si>
    <t>1,60,65,822</t>
  </si>
  <si>
    <t>4,49,76,26,941.70</t>
  </si>
  <si>
    <t>2,34,148</t>
  </si>
  <si>
    <t>1,57,79,677</t>
  </si>
  <si>
    <t>4,42,97,82,816.90</t>
  </si>
  <si>
    <t>2,36,195</t>
  </si>
  <si>
    <t>1,23,02,522</t>
  </si>
  <si>
    <t>3,43,79,65,851.45</t>
  </si>
  <si>
    <t>2,53,064</t>
  </si>
  <si>
    <t>1,98,23,743</t>
  </si>
  <si>
    <t>5,62,38,89,755.20</t>
  </si>
  <si>
    <t>2,96,092</t>
  </si>
  <si>
    <t>1,26,03,100</t>
  </si>
  <si>
    <t>3,55,78,22,045.95</t>
  </si>
  <si>
    <t>2,68,703</t>
  </si>
  <si>
    <t>1,28,93,433</t>
  </si>
  <si>
    <t>3,66,58,10,862.20</t>
  </si>
  <si>
    <t>3,71,547</t>
  </si>
  <si>
    <t>1,11,94,950</t>
  </si>
  <si>
    <t>3,22,20,30,354.40</t>
  </si>
  <si>
    <t>3,00,143</t>
  </si>
  <si>
    <t>1,44,67,499</t>
  </si>
  <si>
    <t>4,20,59,46,480.90</t>
  </si>
  <si>
    <t>3,42,311</t>
  </si>
  <si>
    <t>86,26,353</t>
  </si>
  <si>
    <t>2,50,91,57,701.45</t>
  </si>
  <si>
    <t>2,42,846</t>
  </si>
  <si>
    <t>1,04,09,670</t>
  </si>
  <si>
    <t>3,02,13,35,692.20</t>
  </si>
  <si>
    <t>2,36,338</t>
  </si>
  <si>
    <t>1,38,74,008</t>
  </si>
  <si>
    <t>4,03,66,48,451.40</t>
  </si>
  <si>
    <t>2,54,060</t>
  </si>
  <si>
    <t>99,47,873</t>
  </si>
  <si>
    <t>2,89,88,14,725.95</t>
  </si>
  <si>
    <t>2,65,137</t>
  </si>
  <si>
    <t>94,10,364</t>
  </si>
  <si>
    <t>2,73,73,68,402.10</t>
  </si>
  <si>
    <t>2,27,663</t>
  </si>
  <si>
    <t>62,18,635</t>
  </si>
  <si>
    <t>1,80,62,05,507.85</t>
  </si>
  <si>
    <t>2,27,851</t>
  </si>
  <si>
    <t>1,12,30,239</t>
  </si>
  <si>
    <t>3,26,42,29,395.30</t>
  </si>
  <si>
    <t>2,88,842</t>
  </si>
  <si>
    <t>1,01,10,022</t>
  </si>
  <si>
    <t>2,93,89,64,571.35</t>
  </si>
  <si>
    <t>3,49,908</t>
  </si>
  <si>
    <t>1,81,80,676</t>
  </si>
  <si>
    <t>5,22,79,38,463.70</t>
  </si>
  <si>
    <t>4,33,044</t>
  </si>
  <si>
    <t>65,51,425</t>
  </si>
  <si>
    <t>1,89,80,83,865.00</t>
  </si>
  <si>
    <t>2,48,275</t>
  </si>
  <si>
    <t>1,27,22,639</t>
  </si>
  <si>
    <t>3,68,48,75,766.50</t>
  </si>
  <si>
    <t>2,64,019</t>
  </si>
  <si>
    <t>65,17,591</t>
  </si>
  <si>
    <t>1,89,26,72,377.30</t>
  </si>
  <si>
    <t>2,32,269</t>
  </si>
  <si>
    <t>2,71,26,124</t>
  </si>
  <si>
    <t>7,82,56,51,952.70</t>
  </si>
  <si>
    <t>3,07,674</t>
  </si>
  <si>
    <t>1,84,91,160</t>
  </si>
  <si>
    <t>5,33,64,64,642.05</t>
  </si>
  <si>
    <t>3,57,922</t>
  </si>
  <si>
    <t>2,15,93,793</t>
  </si>
  <si>
    <t>6,10,84,81,851.55</t>
  </si>
  <si>
    <t>3,49,436</t>
  </si>
  <si>
    <t>1,25,12,120</t>
  </si>
  <si>
    <t>3,53,71,72,547.50</t>
  </si>
  <si>
    <t>2,61,581</t>
  </si>
  <si>
    <t>1,17,74,274</t>
  </si>
  <si>
    <t>3,31,84,33,752.00</t>
  </si>
  <si>
    <t>2,60,527</t>
  </si>
  <si>
    <t>1,25,59,492</t>
  </si>
  <si>
    <t>3,51,91,71,166.20</t>
  </si>
  <si>
    <t>2,43,354</t>
  </si>
  <si>
    <t>1,50,18,851</t>
  </si>
  <si>
    <t>4,15,60,98,836.80</t>
  </si>
  <si>
    <t>3,19,838</t>
  </si>
  <si>
    <t>85,23,722</t>
  </si>
  <si>
    <t>2,35,82,49,749.85</t>
  </si>
  <si>
    <t>2,17,400</t>
  </si>
  <si>
    <t>1,12,20,653</t>
  </si>
  <si>
    <t>3,12,71,03,423.95</t>
  </si>
  <si>
    <t>3,18,621</t>
  </si>
  <si>
    <t>1,52,15,868</t>
  </si>
  <si>
    <t>4,26,55,63,857.10</t>
  </si>
  <si>
    <t>4,02,739</t>
  </si>
  <si>
    <t>99,13,943</t>
  </si>
  <si>
    <t>2,79,68,75,062.95</t>
  </si>
  <si>
    <t>2,65,540</t>
  </si>
  <si>
    <t>98,58,768</t>
  </si>
  <si>
    <t>2,76,91,59,109.55</t>
  </si>
  <si>
    <t>2,97,080</t>
  </si>
  <si>
    <t>1,29,95,017</t>
  </si>
  <si>
    <t>3,64,33,08,620.20</t>
  </si>
  <si>
    <t>2,79,112</t>
  </si>
  <si>
    <t>2,11,43,589</t>
  </si>
  <si>
    <t>5,94,92,58,167.80</t>
  </si>
  <si>
    <t>3,51,061</t>
  </si>
  <si>
    <t>2,49,54,082</t>
  </si>
  <si>
    <t>7,06,11,86,932.20</t>
  </si>
  <si>
    <t>3,13,376</t>
  </si>
  <si>
    <t>1,93,12,804</t>
  </si>
  <si>
    <t>5,53,60,84,594.50</t>
  </si>
  <si>
    <t>2,36,925</t>
  </si>
  <si>
    <t>1,48,43,878</t>
  </si>
  <si>
    <t>4,23,05,75,780.05</t>
  </si>
  <si>
    <t>2,78,823</t>
  </si>
  <si>
    <t>1,90,30,590</t>
  </si>
  <si>
    <t>5,46,42,77,271.60</t>
  </si>
  <si>
    <t>2,41,335</t>
  </si>
  <si>
    <t>1,82,83,697</t>
  </si>
  <si>
    <t>5,22,43,22,106.00</t>
  </si>
  <si>
    <t>2,01,829</t>
  </si>
  <si>
    <t>1,68,33,813</t>
  </si>
  <si>
    <t>4,74,08,04,923.60</t>
  </si>
  <si>
    <t>3,52,109</t>
  </si>
  <si>
    <t>4,53,92,755</t>
  </si>
  <si>
    <t>13,12,00,68,403.80</t>
  </si>
  <si>
    <t>3,97,056</t>
  </si>
  <si>
    <t>Portfolio</t>
  </si>
  <si>
    <t>Expected Return</t>
  </si>
  <si>
    <t>Risk (Std. Dev.)</t>
  </si>
  <si>
    <t>Sharpe Ratio</t>
  </si>
  <si>
    <t>Minimum Variance</t>
  </si>
  <si>
    <t>Value-Weighted</t>
  </si>
  <si>
    <t>Price-Weighted</t>
  </si>
  <si>
    <t>Portfolio Performance Analysis</t>
  </si>
  <si>
    <t>The Minimum Variance Portfolio recorded the lowest risk (0.8452%) among the three portfolios and also had the least negative expected return (-0.0306%), indicating better risk management compared with the other portfolios.</t>
  </si>
  <si>
    <t>The Value-Weighted Portfolio had the highest risk (1.0184%) and a more negative expected return (-0.0420%) than the Minimum Variance Portfolio.</t>
  </si>
  <si>
    <t>The Price-Weighted Portfolio had a similar level of risk (1.0145%) but produced the lowest expected return (-0.0476%), resulting in the weakest overall performance.</t>
  </si>
  <si>
    <t>All three portfolios recorded negative Sharpe Ratios, indicating that their returns were below the risk-free rate during the sample period. Among them, the Minimum Variance Portfolio performed relatively better due to its lower risk and comparatively higher (less negative) expected return.</t>
  </si>
  <si>
    <t>Overall Conclusion:</t>
  </si>
  <si>
    <t>Among the three portfolio construction methods, the Minimum Variance Portfolio provided the best risk-adjusted performance over the selected two-year period because it achieved the lowest portfolio risk while limiting losses compared with the Value-Weighted and Price-Weighted portfolios.</t>
  </si>
  <si>
    <t>Annual Market Return (Rm)</t>
  </si>
  <si>
    <t>Risk-Free Rate (Rf)</t>
  </si>
  <si>
    <t>Required Return (CAPM)</t>
  </si>
  <si>
    <t>CAPM Analysis</t>
  </si>
  <si>
    <t>The CAPM estimates the required rate of return based on the systematic risk (Beta) of each stock.</t>
  </si>
  <si>
    <t>HDFCBANK has the highest Beta (1.23) and therefore is the most sensitive to market movements, resulting in the lowest required return because the market return used in this analysis is below the risk-free rate.</t>
  </si>
  <si>
    <t>ITC has the lowest Beta (0.65), making it the least sensitive to market fluctuations and resulting in the highest required return among the selected stocks under the given inputs.</t>
  </si>
  <si>
    <t>The CAPM results indicate that the required return varies according to each stock's Beta and the relationship between the market return and the risk-free rate.</t>
  </si>
  <si>
    <t>Field</t>
  </si>
  <si>
    <t>Short-Term Government Security (G-Sec)</t>
  </si>
  <si>
    <t>Long-Term Government Security (G-Sec)</t>
  </si>
  <si>
    <t>Corporate NCD</t>
  </si>
  <si>
    <t>Bond Name</t>
  </si>
  <si>
    <t>07.06 GS 2028</t>
  </si>
  <si>
    <t>06.94 GS 2036</t>
  </si>
  <si>
    <t>MUTHOOT FINANCE LIMITED 8.65 NCD 12JU31 FVRSILAC</t>
  </si>
  <si>
    <t>Issuer</t>
  </si>
  <si>
    <t>Government of India</t>
  </si>
  <si>
    <t>Muthoot Finance Limited</t>
  </si>
  <si>
    <t>Last Traded Price</t>
  </si>
  <si>
    <t>Volume Traded</t>
  </si>
  <si>
    <t>Yield</t>
  </si>
  <si>
    <t>Face Value</t>
  </si>
  <si>
    <t>₹100</t>
  </si>
  <si>
    <t>Coupon Rate</t>
  </si>
  <si>
    <t>High Price</t>
  </si>
  <si>
    <t>Low Price</t>
  </si>
  <si>
    <t>Buy/Sell</t>
  </si>
  <si>
    <t>No Active Bid/Offer Orders (N/A)</t>
  </si>
  <si>
    <t>N/A (Not displayed)</t>
  </si>
  <si>
    <t>Trading Data</t>
  </si>
  <si>
    <t>Trades = 9</t>
  </si>
  <si>
    <t>Trades = 3081</t>
  </si>
  <si>
    <t>No. of Trades = 5</t>
  </si>
  <si>
    <t>Summary</t>
  </si>
  <si>
    <t>Objective</t>
  </si>
  <si>
    <t>The objective of this assignment was to analyze selected stocks using Modern Portfolio Theory (MPT), evaluate portfolio performance under different weighting methods, study the relationship between stock prices and trading volume, estimate the required rate of return using the Capital Asset Pricing Model (CAPM), and analyze Government Securities and Corporate Bonds based on their price, yield, and maturity characteristics.</t>
  </si>
  <si>
    <t>Key Findings</t>
  </si>
  <si>
    <t>1. Modern Portfolio Theory</t>
  </si>
  <si>
    <t>Six Nifty 50 stocks were selected for analysis using two years of daily data.</t>
  </si>
  <si>
    <t>Mean daily returns, standard deviations, and beta values were calculated for each stock.</t>
  </si>
  <si>
    <t>Three portfolio construction methods were evaluated:</t>
  </si>
  <si>
    <t>Value-Weighted Portfolio</t>
  </si>
  <si>
    <t>2. Portfolio Performance</t>
  </si>
  <si>
    <t>The Minimum Variance Portfolio had the lowest portfolio risk among the three portfolios.</t>
  </si>
  <si>
    <t>The Value-Weighted and Price-Weighted portfolios exhibited comparatively higher risk.</t>
  </si>
  <si>
    <t>The calculated Sharpe Ratios were negative because the expected portfolio returns were lower than the chosen risk-free rate during the sample period.</t>
  </si>
  <si>
    <t>3. Price–Volume Analysis</t>
  </si>
  <si>
    <t>Price movements varied across the selected stocks over the two-year period.</t>
  </si>
  <si>
    <t>Higher trading volumes generally coincided with larger price movements.</t>
  </si>
  <si>
    <t>The analysis indicated a moderate positive relationship between trading activity and price volatility.</t>
  </si>
  <si>
    <t>4. CAPM Analysis</t>
  </si>
  <si>
    <t>Required returns for all selected stocks were estimated using the CAPM model.</t>
  </si>
  <si>
    <t>Stocks with higher beta values showed greater sensitivity to market movements.</t>
  </si>
  <si>
    <t>The CAPM demonstrated how systematic risk influences the required rate of return.</t>
  </si>
  <si>
    <t>5. Bond Analysis</t>
  </si>
  <si>
    <t>One short-term Government Security, one long-term Government Security, and one Corporate NCD were analyzed.</t>
  </si>
  <si>
    <t>The Corporate NCD had the highest coupon rate and yield.</t>
  </si>
  <si>
    <t>The long-term Government Security had the longest remaining maturity.</t>
  </si>
  <si>
    <t>Government Securities provided lower yields due to their lower credit risk compared to the Corporate NCD.</t>
  </si>
  <si>
    <t>Conclusion</t>
  </si>
  <si>
    <t>This assignment demonstrated the practical application of portfolio management concepts, risk-return analysis, CAPM, and bond valuation using real market data. The analysis showed that different portfolio weighting methods produce different levels of risk and return, while bond yields and maturities significantly influence investment decisions. Overall, the study provided a comprehensive understanding of equity and fixed-income investment analysis.</t>
  </si>
  <si>
    <t>Yield (%)</t>
  </si>
  <si>
    <t>Maturity</t>
  </si>
  <si>
    <t>MUTHOOT FINANCE LTD 8.65 NCD</t>
  </si>
  <si>
    <t>Question</t>
  </si>
  <si>
    <t>Answer</t>
  </si>
  <si>
    <t>Which security has the highest coupon rate?</t>
  </si>
  <si>
    <t>MUTHOOT FINANCE LIMITED 8.65 NCD 12JU31 FVRSILAC (8.65%)</t>
  </si>
  <si>
    <t>Which security has the lowest coupon rate?</t>
  </si>
  <si>
    <t>06.94 GS 2036 (6.94%)</t>
  </si>
  <si>
    <t>Which security has the highest Yield to Maturity (YTM)?</t>
  </si>
  <si>
    <t>MUTHOOT FINANCE LIMITED 8.65 NCD 12JU31 FVRSILAC (8.63%)</t>
  </si>
  <si>
    <t>Which security has the lowest Yield to Maturity (YTM)?</t>
  </si>
  <si>
    <t>07.06 GS 2028 (6.01%)</t>
  </si>
  <si>
    <t>Which security has the longest remaining maturity?</t>
  </si>
  <si>
    <t>Bond Price–Yield Analysis</t>
  </si>
  <si>
    <t>The selected bonds exhibit different coupon rates, yields, and maturities. The Corporate NCD offers the highest coupon rate and yield, reflecting the additional credit risk compared to Government Securities. The Government Securities provide relatively lower yields due to their sovereign backing and lower default risk. The long-term Government Security has the longest maturity and is generally more sensitive to changes in interest rates than the short-term Government Security.</t>
  </si>
  <si>
    <t>Observations</t>
  </si>
  <si>
    <t>Reliance's stock price declined sharply during late 2024 and remained relatively stable thereafter.</t>
  </si>
  <si>
    <t>Trading volume increased during periods of significant price movement, indicating higher investor activity.</t>
  </si>
  <si>
    <t>Volume spikes coincided with periods of increased price volatility.</t>
  </si>
  <si>
    <t>Overall, higher trading volumes were associated with larger price fluctuations.</t>
  </si>
  <si>
    <t>TCS stock price exhibited an overall downward trend during the two-year period, with intermittent short-term recoveries.</t>
  </si>
  <si>
    <t>Trading volume remained relatively moderate for most of the period but increased significantly towards the end of the sample period.</t>
  </si>
  <si>
    <t>The increase in trading volume coincided with periods of higher price volatility, indicating increased investor participation.</t>
  </si>
  <si>
    <t>Overall, TCS showed a moderate positive relationship between trading volume and price movements, with higher volumes accompanying major price changes.</t>
  </si>
  <si>
    <t>INFY's stock price showed an overall downward trend during the two-year period, with short-term recoveries and periodic fluctuations.</t>
  </si>
  <si>
    <t>Trading volume remained relatively stable for most of the period but increased significantly toward the later months, with several noticeable volume spikes.</t>
  </si>
  <si>
    <t>The sharp increases in trading volume coincided with periods of higher price volatility, indicating increased investor interest and trading activity.</t>
  </si>
  <si>
    <t>Overall, INFY exhibited a moderate positive relationship between trading volume and price movement, with higher trading volumes accompanying major price changes.</t>
  </si>
  <si>
    <t>HDFC BANK</t>
  </si>
  <si>
    <t>HDFCBANK's stock price increased during the initial period but experienced a sharp decline around mid-2025, followed by relatively stable price movements.</t>
  </si>
  <si>
    <t>Trading volume remained moderate for most of the sample period, with a few significant spikes indicating periods of increased market activity.</t>
  </si>
  <si>
    <t>The highest trading volumes coincided with major price movements, suggesting strong investor participation during volatile periods.</t>
  </si>
  <si>
    <t>Overall, HDFCBANK exhibited a moderate positive relationship between trading volume and price movement, with increased trading activity accompanying significant changes in stock price.</t>
  </si>
  <si>
    <t>ICICI BANK</t>
  </si>
  <si>
    <t>ICICIBANK's stock price showed an overall upward trend during the two-year period, with minor corrections and short-term fluctuations.</t>
  </si>
  <si>
    <t>Trading volume remained relatively stable for most of the period but experienced several significant spikes, indicating periods of increased investor activity.</t>
  </si>
  <si>
    <t>Higher trading volumes coincided with periods of increased price volatility, suggesting active market participation during major price movements.</t>
  </si>
  <si>
    <t>Overall, ICICIBANK exhibited a moderate positive relationship between trading volume and stock price movement, with volume spikes accompanying notable changes in price.</t>
  </si>
  <si>
    <t>ITC's stock price exhibited an overall downward trend during the two-year period, with gradual declines and brief periods of price stability.</t>
  </si>
  <si>
    <t>Trading volume remained relatively stable for most of the sample period, with a few significant spikes indicating periods of increased investor activity.</t>
  </si>
  <si>
    <t>The highest trading volume spikes coincided with major price movements, suggesting that increased market participation occurred during periods of higher volatility.</t>
  </si>
  <si>
    <t>Overall, ITC showed a moderate positive relationship between trading volume and stock price movement, with volume spikes accompanying significant changes in price.</t>
  </si>
  <si>
    <t>Overall Observations</t>
  </si>
  <si>
    <t>The selected stocks exhibited different price trends over the two-year period, ranging from upward trends (ICICIBANK) to downward trends (TCS, INFY and ITC).</t>
  </si>
  <si>
    <t>Periods of high trading volume generally coincided with significant price movements, indicating increased investor participation during volatile market conditions.</t>
  </si>
  <si>
    <t>Stocks experiencing relatively stable price movements generally showed lower trading volumes.</t>
  </si>
  <si>
    <t>Overall, the analysis indicates a moderate positive relationship between trading volume and price volatility across the selected stocks.</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</si>
</sst>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0000%"/>
    <numFmt numFmtId="165" formatCode="dd-mmm-yyyy"/>
    <numFmt numFmtId="166" formatCode="d-mmm-yyyy"/>
    <numFmt numFmtId="167" formatCode="dd-mmmm-yyyy"/>
    <numFmt numFmtId="168" formatCode="d-mmmm-yyyy"/>
    <numFmt numFmtId="169" formatCode="###0.0000000"/>
    <numFmt numFmtId="170" formatCode="###0.0000"/>
  </numFmts>
  <fonts count="16">
    <font>
      <sz val="10.0"/>
      <color rgb="FF000000"/>
      <name val="Arial"/>
      <scheme val="minor"/>
    </font>
    <font>
      <color theme="1"/>
      <name val="Arial"/>
      <scheme val="minor"/>
    </font>
    <font>
      <b/>
      <color theme="1"/>
      <name val="Arial"/>
      <scheme val="minor"/>
    </font>
    <font>
      <b/>
      <sz val="14.0"/>
      <color theme="1"/>
      <name val="Arial"/>
      <scheme val="minor"/>
    </font>
    <font>
      <sz val="11.0"/>
      <color theme="1"/>
      <name val="Arial"/>
      <scheme val="minor"/>
    </font>
    <font>
      <b/>
      <sz val="13.0"/>
      <color theme="1"/>
      <name val="Arial"/>
      <scheme val="minor"/>
    </font>
    <font>
      <color theme="1"/>
      <name val="Arial"/>
    </font>
    <font>
      <b/>
      <sz val="13.0"/>
      <color rgb="FF202122"/>
      <name val="Arial"/>
      <scheme val="minor"/>
    </font>
    <font>
      <sz val="12.0"/>
      <color theme="1"/>
      <name val="Arial"/>
      <scheme val="minor"/>
    </font>
    <font>
      <i/>
      <sz val="8.0"/>
      <color theme="1"/>
      <name val="Georgia"/>
    </font>
    <font>
      <b/>
      <sz val="24.0"/>
      <color theme="1"/>
      <name val="Arial"/>
      <scheme val="minor"/>
    </font>
    <font>
      <b/>
      <sz val="18.0"/>
      <color theme="1"/>
      <name val="Arial"/>
      <scheme val="minor"/>
    </font>
    <font>
      <sz val="18.0"/>
      <color theme="1"/>
      <name val="Arial"/>
      <scheme val="minor"/>
    </font>
    <font>
      <sz val="14.0"/>
      <color theme="1"/>
      <name val="Arial"/>
      <scheme val="minor"/>
    </font>
    <font>
      <b/>
      <sz val="17.0"/>
      <color theme="1"/>
      <name val="Arial"/>
      <scheme val="minor"/>
    </font>
    <font>
      <sz val="13.0"/>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71">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4" xfId="0" applyAlignment="1" applyFont="1" applyNumberFormat="1">
      <alignment readingOrder="0"/>
    </xf>
    <xf borderId="0" fillId="0" fontId="2" numFmtId="164" xfId="0" applyFont="1" applyNumberFormat="1"/>
    <xf borderId="0" fillId="0" fontId="1" numFmtId="164" xfId="0" applyFont="1" applyNumberFormat="1"/>
    <xf borderId="0" fillId="0" fontId="1" numFmtId="164" xfId="0" applyFont="1" applyNumberFormat="1"/>
    <xf borderId="0" fillId="0" fontId="1" numFmtId="0" xfId="0" applyFont="1"/>
    <xf borderId="0" fillId="0" fontId="1" numFmtId="166" xfId="0" applyAlignment="1" applyFont="1" applyNumberFormat="1">
      <alignment readingOrder="0"/>
    </xf>
    <xf borderId="0" fillId="0" fontId="1" numFmtId="164" xfId="0" applyAlignment="1" applyFont="1" applyNumberFormat="1">
      <alignment readingOrder="0"/>
    </xf>
    <xf borderId="0" fillId="0" fontId="1" numFmtId="3" xfId="0" applyAlignment="1" applyFont="1" applyNumberFormat="1">
      <alignment readingOrder="0"/>
    </xf>
    <xf borderId="0" fillId="0" fontId="1" numFmtId="167" xfId="0" applyAlignment="1" applyFont="1" applyNumberFormat="1">
      <alignment readingOrder="0"/>
    </xf>
    <xf borderId="0" fillId="0" fontId="1" numFmtId="168" xfId="0" applyAlignment="1" applyFont="1" applyNumberFormat="1">
      <alignment readingOrder="0"/>
    </xf>
    <xf borderId="0" fillId="0" fontId="2" numFmtId="0" xfId="0" applyAlignment="1" applyFont="1">
      <alignment readingOrder="0"/>
    </xf>
    <xf borderId="0" fillId="0" fontId="1" numFmtId="10" xfId="0" applyFont="1" applyNumberFormat="1"/>
    <xf borderId="0" fillId="0" fontId="2" numFmtId="4" xfId="0" applyAlignment="1" applyFont="1" applyNumberFormat="1">
      <alignment readingOrder="0"/>
    </xf>
    <xf borderId="0" fillId="0" fontId="2" numFmtId="0" xfId="0" applyFont="1"/>
    <xf borderId="0" fillId="0" fontId="1" numFmtId="4" xfId="0" applyFont="1" applyNumberFormat="1"/>
    <xf borderId="0" fillId="0" fontId="2" numFmtId="166" xfId="0" applyAlignment="1" applyFont="1" applyNumberFormat="1">
      <alignment readingOrder="0"/>
    </xf>
    <xf borderId="0" fillId="0" fontId="3" numFmtId="4" xfId="0" applyAlignment="1" applyFont="1" applyNumberFormat="1">
      <alignment readingOrder="0"/>
    </xf>
    <xf borderId="0" fillId="0" fontId="4" numFmtId="4" xfId="0" applyAlignment="1" applyFont="1" applyNumberFormat="1">
      <alignment readingOrder="0"/>
    </xf>
    <xf borderId="0" fillId="0" fontId="2" numFmtId="165" xfId="0" applyAlignment="1" applyFont="1" applyNumberFormat="1">
      <alignment readingOrder="0"/>
    </xf>
    <xf borderId="0" fillId="0" fontId="2" numFmtId="167" xfId="0" applyAlignment="1" applyFont="1" applyNumberFormat="1">
      <alignment readingOrder="0"/>
    </xf>
    <xf borderId="0" fillId="0" fontId="2" numFmtId="168" xfId="0" applyAlignment="1" applyFont="1" applyNumberFormat="1">
      <alignment readingOrder="0"/>
    </xf>
    <xf borderId="0" fillId="0" fontId="5" numFmtId="0" xfId="0" applyAlignment="1" applyFont="1">
      <alignment horizontal="center" readingOrder="0"/>
    </xf>
    <xf borderId="0" fillId="0" fontId="2" numFmtId="0" xfId="0" applyAlignment="1" applyFont="1">
      <alignment horizontal="center" readingOrder="0"/>
    </xf>
    <xf borderId="0" fillId="0" fontId="2" numFmtId="10" xfId="0" applyAlignment="1" applyFont="1" applyNumberFormat="1">
      <alignment horizontal="right" readingOrder="0"/>
    </xf>
    <xf borderId="0" fillId="0" fontId="2" numFmtId="4" xfId="0" applyAlignment="1" applyFont="1" applyNumberFormat="1">
      <alignment horizontal="right" readingOrder="0"/>
    </xf>
    <xf borderId="0" fillId="0" fontId="6" numFmtId="0" xfId="0" applyAlignment="1" applyFont="1">
      <alignment horizontal="right" vertical="bottom"/>
    </xf>
    <xf borderId="0" fillId="0" fontId="1" numFmtId="10" xfId="0" applyAlignment="1" applyFont="1" applyNumberFormat="1">
      <alignment horizontal="right"/>
    </xf>
    <xf borderId="0" fillId="0" fontId="1" numFmtId="10" xfId="0" applyAlignment="1" applyFont="1" applyNumberFormat="1">
      <alignment horizontal="right" readingOrder="0"/>
    </xf>
    <xf borderId="0" fillId="0" fontId="5" numFmtId="0" xfId="0" applyAlignment="1" applyFont="1">
      <alignment readingOrder="0"/>
    </xf>
    <xf borderId="0" fillId="0" fontId="2" numFmtId="0" xfId="0" applyAlignment="1" applyFont="1">
      <alignment horizontal="right" readingOrder="0"/>
    </xf>
    <xf borderId="0" fillId="0" fontId="1" numFmtId="4" xfId="0" applyAlignment="1" applyFont="1" applyNumberFormat="1">
      <alignment horizontal="right"/>
    </xf>
    <xf borderId="0" fillId="0" fontId="1" numFmtId="10" xfId="0" applyAlignment="1" applyFont="1" applyNumberFormat="1">
      <alignment horizontal="right" readingOrder="0"/>
    </xf>
    <xf borderId="0" fillId="2" fontId="7" numFmtId="0" xfId="0" applyAlignment="1" applyFill="1" applyFont="1">
      <alignment readingOrder="0"/>
    </xf>
    <xf borderId="0" fillId="0" fontId="1" numFmtId="9" xfId="0" applyAlignment="1" applyFont="1" applyNumberFormat="1">
      <alignment horizontal="right" readingOrder="0"/>
    </xf>
    <xf borderId="0" fillId="0" fontId="3" numFmtId="0" xfId="0" applyAlignment="1" applyFont="1">
      <alignment readingOrder="0"/>
    </xf>
    <xf borderId="0" fillId="0" fontId="8" numFmtId="0" xfId="0" applyAlignment="1" applyFont="1">
      <alignment readingOrder="0"/>
    </xf>
    <xf borderId="0" fillId="0" fontId="3" numFmtId="0" xfId="0" applyFont="1"/>
    <xf borderId="0" fillId="0" fontId="2" numFmtId="0" xfId="0" applyAlignment="1" applyFont="1">
      <alignment horizontal="center"/>
    </xf>
    <xf borderId="0" fillId="0" fontId="2" numFmtId="169" xfId="0" applyAlignment="1" applyFont="1" applyNumberFormat="1">
      <alignment horizontal="center" readingOrder="0"/>
    </xf>
    <xf borderId="0" fillId="0" fontId="2" numFmtId="169" xfId="0" applyAlignment="1" applyFont="1" applyNumberFormat="1">
      <alignment horizontal="center" readingOrder="0"/>
    </xf>
    <xf borderId="0" fillId="0" fontId="1" numFmtId="169" xfId="0" applyFont="1" applyNumberFormat="1"/>
    <xf borderId="0" fillId="0" fontId="1" numFmtId="169" xfId="0" applyFont="1" applyNumberFormat="1"/>
    <xf borderId="0" fillId="0" fontId="1" numFmtId="0" xfId="0" applyAlignment="1" applyFont="1">
      <alignment horizontal="right" readingOrder="0"/>
    </xf>
    <xf borderId="0" fillId="0" fontId="1" numFmtId="170" xfId="0" applyFont="1" applyNumberFormat="1"/>
    <xf borderId="0" fillId="0" fontId="3" numFmtId="169" xfId="0" applyAlignment="1" applyFont="1" applyNumberFormat="1">
      <alignment readingOrder="0"/>
    </xf>
    <xf borderId="0" fillId="0" fontId="2" numFmtId="164" xfId="0" applyAlignment="1" applyFont="1" applyNumberFormat="1">
      <alignment horizontal="right" readingOrder="0"/>
    </xf>
    <xf borderId="0" fillId="0" fontId="2" numFmtId="164" xfId="0" applyAlignment="1" applyFont="1" applyNumberFormat="1">
      <alignment horizontal="right" readingOrder="0"/>
    </xf>
    <xf borderId="0" fillId="0" fontId="1" numFmtId="164" xfId="0" applyAlignment="1" applyFont="1" applyNumberFormat="1">
      <alignment horizontal="right" readingOrder="0"/>
    </xf>
    <xf borderId="0" fillId="0" fontId="1" numFmtId="164" xfId="0" applyAlignment="1" applyFont="1" applyNumberFormat="1">
      <alignment horizontal="right"/>
    </xf>
    <xf borderId="0" fillId="0" fontId="1" numFmtId="164" xfId="0" applyAlignment="1" applyFont="1" applyNumberFormat="1">
      <alignment horizontal="right"/>
    </xf>
    <xf borderId="0" fillId="0" fontId="9" numFmtId="0" xfId="0" applyAlignment="1" applyFont="1">
      <alignment readingOrder="0"/>
    </xf>
    <xf borderId="0" fillId="0" fontId="3" numFmtId="0" xfId="0" applyFont="1"/>
    <xf borderId="0" fillId="0" fontId="9" numFmtId="0" xfId="0" applyFont="1"/>
    <xf borderId="0" fillId="0" fontId="1" numFmtId="10" xfId="0" applyAlignment="1" applyFont="1" applyNumberFormat="1">
      <alignment readingOrder="0"/>
    </xf>
    <xf borderId="0" fillId="0" fontId="1" numFmtId="0" xfId="0" applyAlignment="1" applyFont="1">
      <alignment horizontal="right"/>
    </xf>
    <xf borderId="0" fillId="0" fontId="10" numFmtId="0" xfId="0" applyAlignment="1" applyFont="1">
      <alignment readingOrder="0"/>
    </xf>
    <xf borderId="0" fillId="0" fontId="11" numFmtId="0" xfId="0" applyAlignment="1" applyFont="1">
      <alignment readingOrder="0"/>
    </xf>
    <xf borderId="0" fillId="0" fontId="11" numFmtId="0" xfId="0" applyFont="1"/>
    <xf borderId="0" fillId="0" fontId="12" numFmtId="0" xfId="0" applyAlignment="1" applyFont="1">
      <alignment readingOrder="0"/>
    </xf>
    <xf borderId="0" fillId="0" fontId="13" numFmtId="0" xfId="0" applyAlignment="1" applyFont="1">
      <alignment readingOrder="0"/>
    </xf>
    <xf borderId="0" fillId="0" fontId="3" numFmtId="0" xfId="0" applyAlignment="1" applyFont="1">
      <alignment readingOrder="0" shrinkToFit="0" wrapText="1"/>
    </xf>
    <xf borderId="0" fillId="0" fontId="3" numFmtId="0" xfId="0" applyAlignment="1" applyFont="1">
      <alignment shrinkToFit="0" wrapText="1"/>
    </xf>
    <xf borderId="0" fillId="0" fontId="8" numFmtId="0" xfId="0" applyAlignment="1" applyFont="1">
      <alignment readingOrder="0" shrinkToFit="0" wrapText="1"/>
    </xf>
    <xf borderId="0" fillId="0" fontId="1" numFmtId="0" xfId="0" applyAlignment="1" applyFont="1">
      <alignment shrinkToFit="0" wrapText="1"/>
    </xf>
    <xf borderId="0" fillId="0" fontId="14" numFmtId="0" xfId="0" applyAlignment="1" applyFont="1">
      <alignment readingOrder="0"/>
    </xf>
    <xf borderId="0" fillId="0" fontId="15" numFmtId="0" xfId="0" applyAlignment="1" applyFont="1">
      <alignment readingOrder="0"/>
    </xf>
    <xf borderId="0" fillId="0" fontId="1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RELIANCE Stock Price (Aug 2024 – Aug 2026)</a:t>
            </a:r>
          </a:p>
        </c:rich>
      </c:tx>
      <c:overlay val="0"/>
    </c:title>
    <c:plotArea>
      <c:layout/>
      <c:lineChart>
        <c:varyColors val="0"/>
        <c:ser>
          <c:idx val="0"/>
          <c:order val="0"/>
          <c:tx>
            <c:strRef>
              <c:f>Reliance!$F$1</c:f>
            </c:strRef>
          </c:tx>
          <c:spPr>
            <a:ln cmpd="sng">
              <a:solidFill>
                <a:srgbClr val="4285F4"/>
              </a:solidFill>
            </a:ln>
          </c:spPr>
          <c:marker>
            <c:symbol val="none"/>
          </c:marker>
          <c:cat>
            <c:strRef>
              <c:f>Reliance!$A$2:$A$1000</c:f>
            </c:strRef>
          </c:cat>
          <c:val>
            <c:numRef>
              <c:f>Reliance!$F$2:$F$1000</c:f>
              <c:numCache/>
            </c:numRef>
          </c:val>
          <c:smooth val="0"/>
        </c:ser>
        <c:axId val="1768021274"/>
        <c:axId val="1466050593"/>
      </c:lineChart>
      <c:catAx>
        <c:axId val="17680212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66050593"/>
      </c:catAx>
      <c:valAx>
        <c:axId val="14660505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CLOSE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68021274"/>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TCS STOCK PRICE AUG 2024-AUG 2026</a:t>
            </a:r>
          </a:p>
        </c:rich>
      </c:tx>
      <c:overlay val="0"/>
    </c:title>
    <c:plotArea>
      <c:layout/>
      <c:lineChart>
        <c:varyColors val="0"/>
        <c:ser>
          <c:idx val="0"/>
          <c:order val="0"/>
          <c:tx>
            <c:strRef>
              <c:f>TCS!$F$1</c:f>
            </c:strRef>
          </c:tx>
          <c:spPr>
            <a:ln cmpd="sng">
              <a:solidFill>
                <a:srgbClr val="4285F4"/>
              </a:solidFill>
            </a:ln>
          </c:spPr>
          <c:marker>
            <c:symbol val="none"/>
          </c:marker>
          <c:cat>
            <c:strRef>
              <c:f>TCS!$A$2:$A$999</c:f>
            </c:strRef>
          </c:cat>
          <c:val>
            <c:numRef>
              <c:f>TCS!$F$2:$F$999</c:f>
              <c:numCache/>
            </c:numRef>
          </c:val>
          <c:smooth val="0"/>
        </c:ser>
        <c:axId val="1182068968"/>
        <c:axId val="1806226129"/>
      </c:lineChart>
      <c:catAx>
        <c:axId val="118206896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06226129"/>
      </c:catAx>
      <c:valAx>
        <c:axId val="18062261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CLOSE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82068968"/>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INFY STOCK PRICE AUG 2024 -AUG 2026</a:t>
            </a:r>
          </a:p>
        </c:rich>
      </c:tx>
      <c:overlay val="0"/>
    </c:title>
    <c:plotArea>
      <c:layout/>
      <c:lineChart>
        <c:varyColors val="0"/>
        <c:ser>
          <c:idx val="0"/>
          <c:order val="0"/>
          <c:tx>
            <c:strRef>
              <c:f>INFY!$F$1</c:f>
            </c:strRef>
          </c:tx>
          <c:spPr>
            <a:ln cmpd="sng">
              <a:solidFill>
                <a:srgbClr val="4285F4"/>
              </a:solidFill>
            </a:ln>
          </c:spPr>
          <c:marker>
            <c:symbol val="none"/>
          </c:marker>
          <c:cat>
            <c:strRef>
              <c:f>INFY!$A$2:$A$999</c:f>
            </c:strRef>
          </c:cat>
          <c:val>
            <c:numRef>
              <c:f>INFY!$F$2:$F$999</c:f>
              <c:numCache/>
            </c:numRef>
          </c:val>
          <c:smooth val="0"/>
        </c:ser>
        <c:axId val="1326329492"/>
        <c:axId val="1366108539"/>
      </c:lineChart>
      <c:catAx>
        <c:axId val="13263294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66108539"/>
      </c:catAx>
      <c:valAx>
        <c:axId val="13661085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CLOSE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26329492"/>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HDFC BANK STOCK PRICE AUG 224 -AUG 2026</a:t>
            </a:r>
          </a:p>
        </c:rich>
      </c:tx>
      <c:overlay val="0"/>
    </c:title>
    <c:plotArea>
      <c:layout/>
      <c:lineChart>
        <c:varyColors val="0"/>
        <c:ser>
          <c:idx val="0"/>
          <c:order val="0"/>
          <c:tx>
            <c:strRef>
              <c:f>HDFCBANK!$F$1</c:f>
            </c:strRef>
          </c:tx>
          <c:spPr>
            <a:ln cmpd="sng">
              <a:solidFill>
                <a:srgbClr val="4285F4"/>
              </a:solidFill>
            </a:ln>
          </c:spPr>
          <c:marker>
            <c:symbol val="none"/>
          </c:marker>
          <c:cat>
            <c:strRef>
              <c:f>HDFCBANK!$A$2:$A$999</c:f>
            </c:strRef>
          </c:cat>
          <c:val>
            <c:numRef>
              <c:f>HDFCBANK!$F$2:$F$999</c:f>
              <c:numCache/>
            </c:numRef>
          </c:val>
          <c:smooth val="0"/>
        </c:ser>
        <c:axId val="1187843418"/>
        <c:axId val="2127525568"/>
      </c:lineChart>
      <c:catAx>
        <c:axId val="11878434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127525568"/>
      </c:catAx>
      <c:valAx>
        <c:axId val="212752556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CLOSE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87843418"/>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ICICI BANK STOCK PRICE  AUG 2024 - AUG 2026</a:t>
            </a:r>
          </a:p>
        </c:rich>
      </c:tx>
      <c:overlay val="0"/>
    </c:title>
    <c:plotArea>
      <c:layout/>
      <c:lineChart>
        <c:varyColors val="0"/>
        <c:ser>
          <c:idx val="0"/>
          <c:order val="0"/>
          <c:tx>
            <c:strRef>
              <c:f>ICICIBANK!$F$1</c:f>
            </c:strRef>
          </c:tx>
          <c:spPr>
            <a:ln cmpd="sng">
              <a:solidFill>
                <a:srgbClr val="4285F4"/>
              </a:solidFill>
            </a:ln>
          </c:spPr>
          <c:marker>
            <c:symbol val="none"/>
          </c:marker>
          <c:cat>
            <c:strRef>
              <c:f>ICICIBANK!$A$2:$A$999</c:f>
            </c:strRef>
          </c:cat>
          <c:val>
            <c:numRef>
              <c:f>ICICIBANK!$F$2:$F$999</c:f>
              <c:numCache/>
            </c:numRef>
          </c:val>
          <c:smooth val="0"/>
        </c:ser>
        <c:axId val="1904608112"/>
        <c:axId val="1006602114"/>
      </c:lineChart>
      <c:catAx>
        <c:axId val="19046081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06602114"/>
      </c:catAx>
      <c:valAx>
        <c:axId val="10066021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CLOSE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04608112"/>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ITC STOCK PRICE AUG 2024 - AUG 2026</a:t>
            </a:r>
          </a:p>
        </c:rich>
      </c:tx>
      <c:overlay val="0"/>
    </c:title>
    <c:plotArea>
      <c:layout/>
      <c:lineChart>
        <c:varyColors val="0"/>
        <c:ser>
          <c:idx val="0"/>
          <c:order val="0"/>
          <c:tx>
            <c:strRef>
              <c:f>ITC!$F$1</c:f>
            </c:strRef>
          </c:tx>
          <c:spPr>
            <a:ln cmpd="sng">
              <a:solidFill>
                <a:srgbClr val="4285F4"/>
              </a:solidFill>
            </a:ln>
          </c:spPr>
          <c:marker>
            <c:symbol val="none"/>
          </c:marker>
          <c:cat>
            <c:strRef>
              <c:f>ITC!$A$2:$A$999</c:f>
            </c:strRef>
          </c:cat>
          <c:val>
            <c:numRef>
              <c:f>ITC!$F$2:$F$999</c:f>
              <c:numCache/>
            </c:numRef>
          </c:val>
          <c:smooth val="0"/>
        </c:ser>
        <c:axId val="1621305665"/>
        <c:axId val="2116786286"/>
      </c:lineChart>
      <c:catAx>
        <c:axId val="16213056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116786286"/>
      </c:catAx>
      <c:valAx>
        <c:axId val="21167862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CLOSE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21305665"/>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RELIANCE Daily Trading Volume (Aug 2024 – Aug 2026)
</a:t>
            </a:r>
          </a:p>
        </c:rich>
      </c:tx>
      <c:overlay val="0"/>
    </c:title>
    <c:plotArea>
      <c:layout/>
      <c:lineChart>
        <c:varyColors val="0"/>
        <c:ser>
          <c:idx val="0"/>
          <c:order val="0"/>
          <c:tx>
            <c:strRef>
              <c:f>Reliance!$M$1</c:f>
            </c:strRef>
          </c:tx>
          <c:spPr>
            <a:ln cmpd="sng">
              <a:solidFill>
                <a:srgbClr val="4285F4"/>
              </a:solidFill>
            </a:ln>
          </c:spPr>
          <c:marker>
            <c:symbol val="none"/>
          </c:marker>
          <c:cat>
            <c:strRef>
              <c:f>Reliance!$A$2:$A$1000</c:f>
            </c:strRef>
          </c:cat>
          <c:val>
            <c:numRef>
              <c:f>Reliance!$M$2:$M$1000</c:f>
              <c:numCache/>
            </c:numRef>
          </c:val>
          <c:smooth val="0"/>
        </c:ser>
        <c:axId val="996757935"/>
        <c:axId val="1873878818"/>
      </c:lineChart>
      <c:catAx>
        <c:axId val="9967579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73878818"/>
      </c:catAx>
      <c:valAx>
        <c:axId val="18738788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96757935"/>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TCS Daily Trading Volume (Aug 2024 – Aug 2026)</a:t>
            </a:r>
          </a:p>
        </c:rich>
      </c:tx>
      <c:overlay val="0"/>
    </c:title>
    <c:plotArea>
      <c:layout/>
      <c:lineChart>
        <c:varyColors val="0"/>
        <c:ser>
          <c:idx val="0"/>
          <c:order val="0"/>
          <c:tx>
            <c:strRef>
              <c:f>TCS!$M$1</c:f>
            </c:strRef>
          </c:tx>
          <c:spPr>
            <a:ln cmpd="sng">
              <a:solidFill>
                <a:srgbClr val="4285F4"/>
              </a:solidFill>
            </a:ln>
          </c:spPr>
          <c:marker>
            <c:symbol val="none"/>
          </c:marker>
          <c:cat>
            <c:strRef>
              <c:f>TCS!$A$2:$A$999</c:f>
            </c:strRef>
          </c:cat>
          <c:val>
            <c:numRef>
              <c:f>TCS!$M$2:$M$999</c:f>
              <c:numCache/>
            </c:numRef>
          </c:val>
          <c:smooth val="0"/>
        </c:ser>
        <c:axId val="1624098492"/>
        <c:axId val="2046932517"/>
      </c:lineChart>
      <c:catAx>
        <c:axId val="16240984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46932517"/>
      </c:catAx>
      <c:valAx>
        <c:axId val="204693251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24098492"/>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INFY Daily Trading Volume (Aug 2024 – Aug 2026)</a:t>
            </a:r>
          </a:p>
        </c:rich>
      </c:tx>
      <c:overlay val="0"/>
    </c:title>
    <c:plotArea>
      <c:layout/>
      <c:lineChart>
        <c:varyColors val="0"/>
        <c:ser>
          <c:idx val="0"/>
          <c:order val="0"/>
          <c:tx>
            <c:strRef>
              <c:f>INFY!$M$1</c:f>
            </c:strRef>
          </c:tx>
          <c:spPr>
            <a:ln cmpd="sng">
              <a:solidFill>
                <a:srgbClr val="4285F4"/>
              </a:solidFill>
            </a:ln>
          </c:spPr>
          <c:marker>
            <c:symbol val="none"/>
          </c:marker>
          <c:cat>
            <c:strRef>
              <c:f>INFY!$A$2:$A$999</c:f>
            </c:strRef>
          </c:cat>
          <c:val>
            <c:numRef>
              <c:f>INFY!$M$2:$M$999</c:f>
              <c:numCache/>
            </c:numRef>
          </c:val>
          <c:smooth val="0"/>
        </c:ser>
        <c:axId val="1059783413"/>
        <c:axId val="250119829"/>
      </c:lineChart>
      <c:catAx>
        <c:axId val="10597834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50119829"/>
      </c:catAx>
      <c:valAx>
        <c:axId val="2501198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59783413"/>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HDFCBANK Daily Trading Volume (Aug 2024 – Aug 2026)</a:t>
            </a:r>
          </a:p>
        </c:rich>
      </c:tx>
      <c:overlay val="0"/>
    </c:title>
    <c:plotArea>
      <c:layout/>
      <c:lineChart>
        <c:varyColors val="0"/>
        <c:ser>
          <c:idx val="0"/>
          <c:order val="0"/>
          <c:tx>
            <c:strRef>
              <c:f>HDFCBANK!$M$1</c:f>
            </c:strRef>
          </c:tx>
          <c:spPr>
            <a:ln cmpd="sng">
              <a:solidFill>
                <a:srgbClr val="4285F4"/>
              </a:solidFill>
            </a:ln>
          </c:spPr>
          <c:marker>
            <c:symbol val="none"/>
          </c:marker>
          <c:cat>
            <c:strRef>
              <c:f>HDFCBANK!$A$2:$A$999</c:f>
            </c:strRef>
          </c:cat>
          <c:val>
            <c:numRef>
              <c:f>HDFCBANK!$M$2:$M$999</c:f>
              <c:numCache/>
            </c:numRef>
          </c:val>
          <c:smooth val="0"/>
        </c:ser>
        <c:axId val="63883968"/>
        <c:axId val="1211083107"/>
      </c:lineChart>
      <c:catAx>
        <c:axId val="6388396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11083107"/>
      </c:catAx>
      <c:valAx>
        <c:axId val="121108310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3883968"/>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ICICIBANK Daily Trading Volume (Aug 2024 – Aug 2026)</a:t>
            </a:r>
          </a:p>
        </c:rich>
      </c:tx>
      <c:overlay val="0"/>
    </c:title>
    <c:plotArea>
      <c:layout/>
      <c:lineChart>
        <c:varyColors val="0"/>
        <c:ser>
          <c:idx val="0"/>
          <c:order val="0"/>
          <c:tx>
            <c:strRef>
              <c:f>ICICIBANK!$M$1</c:f>
            </c:strRef>
          </c:tx>
          <c:spPr>
            <a:ln cmpd="sng">
              <a:solidFill>
                <a:srgbClr val="4285F4"/>
              </a:solidFill>
            </a:ln>
          </c:spPr>
          <c:marker>
            <c:symbol val="none"/>
          </c:marker>
          <c:cat>
            <c:strRef>
              <c:f>ICICIBANK!$A$2:$A$999</c:f>
            </c:strRef>
          </c:cat>
          <c:val>
            <c:numRef>
              <c:f>ICICIBANK!$M$2:$M$999</c:f>
              <c:numCache/>
            </c:numRef>
          </c:val>
          <c:smooth val="0"/>
        </c:ser>
        <c:axId val="1094656198"/>
        <c:axId val="694112105"/>
      </c:lineChart>
      <c:catAx>
        <c:axId val="10946561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94112105"/>
      </c:catAx>
      <c:valAx>
        <c:axId val="69411210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94656198"/>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ITC Daily Trading Volume (Aug 2024 – Aug 2026)</a:t>
            </a:r>
          </a:p>
        </c:rich>
      </c:tx>
      <c:overlay val="0"/>
    </c:title>
    <c:plotArea>
      <c:layout/>
      <c:lineChart>
        <c:varyColors val="0"/>
        <c:ser>
          <c:idx val="0"/>
          <c:order val="0"/>
          <c:tx>
            <c:strRef>
              <c:f>ITC!$M$1</c:f>
            </c:strRef>
          </c:tx>
          <c:spPr>
            <a:ln cmpd="sng">
              <a:solidFill>
                <a:srgbClr val="4285F4"/>
              </a:solidFill>
            </a:ln>
          </c:spPr>
          <c:marker>
            <c:symbol val="none"/>
          </c:marker>
          <c:cat>
            <c:strRef>
              <c:f>ITC!$A$2:$A$999</c:f>
            </c:strRef>
          </c:cat>
          <c:val>
            <c:numRef>
              <c:f>ITC!$M$2:$M$999</c:f>
              <c:numCache/>
            </c:numRef>
          </c:val>
          <c:smooth val="0"/>
        </c:ser>
        <c:axId val="577364211"/>
        <c:axId val="1060881592"/>
      </c:lineChart>
      <c:catAx>
        <c:axId val="5773642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60881592"/>
      </c:catAx>
      <c:valAx>
        <c:axId val="10608815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77364211"/>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Yield Comparison of Selected Bonds</a:t>
            </a:r>
          </a:p>
        </c:rich>
      </c:tx>
      <c:overlay val="0"/>
    </c:title>
    <c:plotArea>
      <c:layout/>
      <c:barChart>
        <c:barDir val="col"/>
        <c:ser>
          <c:idx val="0"/>
          <c:order val="0"/>
          <c:tx>
            <c:strRef>
              <c:f>Bond_Yield_Analysis!$C$1</c:f>
            </c:strRef>
          </c:tx>
          <c:spPr>
            <a:solidFill>
              <a:schemeClr val="accent1"/>
            </a:solidFill>
            <a:ln cmpd="sng">
              <a:noFill/>
            </a:ln>
          </c:spPr>
          <c:cat>
            <c:strRef>
              <c:f>Bond_Yield_Analysis!$A$2:$A$1000</c:f>
            </c:strRef>
          </c:cat>
          <c:val>
            <c:numRef>
              <c:f>Bond_Yield_Analysis!$C$2:$C$1000</c:f>
              <c:numCache/>
            </c:numRef>
          </c:val>
        </c:ser>
        <c:ser>
          <c:idx val="1"/>
          <c:order val="1"/>
          <c:tx>
            <c:strRef>
              <c:f>Bond_Yield_Analysis!$A$1</c:f>
            </c:strRef>
          </c:tx>
          <c:cat>
            <c:strRef>
              <c:f>Bond_Yield_Analysis!$A$2:$A$1000</c:f>
            </c:strRef>
          </c:cat>
          <c:val>
            <c:numRef>
              <c:f>Bond_Yield_Analysis!$A$2:$A$1000</c:f>
              <c:numCache/>
            </c:numRef>
          </c:val>
        </c:ser>
        <c:axId val="2092686434"/>
        <c:axId val="1248193278"/>
      </c:barChart>
      <c:catAx>
        <c:axId val="20926864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48193278"/>
      </c:catAx>
      <c:valAx>
        <c:axId val="12481932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92686434"/>
      </c:valAx>
    </c:plotArea>
    <c:legend>
      <c:legendPos val="r"/>
      <c:overlay val="0"/>
      <c:txPr>
        <a:bodyPr/>
        <a:lstStyle/>
        <a:p>
          <a:pPr lvl="0">
            <a:defRPr b="0">
              <a:solidFill>
                <a:srgbClr val="1A1A1A"/>
              </a:solidFill>
              <a:latin typeface="+mn-lt"/>
            </a:defRPr>
          </a:pPr>
        </a:p>
      </c:txPr>
    </c:legend>
    <c:plotVisOnly val="1"/>
  </c:chart>
</c:chartSpace>
</file>

<file path=xl/drawings/_rels/drawing1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11" Type="http://schemas.openxmlformats.org/officeDocument/2006/relationships/chart" Target="../charts/chart11.xml"/><Relationship Id="rId10" Type="http://schemas.openxmlformats.org/officeDocument/2006/relationships/chart" Target="../charts/chart10.xml"/><Relationship Id="rId12" Type="http://schemas.openxmlformats.org/officeDocument/2006/relationships/chart" Target="../charts/chart12.xml"/><Relationship Id="rId9" Type="http://schemas.openxmlformats.org/officeDocument/2006/relationships/chart" Target="../charts/chart9.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133350</xdr:colOff>
      <xdr:row>1</xdr:row>
      <xdr:rowOff>95250</xdr:rowOff>
    </xdr:from>
    <xdr:ext cx="4429125" cy="27432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47625</xdr:colOff>
      <xdr:row>23</xdr:row>
      <xdr:rowOff>152400</xdr:rowOff>
    </xdr:from>
    <xdr:ext cx="5686425" cy="332422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47625</xdr:colOff>
      <xdr:row>48</xdr:row>
      <xdr:rowOff>114300</xdr:rowOff>
    </xdr:from>
    <xdr:ext cx="5924550" cy="343852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47625</xdr:colOff>
      <xdr:row>74</xdr:row>
      <xdr:rowOff>123825</xdr:rowOff>
    </xdr:from>
    <xdr:ext cx="5524500" cy="35337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133350</xdr:colOff>
      <xdr:row>101</xdr:row>
      <xdr:rowOff>180975</xdr:rowOff>
    </xdr:from>
    <xdr:ext cx="5819775" cy="36099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0</xdr:col>
      <xdr:colOff>76200</xdr:colOff>
      <xdr:row>129</xdr:row>
      <xdr:rowOff>47625</xdr:rowOff>
    </xdr:from>
    <xdr:ext cx="5876925" cy="36099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5</xdr:col>
      <xdr:colOff>142875</xdr:colOff>
      <xdr:row>1</xdr:row>
      <xdr:rowOff>142875</xdr:rowOff>
    </xdr:from>
    <xdr:ext cx="5438775" cy="2695575"/>
    <xdr:graphicFrame>
      <xdr:nvGraphicFramePr>
        <xdr:cNvPr id="7" name="Chart 7"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6</xdr:col>
      <xdr:colOff>381000</xdr:colOff>
      <xdr:row>23</xdr:row>
      <xdr:rowOff>152400</xdr:rowOff>
    </xdr:from>
    <xdr:ext cx="5362575" cy="3381375"/>
    <xdr:graphicFrame>
      <xdr:nvGraphicFramePr>
        <xdr:cNvPr id="9" name="Chart 9"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6</xdr:col>
      <xdr:colOff>523875</xdr:colOff>
      <xdr:row>48</xdr:row>
      <xdr:rowOff>114300</xdr:rowOff>
    </xdr:from>
    <xdr:ext cx="5686425" cy="3438525"/>
    <xdr:graphicFrame>
      <xdr:nvGraphicFramePr>
        <xdr:cNvPr id="10" name="Chart 10"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6</xdr:col>
      <xdr:colOff>123825</xdr:colOff>
      <xdr:row>74</xdr:row>
      <xdr:rowOff>171450</xdr:rowOff>
    </xdr:from>
    <xdr:ext cx="5686425" cy="3486150"/>
    <xdr:graphicFrame>
      <xdr:nvGraphicFramePr>
        <xdr:cNvPr id="11" name="Chart 11"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6</xdr:col>
      <xdr:colOff>676275</xdr:colOff>
      <xdr:row>102</xdr:row>
      <xdr:rowOff>19050</xdr:rowOff>
    </xdr:from>
    <xdr:ext cx="5715000" cy="3533775"/>
    <xdr:graphicFrame>
      <xdr:nvGraphicFramePr>
        <xdr:cNvPr id="12" name="Chart 12"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6</xdr:col>
      <xdr:colOff>514350</xdr:colOff>
      <xdr:row>129</xdr:row>
      <xdr:rowOff>85725</xdr:rowOff>
    </xdr:from>
    <xdr:ext cx="5772150" cy="3533775"/>
    <xdr:graphicFrame>
      <xdr:nvGraphicFramePr>
        <xdr:cNvPr id="13" name="Chart 13" title="Chart"/>
        <xdr:cNvGraphicFramePr/>
      </xdr:nvGraphicFramePr>
      <xdr:xfrm>
        <a:off x="0" y="0"/>
        <a:ext cx="0" cy="0"/>
      </xdr:xfrm>
      <a:graphic>
        <a:graphicData uri="http://schemas.openxmlformats.org/drawingml/2006/chart">
          <c:chart r:id="rId12"/>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561975</xdr:colOff>
      <xdr:row>7</xdr:row>
      <xdr:rowOff>57150</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5" t="s">
        <v>12</v>
      </c>
      <c r="L1" s="1" t="s">
        <v>11</v>
      </c>
    </row>
    <row r="2">
      <c r="A2" s="3">
        <v>45509.0</v>
      </c>
      <c r="B2" s="4">
        <v>2960.0</v>
      </c>
      <c r="C2" s="4">
        <v>2967.8</v>
      </c>
      <c r="D2" s="4">
        <v>2866.5</v>
      </c>
      <c r="E2" s="4">
        <v>2998.65</v>
      </c>
      <c r="F2" s="4">
        <v>2894.65</v>
      </c>
      <c r="G2" s="4">
        <v>2901.81</v>
      </c>
      <c r="H2" s="1" t="s">
        <v>16</v>
      </c>
      <c r="I2" s="1" t="s">
        <v>17</v>
      </c>
      <c r="J2" s="1" t="s">
        <v>19</v>
      </c>
      <c r="K2" s="7"/>
      <c r="L2" s="7"/>
      <c r="M2" s="8">
        <f t="shared" ref="M2:M496" si="1">VALUE(SUBSTITUTE(H2,",",""))</f>
        <v>8523352</v>
      </c>
    </row>
    <row r="3">
      <c r="A3" s="3">
        <v>45510.0</v>
      </c>
      <c r="B3" s="4">
        <v>2910.3</v>
      </c>
      <c r="C3" s="4">
        <v>2955.0</v>
      </c>
      <c r="D3" s="4">
        <v>2902.65</v>
      </c>
      <c r="E3" s="4">
        <v>2894.65</v>
      </c>
      <c r="F3" s="4">
        <v>2912.1</v>
      </c>
      <c r="G3" s="4">
        <v>2929.53</v>
      </c>
      <c r="H3" s="1" t="s">
        <v>25</v>
      </c>
      <c r="I3" s="1" t="s">
        <v>26</v>
      </c>
      <c r="J3" s="1" t="s">
        <v>28</v>
      </c>
      <c r="K3" s="7">
        <v>0.006028362669061827</v>
      </c>
      <c r="L3" s="7">
        <v>-0.0026210113237665773</v>
      </c>
      <c r="M3" s="8">
        <f t="shared" si="1"/>
        <v>5118093</v>
      </c>
    </row>
    <row r="4">
      <c r="A4" s="3">
        <v>45511.0</v>
      </c>
      <c r="B4" s="4">
        <v>2938.0</v>
      </c>
      <c r="C4" s="4">
        <v>2945.0</v>
      </c>
      <c r="D4" s="4">
        <v>2923.0</v>
      </c>
      <c r="E4" s="4">
        <v>2912.1</v>
      </c>
      <c r="F4" s="4">
        <v>2929.65</v>
      </c>
      <c r="G4" s="4">
        <v>2930.89</v>
      </c>
      <c r="H4" s="1" t="s">
        <v>33</v>
      </c>
      <c r="I4" s="1" t="s">
        <v>35</v>
      </c>
      <c r="J4" s="1" t="s">
        <v>36</v>
      </c>
      <c r="K4" s="7">
        <v>0.006026578757597672</v>
      </c>
      <c r="L4" s="7">
        <v>0.012710195456506321</v>
      </c>
      <c r="M4" s="8">
        <f t="shared" si="1"/>
        <v>4087284</v>
      </c>
    </row>
    <row r="5">
      <c r="A5" s="3">
        <v>45512.0</v>
      </c>
      <c r="B5" s="4">
        <v>2915.05</v>
      </c>
      <c r="C5" s="4">
        <v>2930.0</v>
      </c>
      <c r="D5" s="4">
        <v>2891.85</v>
      </c>
      <c r="E5" s="4">
        <v>2929.65</v>
      </c>
      <c r="F5" s="4">
        <v>2898.25</v>
      </c>
      <c r="G5" s="4">
        <v>2905.69</v>
      </c>
      <c r="H5" s="1" t="s">
        <v>40</v>
      </c>
      <c r="I5" s="1" t="s">
        <v>41</v>
      </c>
      <c r="J5" s="1" t="s">
        <v>43</v>
      </c>
      <c r="K5" s="7">
        <v>-0.010718003857116068</v>
      </c>
      <c r="L5" s="7">
        <v>-0.007428747813561066</v>
      </c>
      <c r="M5" s="8">
        <f t="shared" si="1"/>
        <v>6193596</v>
      </c>
    </row>
    <row r="6">
      <c r="A6" s="3">
        <v>45513.0</v>
      </c>
      <c r="B6" s="4">
        <v>2920.0</v>
      </c>
      <c r="C6" s="4">
        <v>2953.0</v>
      </c>
      <c r="D6" s="4">
        <v>2912.0</v>
      </c>
      <c r="E6" s="4">
        <v>2898.25</v>
      </c>
      <c r="F6" s="4">
        <v>2948.6</v>
      </c>
      <c r="G6" s="4">
        <v>2939.2</v>
      </c>
      <c r="H6" s="1" t="s">
        <v>53</v>
      </c>
      <c r="I6" s="1" t="s">
        <v>54</v>
      </c>
      <c r="J6" s="1" t="s">
        <v>55</v>
      </c>
      <c r="K6" s="7">
        <v>0.017372552402311708</v>
      </c>
      <c r="L6" s="7">
        <v>0.010386864037815649</v>
      </c>
      <c r="M6" s="8">
        <f t="shared" si="1"/>
        <v>3124888</v>
      </c>
    </row>
    <row r="7">
      <c r="A7" s="9">
        <v>45516.0</v>
      </c>
      <c r="B7" s="4">
        <v>2940.0</v>
      </c>
      <c r="C7" s="4">
        <v>2946.0</v>
      </c>
      <c r="D7" s="4">
        <v>2915.5</v>
      </c>
      <c r="E7" s="4">
        <v>2948.6</v>
      </c>
      <c r="F7" s="4">
        <v>2921.25</v>
      </c>
      <c r="G7" s="4">
        <v>2929.82</v>
      </c>
      <c r="H7" s="1" t="s">
        <v>62</v>
      </c>
      <c r="I7" s="1" t="s">
        <v>63</v>
      </c>
      <c r="J7" s="1" t="s">
        <v>64</v>
      </c>
      <c r="K7" s="7">
        <v>-0.009275588414840911</v>
      </c>
      <c r="L7" s="7">
        <v>-8.412844977941931E-4</v>
      </c>
      <c r="M7" s="8">
        <f t="shared" si="1"/>
        <v>4092292</v>
      </c>
    </row>
    <row r="8">
      <c r="A8" s="9">
        <v>45517.0</v>
      </c>
      <c r="B8" s="4">
        <v>2921.5</v>
      </c>
      <c r="C8" s="4">
        <v>2940.15</v>
      </c>
      <c r="D8" s="4">
        <v>2916.0</v>
      </c>
      <c r="E8" s="4">
        <v>2921.25</v>
      </c>
      <c r="F8" s="4">
        <v>2927.25</v>
      </c>
      <c r="G8" s="4">
        <v>2928.29</v>
      </c>
      <c r="H8" s="1" t="s">
        <v>73</v>
      </c>
      <c r="I8" s="1" t="s">
        <v>76</v>
      </c>
      <c r="J8" s="1" t="s">
        <v>78</v>
      </c>
      <c r="K8" s="7">
        <v>0.0020539152759948653</v>
      </c>
      <c r="L8" s="7">
        <v>-0.008543146999630345</v>
      </c>
      <c r="M8" s="8">
        <f t="shared" si="1"/>
        <v>3132532</v>
      </c>
    </row>
    <row r="9">
      <c r="A9" s="9">
        <v>45518.0</v>
      </c>
      <c r="B9" s="4">
        <v>2927.1</v>
      </c>
      <c r="C9" s="4">
        <v>2944.0</v>
      </c>
      <c r="D9" s="4">
        <v>2907.4</v>
      </c>
      <c r="E9" s="4">
        <v>2927.25</v>
      </c>
      <c r="F9" s="4">
        <v>2923.7</v>
      </c>
      <c r="G9" s="4">
        <v>2925.78</v>
      </c>
      <c r="H9" s="1" t="s">
        <v>83</v>
      </c>
      <c r="I9" s="1" t="s">
        <v>84</v>
      </c>
      <c r="J9" s="1" t="s">
        <v>87</v>
      </c>
      <c r="K9" s="7">
        <v>-0.0012127423349560789</v>
      </c>
      <c r="L9" s="7">
        <v>1.9677699987571978E-4</v>
      </c>
      <c r="M9" s="8">
        <f t="shared" si="1"/>
        <v>3133733</v>
      </c>
    </row>
    <row r="10">
      <c r="A10" s="9">
        <v>45520.0</v>
      </c>
      <c r="B10" s="4">
        <v>2937.3</v>
      </c>
      <c r="C10" s="4">
        <v>2960.8</v>
      </c>
      <c r="D10" s="4">
        <v>2916.1</v>
      </c>
      <c r="E10" s="4">
        <v>2923.7</v>
      </c>
      <c r="F10" s="4">
        <v>2956.4</v>
      </c>
      <c r="G10" s="4">
        <v>2944.77</v>
      </c>
      <c r="H10" s="1" t="s">
        <v>95</v>
      </c>
      <c r="I10" s="1" t="s">
        <v>97</v>
      </c>
      <c r="J10" s="1" t="s">
        <v>99</v>
      </c>
      <c r="K10" s="7">
        <v>0.011184458049731599</v>
      </c>
      <c r="L10" s="7">
        <v>0.01645974631115719</v>
      </c>
      <c r="M10" s="8">
        <f t="shared" si="1"/>
        <v>4708451</v>
      </c>
    </row>
    <row r="11">
      <c r="A11" s="9">
        <v>45523.0</v>
      </c>
      <c r="B11" s="4">
        <v>2965.0</v>
      </c>
      <c r="C11" s="4">
        <v>2996.6</v>
      </c>
      <c r="D11" s="4">
        <v>2961.0</v>
      </c>
      <c r="E11" s="4">
        <v>2956.4</v>
      </c>
      <c r="F11" s="4">
        <v>2976.8</v>
      </c>
      <c r="G11" s="4">
        <v>2980.25</v>
      </c>
      <c r="H11" s="1" t="s">
        <v>109</v>
      </c>
      <c r="I11" s="1" t="s">
        <v>111</v>
      </c>
      <c r="J11" s="1" t="s">
        <v>112</v>
      </c>
      <c r="K11" s="7">
        <v>0.006900284129346533</v>
      </c>
      <c r="L11" s="7">
        <v>0.0012835584314508488</v>
      </c>
      <c r="M11" s="8">
        <f t="shared" si="1"/>
        <v>6898871</v>
      </c>
    </row>
    <row r="12">
      <c r="A12" s="9">
        <v>45524.0</v>
      </c>
      <c r="B12" s="4">
        <v>2994.45</v>
      </c>
      <c r="C12" s="4">
        <v>3007.85</v>
      </c>
      <c r="D12" s="4">
        <v>2980.05</v>
      </c>
      <c r="E12" s="4">
        <v>2976.8</v>
      </c>
      <c r="F12" s="4">
        <v>2991.9</v>
      </c>
      <c r="G12" s="4">
        <v>2996.98</v>
      </c>
      <c r="H12" s="1" t="s">
        <v>119</v>
      </c>
      <c r="I12" s="1" t="s">
        <v>121</v>
      </c>
      <c r="J12" s="1" t="s">
        <v>123</v>
      </c>
      <c r="K12" s="7">
        <v>0.005072561139478604</v>
      </c>
      <c r="L12" s="7">
        <v>0.005135791215029599</v>
      </c>
      <c r="M12" s="8">
        <f t="shared" si="1"/>
        <v>4205904</v>
      </c>
    </row>
    <row r="13">
      <c r="A13" s="9">
        <v>45525.0</v>
      </c>
      <c r="B13" s="4">
        <v>2986.5</v>
      </c>
      <c r="C13" s="4">
        <v>3015.75</v>
      </c>
      <c r="D13" s="4">
        <v>2980.0</v>
      </c>
      <c r="E13" s="4">
        <v>2991.9</v>
      </c>
      <c r="F13" s="4">
        <v>2997.35</v>
      </c>
      <c r="G13" s="4">
        <v>3001.42</v>
      </c>
      <c r="H13" s="1" t="s">
        <v>134</v>
      </c>
      <c r="I13" s="1" t="s">
        <v>135</v>
      </c>
      <c r="J13" s="1" t="s">
        <v>136</v>
      </c>
      <c r="K13" s="7">
        <v>0.0018215849460208623</v>
      </c>
      <c r="L13" s="7">
        <v>0.0028887984663254437</v>
      </c>
      <c r="M13" s="8">
        <f t="shared" si="1"/>
        <v>3884998</v>
      </c>
    </row>
    <row r="14">
      <c r="A14" s="9">
        <v>45526.0</v>
      </c>
      <c r="B14" s="4">
        <v>3006.0</v>
      </c>
      <c r="C14" s="4">
        <v>3013.0</v>
      </c>
      <c r="D14" s="4">
        <v>2981.3</v>
      </c>
      <c r="E14" s="4">
        <v>2997.35</v>
      </c>
      <c r="F14" s="4">
        <v>2996.25</v>
      </c>
      <c r="G14" s="4">
        <v>2994.88</v>
      </c>
      <c r="H14" s="1" t="s">
        <v>143</v>
      </c>
      <c r="I14" s="1" t="s">
        <v>144</v>
      </c>
      <c r="J14" s="1" t="s">
        <v>146</v>
      </c>
      <c r="K14" s="7">
        <v>-3.669908419103238E-4</v>
      </c>
      <c r="L14" s="7">
        <v>0.0016673260611540994</v>
      </c>
      <c r="M14" s="8">
        <f t="shared" si="1"/>
        <v>5222891</v>
      </c>
    </row>
    <row r="15">
      <c r="A15" s="9">
        <v>45527.0</v>
      </c>
      <c r="B15" s="4">
        <v>3007.5</v>
      </c>
      <c r="C15" s="4">
        <v>3022.65</v>
      </c>
      <c r="D15" s="4">
        <v>2996.85</v>
      </c>
      <c r="E15" s="4">
        <v>2996.25</v>
      </c>
      <c r="F15" s="4">
        <v>2999.95</v>
      </c>
      <c r="G15" s="4">
        <v>3007.21</v>
      </c>
      <c r="H15" s="1" t="s">
        <v>155</v>
      </c>
      <c r="I15" s="1" t="s">
        <v>156</v>
      </c>
      <c r="J15" s="1" t="s">
        <v>157</v>
      </c>
      <c r="K15" s="7">
        <v>0.0012348769294951416</v>
      </c>
      <c r="L15" s="7">
        <v>4.695403341193179E-4</v>
      </c>
      <c r="M15" s="8">
        <f t="shared" si="1"/>
        <v>4624827</v>
      </c>
    </row>
    <row r="16">
      <c r="A16" s="9">
        <v>45530.0</v>
      </c>
      <c r="B16" s="4">
        <v>3013.95</v>
      </c>
      <c r="C16" s="4">
        <v>3046.0</v>
      </c>
      <c r="D16" s="4">
        <v>3006.0</v>
      </c>
      <c r="E16" s="4">
        <v>2999.95</v>
      </c>
      <c r="F16" s="4">
        <v>3025.2</v>
      </c>
      <c r="G16" s="4">
        <v>3028.8</v>
      </c>
      <c r="H16" s="1" t="s">
        <v>166</v>
      </c>
      <c r="I16" s="1" t="s">
        <v>167</v>
      </c>
      <c r="J16" s="1" t="s">
        <v>168</v>
      </c>
      <c r="K16" s="7">
        <v>0.008416806946782446</v>
      </c>
      <c r="L16" s="7">
        <v>0.0075514187361393325</v>
      </c>
      <c r="M16" s="8">
        <f t="shared" si="1"/>
        <v>4408057</v>
      </c>
    </row>
    <row r="17">
      <c r="A17" s="9">
        <v>45531.0</v>
      </c>
      <c r="B17" s="4">
        <v>3021.0</v>
      </c>
      <c r="C17" s="4">
        <v>3026.95</v>
      </c>
      <c r="D17" s="4">
        <v>2998.9</v>
      </c>
      <c r="E17" s="4">
        <v>3025.2</v>
      </c>
      <c r="F17" s="4">
        <v>3000.9</v>
      </c>
      <c r="G17" s="4">
        <v>3008.12</v>
      </c>
      <c r="H17" s="1" t="s">
        <v>175</v>
      </c>
      <c r="I17" s="1" t="s">
        <v>176</v>
      </c>
      <c r="J17" s="1" t="s">
        <v>177</v>
      </c>
      <c r="K17" s="7">
        <v>-0.008032526775089161</v>
      </c>
      <c r="L17" s="7">
        <v>2.858787873942031E-4</v>
      </c>
      <c r="M17" s="8">
        <f t="shared" si="1"/>
        <v>3125578</v>
      </c>
    </row>
    <row r="18">
      <c r="A18" s="9">
        <v>45532.0</v>
      </c>
      <c r="B18" s="4">
        <v>3010.0</v>
      </c>
      <c r="C18" s="4">
        <v>3014.95</v>
      </c>
      <c r="D18" s="4">
        <v>2986.0</v>
      </c>
      <c r="E18" s="4">
        <v>3000.9</v>
      </c>
      <c r="F18" s="4">
        <v>2996.6</v>
      </c>
      <c r="G18" s="4">
        <v>2999.57</v>
      </c>
      <c r="H18" s="1" t="s">
        <v>184</v>
      </c>
      <c r="I18" s="1" t="s">
        <v>186</v>
      </c>
      <c r="J18" s="1" t="s">
        <v>188</v>
      </c>
      <c r="K18" s="7">
        <v>-0.0014329034622947055</v>
      </c>
      <c r="L18" s="7">
        <v>0.0013830180571793446</v>
      </c>
      <c r="M18" s="8">
        <f t="shared" si="1"/>
        <v>4805143</v>
      </c>
    </row>
    <row r="19">
      <c r="A19" s="9">
        <v>45533.0</v>
      </c>
      <c r="B19" s="4">
        <v>3006.2</v>
      </c>
      <c r="C19" s="4">
        <v>3074.0</v>
      </c>
      <c r="D19" s="4">
        <v>2988.0</v>
      </c>
      <c r="E19" s="4">
        <v>2996.6</v>
      </c>
      <c r="F19" s="4">
        <v>3041.85</v>
      </c>
      <c r="G19" s="4">
        <v>3038.57</v>
      </c>
      <c r="H19" s="1" t="s">
        <v>193</v>
      </c>
      <c r="I19" s="1" t="s">
        <v>196</v>
      </c>
      <c r="J19" s="1" t="s">
        <v>199</v>
      </c>
      <c r="K19" s="7">
        <v>0.015100447173463259</v>
      </c>
      <c r="L19" s="7">
        <v>0.003975674936682674</v>
      </c>
      <c r="M19" s="8">
        <f t="shared" si="1"/>
        <v>19167679</v>
      </c>
    </row>
    <row r="20">
      <c r="A20" s="9">
        <v>45534.0</v>
      </c>
      <c r="B20" s="4">
        <v>3068.0</v>
      </c>
      <c r="C20" s="4">
        <v>3079.45</v>
      </c>
      <c r="D20" s="4">
        <v>3006.65</v>
      </c>
      <c r="E20" s="4">
        <v>3041.85</v>
      </c>
      <c r="F20" s="4">
        <v>3019.25</v>
      </c>
      <c r="G20" s="4">
        <v>3026.71</v>
      </c>
      <c r="H20" s="1" t="s">
        <v>203</v>
      </c>
      <c r="I20" s="1" t="s">
        <v>205</v>
      </c>
      <c r="J20" s="1" t="s">
        <v>209</v>
      </c>
      <c r="K20" s="7">
        <v>-0.007429689169419895</v>
      </c>
      <c r="L20" s="7">
        <v>0.00333771337808801</v>
      </c>
      <c r="M20" s="8">
        <f t="shared" si="1"/>
        <v>20810365</v>
      </c>
    </row>
    <row r="21">
      <c r="A21" s="3">
        <v>45537.0</v>
      </c>
      <c r="B21" s="4">
        <v>3021.75</v>
      </c>
      <c r="C21" s="4">
        <v>3053.6</v>
      </c>
      <c r="D21" s="4">
        <v>3013.25</v>
      </c>
      <c r="E21" s="4">
        <v>3019.25</v>
      </c>
      <c r="F21" s="4">
        <v>3032.5</v>
      </c>
      <c r="G21" s="4">
        <v>3034.1</v>
      </c>
      <c r="H21" s="1" t="s">
        <v>215</v>
      </c>
      <c r="I21" s="1" t="s">
        <v>217</v>
      </c>
      <c r="J21" s="1" t="s">
        <v>219</v>
      </c>
      <c r="K21" s="7">
        <v>0.0043885070795727414</v>
      </c>
      <c r="L21" s="7">
        <v>0.0016959965763059478</v>
      </c>
      <c r="M21" s="8">
        <f t="shared" si="1"/>
        <v>5620426</v>
      </c>
    </row>
    <row r="22">
      <c r="A22" s="3">
        <v>45538.0</v>
      </c>
      <c r="B22" s="4">
        <v>3042.5</v>
      </c>
      <c r="C22" s="4">
        <v>3046.0</v>
      </c>
      <c r="D22" s="4">
        <v>3015.0</v>
      </c>
      <c r="E22" s="4">
        <v>3032.5</v>
      </c>
      <c r="F22" s="4">
        <v>3018.25</v>
      </c>
      <c r="G22" s="4">
        <v>3026.09</v>
      </c>
      <c r="H22" s="1" t="s">
        <v>235</v>
      </c>
      <c r="I22" s="1" t="s">
        <v>237</v>
      </c>
      <c r="J22" s="1" t="s">
        <v>238</v>
      </c>
      <c r="K22" s="7">
        <v>-0.004699093157460841</v>
      </c>
      <c r="L22" s="7">
        <v>4.549284575543114E-5</v>
      </c>
      <c r="M22" s="8">
        <f t="shared" si="1"/>
        <v>5461900</v>
      </c>
    </row>
    <row r="23">
      <c r="A23" s="3">
        <v>45539.0</v>
      </c>
      <c r="B23" s="4">
        <v>3001.4</v>
      </c>
      <c r="C23" s="4">
        <v>3035.0</v>
      </c>
      <c r="D23" s="4">
        <v>2999.0</v>
      </c>
      <c r="E23" s="4">
        <v>3018.25</v>
      </c>
      <c r="F23" s="4">
        <v>3029.1</v>
      </c>
      <c r="G23" s="4">
        <v>3023.3</v>
      </c>
      <c r="H23" s="1" t="s">
        <v>245</v>
      </c>
      <c r="I23" s="1" t="s">
        <v>247</v>
      </c>
      <c r="J23" s="1" t="s">
        <v>248</v>
      </c>
      <c r="K23" s="7">
        <v>0.003594798310279105</v>
      </c>
      <c r="L23" s="7">
        <v>-0.0032100665154262318</v>
      </c>
      <c r="M23" s="8">
        <f t="shared" si="1"/>
        <v>5991652</v>
      </c>
    </row>
    <row r="24">
      <c r="A24" s="3">
        <v>45540.0</v>
      </c>
      <c r="B24" s="4">
        <v>3038.1</v>
      </c>
      <c r="C24" s="4">
        <v>3051.55</v>
      </c>
      <c r="D24" s="4">
        <v>2974.1</v>
      </c>
      <c r="E24" s="4">
        <v>3029.1</v>
      </c>
      <c r="F24" s="4">
        <v>2985.95</v>
      </c>
      <c r="G24" s="4">
        <v>3007.1</v>
      </c>
      <c r="H24" s="1" t="s">
        <v>255</v>
      </c>
      <c r="I24" s="1" t="s">
        <v>257</v>
      </c>
      <c r="J24" s="1" t="s">
        <v>260</v>
      </c>
      <c r="K24" s="7">
        <v>-0.014245155326664717</v>
      </c>
      <c r="L24" s="7">
        <v>-0.0021270938580165715</v>
      </c>
      <c r="M24" s="8">
        <f t="shared" si="1"/>
        <v>8132084</v>
      </c>
    </row>
    <row r="25">
      <c r="A25" s="3">
        <v>45541.0</v>
      </c>
      <c r="B25" s="4">
        <v>2985.0</v>
      </c>
      <c r="C25" s="4">
        <v>2994.0</v>
      </c>
      <c r="D25" s="4">
        <v>2923.25</v>
      </c>
      <c r="E25" s="4">
        <v>2985.95</v>
      </c>
      <c r="F25" s="4">
        <v>2929.65</v>
      </c>
      <c r="G25" s="4">
        <v>2938.97</v>
      </c>
      <c r="H25" s="1" t="s">
        <v>266</v>
      </c>
      <c r="I25" s="1" t="s">
        <v>270</v>
      </c>
      <c r="J25" s="1" t="s">
        <v>273</v>
      </c>
      <c r="K25" s="7">
        <v>-0.01885497077981873</v>
      </c>
      <c r="L25" s="7">
        <v>-0.011650381187587128</v>
      </c>
      <c r="M25" s="8">
        <f t="shared" si="1"/>
        <v>9697114</v>
      </c>
    </row>
    <row r="26">
      <c r="A26" s="3">
        <v>45544.0</v>
      </c>
      <c r="B26" s="4">
        <v>2933.0</v>
      </c>
      <c r="C26" s="4">
        <v>2939.85</v>
      </c>
      <c r="D26" s="4">
        <v>2911.2</v>
      </c>
      <c r="E26" s="4">
        <v>2929.65</v>
      </c>
      <c r="F26" s="4">
        <v>2924.9</v>
      </c>
      <c r="G26" s="4">
        <v>2923.84</v>
      </c>
      <c r="H26" s="1" t="s">
        <v>278</v>
      </c>
      <c r="I26" s="1" t="s">
        <v>281</v>
      </c>
      <c r="J26" s="1" t="s">
        <v>284</v>
      </c>
      <c r="K26" s="7">
        <v>-0.0016213540866656425</v>
      </c>
      <c r="L26" s="7">
        <v>0.0033900487482974306</v>
      </c>
      <c r="M26" s="8">
        <f t="shared" si="1"/>
        <v>4505149</v>
      </c>
    </row>
    <row r="27">
      <c r="A27" s="9">
        <v>45545.0</v>
      </c>
      <c r="B27" s="4">
        <v>2921.0</v>
      </c>
      <c r="C27" s="4">
        <v>2944.1</v>
      </c>
      <c r="D27" s="4">
        <v>2915.15</v>
      </c>
      <c r="E27" s="4">
        <v>2924.9</v>
      </c>
      <c r="F27" s="4">
        <v>2923.05</v>
      </c>
      <c r="G27" s="4">
        <v>2928.75</v>
      </c>
      <c r="H27" s="1" t="s">
        <v>295</v>
      </c>
      <c r="I27" s="1" t="s">
        <v>297</v>
      </c>
      <c r="J27" s="1" t="s">
        <v>298</v>
      </c>
      <c r="K27" s="7">
        <v>-6.325002564189918E-4</v>
      </c>
      <c r="L27" s="7">
        <v>0.0041986814455974835</v>
      </c>
      <c r="M27" s="8">
        <f t="shared" si="1"/>
        <v>5384130</v>
      </c>
    </row>
    <row r="28">
      <c r="A28" s="9">
        <v>45546.0</v>
      </c>
      <c r="B28" s="4">
        <v>2926.1</v>
      </c>
      <c r="C28" s="4">
        <v>2937.5</v>
      </c>
      <c r="D28" s="4">
        <v>2895.1</v>
      </c>
      <c r="E28" s="4">
        <v>2923.05</v>
      </c>
      <c r="F28" s="4">
        <v>2903.0</v>
      </c>
      <c r="G28" s="4">
        <v>2917.1</v>
      </c>
      <c r="H28" s="1" t="s">
        <v>307</v>
      </c>
      <c r="I28" s="1" t="s">
        <v>309</v>
      </c>
      <c r="J28" s="1" t="s">
        <v>310</v>
      </c>
      <c r="K28" s="7">
        <v>-0.006859273703836807</v>
      </c>
      <c r="L28" s="7">
        <v>-0.004897947773859688</v>
      </c>
      <c r="M28" s="8">
        <f t="shared" si="1"/>
        <v>4880101</v>
      </c>
    </row>
    <row r="29">
      <c r="A29" s="9">
        <v>45547.0</v>
      </c>
      <c r="B29" s="4">
        <v>2914.0</v>
      </c>
      <c r="C29" s="4">
        <v>2972.0</v>
      </c>
      <c r="D29" s="4">
        <v>2891.75</v>
      </c>
      <c r="E29" s="4">
        <v>2903.0</v>
      </c>
      <c r="F29" s="4">
        <v>2959.6</v>
      </c>
      <c r="G29" s="4">
        <v>2930.24</v>
      </c>
      <c r="H29" s="1" t="s">
        <v>317</v>
      </c>
      <c r="I29" s="1" t="s">
        <v>318</v>
      </c>
      <c r="J29" s="1" t="s">
        <v>320</v>
      </c>
      <c r="K29" s="7">
        <v>0.01949707199448843</v>
      </c>
      <c r="L29" s="7">
        <v>0.018879585206945083</v>
      </c>
      <c r="M29" s="8">
        <f t="shared" si="1"/>
        <v>11174688</v>
      </c>
    </row>
    <row r="30">
      <c r="A30" s="9">
        <v>45548.0</v>
      </c>
      <c r="B30" s="4">
        <v>2952.8</v>
      </c>
      <c r="C30" s="4">
        <v>2966.3</v>
      </c>
      <c r="D30" s="4">
        <v>2939.0</v>
      </c>
      <c r="E30" s="4">
        <v>2959.6</v>
      </c>
      <c r="F30" s="4">
        <v>2945.25</v>
      </c>
      <c r="G30" s="4">
        <v>2951.65</v>
      </c>
      <c r="H30" s="1" t="s">
        <v>325</v>
      </c>
      <c r="I30" s="1" t="s">
        <v>326</v>
      </c>
      <c r="J30" s="1" t="s">
        <v>330</v>
      </c>
      <c r="K30" s="7">
        <v>-0.004848628192999024</v>
      </c>
      <c r="L30" s="7">
        <v>-0.0012761482380095812</v>
      </c>
      <c r="M30" s="8">
        <f t="shared" si="1"/>
        <v>4355664</v>
      </c>
    </row>
    <row r="31">
      <c r="A31" s="9">
        <v>45551.0</v>
      </c>
      <c r="B31" s="4">
        <v>2955.1</v>
      </c>
      <c r="C31" s="4">
        <v>2961.8</v>
      </c>
      <c r="D31" s="4">
        <v>2929.5</v>
      </c>
      <c r="E31" s="4">
        <v>2945.25</v>
      </c>
      <c r="F31" s="4">
        <v>2942.7</v>
      </c>
      <c r="G31" s="4">
        <v>2944.45</v>
      </c>
      <c r="H31" s="1" t="s">
        <v>336</v>
      </c>
      <c r="I31" s="1" t="s">
        <v>338</v>
      </c>
      <c r="J31" s="1" t="s">
        <v>340</v>
      </c>
      <c r="K31" s="7">
        <v>-8.658008658009276E-4</v>
      </c>
      <c r="L31" s="7">
        <v>0.0010746751326089958</v>
      </c>
      <c r="M31" s="8">
        <f t="shared" si="1"/>
        <v>2740887</v>
      </c>
    </row>
    <row r="32">
      <c r="A32" s="9">
        <v>45552.0</v>
      </c>
      <c r="B32" s="4">
        <v>2948.0</v>
      </c>
      <c r="C32" s="4">
        <v>2954.95</v>
      </c>
      <c r="D32" s="4">
        <v>2933.25</v>
      </c>
      <c r="E32" s="4">
        <v>2942.7</v>
      </c>
      <c r="F32" s="4">
        <v>2944.6</v>
      </c>
      <c r="G32" s="4">
        <v>2943.09</v>
      </c>
      <c r="H32" s="1" t="s">
        <v>351</v>
      </c>
      <c r="I32" s="1" t="s">
        <v>352</v>
      </c>
      <c r="J32" s="1" t="s">
        <v>353</v>
      </c>
      <c r="K32" s="7">
        <v>6.456655452475928E-4</v>
      </c>
      <c r="L32" s="7">
        <v>0.0013709558280395637</v>
      </c>
      <c r="M32" s="8">
        <f t="shared" si="1"/>
        <v>2967664</v>
      </c>
    </row>
    <row r="33">
      <c r="A33" s="9">
        <v>45553.0</v>
      </c>
      <c r="B33" s="4">
        <v>2940.0</v>
      </c>
      <c r="C33" s="4">
        <v>2964.0</v>
      </c>
      <c r="D33" s="4">
        <v>2921.1</v>
      </c>
      <c r="E33" s="4">
        <v>2944.6</v>
      </c>
      <c r="F33" s="4">
        <v>2926.9</v>
      </c>
      <c r="G33" s="4">
        <v>2939.96</v>
      </c>
      <c r="H33" s="1" t="s">
        <v>363</v>
      </c>
      <c r="I33" s="1" t="s">
        <v>365</v>
      </c>
      <c r="J33" s="1" t="s">
        <v>368</v>
      </c>
      <c r="K33" s="7">
        <v>-0.00601100319228412</v>
      </c>
      <c r="L33" s="7">
        <v>-0.001612995233795791</v>
      </c>
      <c r="M33" s="8">
        <f t="shared" si="1"/>
        <v>4287357</v>
      </c>
    </row>
    <row r="34">
      <c r="A34" s="9">
        <v>45554.0</v>
      </c>
      <c r="B34" s="4">
        <v>2932.5</v>
      </c>
      <c r="C34" s="4">
        <v>2953.0</v>
      </c>
      <c r="D34" s="4">
        <v>2911.1</v>
      </c>
      <c r="E34" s="4">
        <v>2926.9</v>
      </c>
      <c r="F34" s="4">
        <v>2939.35</v>
      </c>
      <c r="G34" s="4">
        <v>2934.14</v>
      </c>
      <c r="H34" s="1" t="s">
        <v>376</v>
      </c>
      <c r="I34" s="1" t="s">
        <v>378</v>
      </c>
      <c r="J34" s="1" t="s">
        <v>381</v>
      </c>
      <c r="K34" s="7">
        <v>0.004253647203525853</v>
      </c>
      <c r="L34" s="7">
        <v>0.0015072376963103215</v>
      </c>
      <c r="M34" s="8">
        <f t="shared" si="1"/>
        <v>8477951</v>
      </c>
    </row>
    <row r="35">
      <c r="A35" s="9">
        <v>45555.0</v>
      </c>
      <c r="B35" s="4">
        <v>2948.0</v>
      </c>
      <c r="C35" s="4">
        <v>2990.0</v>
      </c>
      <c r="D35" s="4">
        <v>2942.75</v>
      </c>
      <c r="E35" s="4">
        <v>2939.35</v>
      </c>
      <c r="F35" s="4">
        <v>2971.85</v>
      </c>
      <c r="G35" s="4">
        <v>2970.54</v>
      </c>
      <c r="H35" s="1" t="s">
        <v>389</v>
      </c>
      <c r="I35" s="1" t="s">
        <v>393</v>
      </c>
      <c r="J35" s="1" t="s">
        <v>395</v>
      </c>
      <c r="K35" s="7">
        <v>0.011056866313980982</v>
      </c>
      <c r="L35" s="7">
        <v>0.014760503308965348</v>
      </c>
      <c r="M35" s="8">
        <f t="shared" si="1"/>
        <v>15448660</v>
      </c>
    </row>
    <row r="36">
      <c r="A36" s="9">
        <v>45558.0</v>
      </c>
      <c r="B36" s="4">
        <v>2982.0</v>
      </c>
      <c r="C36" s="4">
        <v>3003.0</v>
      </c>
      <c r="D36" s="4">
        <v>2977.9</v>
      </c>
      <c r="E36" s="4">
        <v>2971.85</v>
      </c>
      <c r="F36" s="4">
        <v>2986.75</v>
      </c>
      <c r="G36" s="4">
        <v>2990.93</v>
      </c>
      <c r="H36" s="1" t="s">
        <v>400</v>
      </c>
      <c r="I36" s="1" t="s">
        <v>404</v>
      </c>
      <c r="J36" s="1" t="s">
        <v>407</v>
      </c>
      <c r="K36" s="7">
        <v>0.005013711997577297</v>
      </c>
      <c r="L36" s="7">
        <v>0.005742324342453401</v>
      </c>
      <c r="M36" s="8">
        <f t="shared" si="1"/>
        <v>4416157</v>
      </c>
    </row>
    <row r="37">
      <c r="A37" s="9">
        <v>45559.0</v>
      </c>
      <c r="B37" s="4">
        <v>2977.0</v>
      </c>
      <c r="C37" s="4">
        <v>3001.0</v>
      </c>
      <c r="D37" s="4">
        <v>2975.75</v>
      </c>
      <c r="E37" s="4">
        <v>2986.75</v>
      </c>
      <c r="F37" s="4">
        <v>2978.75</v>
      </c>
      <c r="G37" s="4">
        <v>2986.14</v>
      </c>
      <c r="H37" s="1" t="s">
        <v>408</v>
      </c>
      <c r="I37" s="1" t="s">
        <v>410</v>
      </c>
      <c r="J37" s="1" t="s">
        <v>413</v>
      </c>
      <c r="K37" s="7">
        <v>-0.0026784966937306435</v>
      </c>
      <c r="L37" s="7">
        <v>5.2045082607195824E-5</v>
      </c>
      <c r="M37" s="8">
        <f t="shared" si="1"/>
        <v>8568722</v>
      </c>
    </row>
    <row r="38">
      <c r="A38" s="9">
        <v>45560.0</v>
      </c>
      <c r="B38" s="4">
        <v>2967.8</v>
      </c>
      <c r="C38" s="4">
        <v>2993.0</v>
      </c>
      <c r="D38" s="4">
        <v>2960.4</v>
      </c>
      <c r="E38" s="4">
        <v>2978.75</v>
      </c>
      <c r="F38" s="4">
        <v>2987.9</v>
      </c>
      <c r="G38" s="4">
        <v>2976.46</v>
      </c>
      <c r="H38" s="1" t="s">
        <v>422</v>
      </c>
      <c r="I38" s="1" t="s">
        <v>425</v>
      </c>
      <c r="J38" s="1" t="s">
        <v>428</v>
      </c>
      <c r="K38" s="7">
        <v>0.00307175828787246</v>
      </c>
      <c r="L38" s="7">
        <v>0.0024575565527131422</v>
      </c>
      <c r="M38" s="8">
        <f t="shared" si="1"/>
        <v>3534501</v>
      </c>
    </row>
    <row r="39">
      <c r="A39" s="9">
        <v>45561.0</v>
      </c>
      <c r="B39" s="4">
        <v>2981.3</v>
      </c>
      <c r="C39" s="4">
        <v>3008.0</v>
      </c>
      <c r="D39" s="4">
        <v>2976.1</v>
      </c>
      <c r="E39" s="4">
        <v>2987.9</v>
      </c>
      <c r="F39" s="4">
        <v>2995.9</v>
      </c>
      <c r="G39" s="4">
        <v>2994.82</v>
      </c>
      <c r="H39" s="1" t="s">
        <v>434</v>
      </c>
      <c r="I39" s="1" t="s">
        <v>437</v>
      </c>
      <c r="J39" s="1" t="s">
        <v>439</v>
      </c>
      <c r="K39" s="7">
        <v>0.0026774657786405166</v>
      </c>
      <c r="L39" s="7">
        <v>0.008148699342220293</v>
      </c>
      <c r="M39" s="8">
        <f t="shared" si="1"/>
        <v>9409499</v>
      </c>
    </row>
    <row r="40">
      <c r="A40" s="9">
        <v>45562.0</v>
      </c>
      <c r="B40" s="4">
        <v>2998.0</v>
      </c>
      <c r="C40" s="4">
        <v>3066.95</v>
      </c>
      <c r="D40" s="4">
        <v>2984.0</v>
      </c>
      <c r="E40" s="4">
        <v>2995.9</v>
      </c>
      <c r="F40" s="4">
        <v>3052.35</v>
      </c>
      <c r="G40" s="4">
        <v>3024.87</v>
      </c>
      <c r="H40" s="1" t="s">
        <v>446</v>
      </c>
      <c r="I40" s="1" t="s">
        <v>448</v>
      </c>
      <c r="J40" s="1" t="s">
        <v>450</v>
      </c>
      <c r="K40" s="7">
        <v>0.018842417971227283</v>
      </c>
      <c r="L40" s="7">
        <v>-0.0014151636116042862</v>
      </c>
      <c r="M40" s="8">
        <f t="shared" si="1"/>
        <v>10298739</v>
      </c>
    </row>
    <row r="41">
      <c r="A41" s="9">
        <v>45565.0</v>
      </c>
      <c r="B41" s="4">
        <v>3038.8</v>
      </c>
      <c r="C41" s="4">
        <v>3049.95</v>
      </c>
      <c r="D41" s="4">
        <v>2948.8</v>
      </c>
      <c r="E41" s="4">
        <v>3052.35</v>
      </c>
      <c r="F41" s="4">
        <v>2953.15</v>
      </c>
      <c r="G41" s="4">
        <v>2977.44</v>
      </c>
      <c r="H41" s="1" t="s">
        <v>457</v>
      </c>
      <c r="I41" s="1" t="s">
        <v>461</v>
      </c>
      <c r="J41" s="1" t="s">
        <v>462</v>
      </c>
      <c r="K41" s="7">
        <v>-0.03249954952741325</v>
      </c>
      <c r="L41" s="7">
        <v>-0.014060915353748036</v>
      </c>
      <c r="M41" s="8">
        <f t="shared" si="1"/>
        <v>13504407</v>
      </c>
    </row>
    <row r="42">
      <c r="A42" s="3">
        <v>45566.0</v>
      </c>
      <c r="B42" s="4">
        <v>2961.3</v>
      </c>
      <c r="C42" s="4">
        <v>2975.9</v>
      </c>
      <c r="D42" s="4">
        <v>2925.65</v>
      </c>
      <c r="E42" s="4">
        <v>2953.15</v>
      </c>
      <c r="F42" s="4">
        <v>2929.65</v>
      </c>
      <c r="G42" s="4">
        <v>2938.6</v>
      </c>
      <c r="H42" s="1" t="s">
        <v>466</v>
      </c>
      <c r="I42" s="1" t="s">
        <v>470</v>
      </c>
      <c r="J42" s="1" t="s">
        <v>474</v>
      </c>
      <c r="K42" s="7">
        <v>-0.00795760459170716</v>
      </c>
      <c r="L42" s="7">
        <v>-5.40470383578886E-4</v>
      </c>
      <c r="M42" s="8">
        <f t="shared" si="1"/>
        <v>8215821</v>
      </c>
    </row>
    <row r="43">
      <c r="A43" s="3">
        <v>45568.0</v>
      </c>
      <c r="B43" s="4">
        <v>2873.15</v>
      </c>
      <c r="C43" s="4">
        <v>2898.8</v>
      </c>
      <c r="D43" s="4">
        <v>2804.15</v>
      </c>
      <c r="E43" s="4">
        <v>2929.65</v>
      </c>
      <c r="F43" s="4">
        <v>2813.95</v>
      </c>
      <c r="G43" s="4">
        <v>2846.93</v>
      </c>
      <c r="H43" s="1" t="s">
        <v>478</v>
      </c>
      <c r="I43" s="1" t="s">
        <v>481</v>
      </c>
      <c r="J43" s="1" t="s">
        <v>483</v>
      </c>
      <c r="K43" s="7">
        <v>-0.039492772174150585</v>
      </c>
      <c r="L43" s="7">
        <v>-0.021196345297303278</v>
      </c>
      <c r="M43" s="8">
        <f t="shared" si="1"/>
        <v>18878647</v>
      </c>
    </row>
    <row r="44">
      <c r="A44" s="3">
        <v>45569.0</v>
      </c>
      <c r="B44" s="4">
        <v>2807.85</v>
      </c>
      <c r="C44" s="4">
        <v>2834.7</v>
      </c>
      <c r="D44" s="4">
        <v>2763.55</v>
      </c>
      <c r="E44" s="4">
        <v>2813.95</v>
      </c>
      <c r="F44" s="4">
        <v>2773.05</v>
      </c>
      <c r="G44" s="4">
        <v>2796.15</v>
      </c>
      <c r="H44" s="1" t="s">
        <v>488</v>
      </c>
      <c r="I44" s="1" t="s">
        <v>489</v>
      </c>
      <c r="J44" s="1" t="s">
        <v>491</v>
      </c>
      <c r="K44" s="7">
        <v>-0.014534728762060321</v>
      </c>
      <c r="L44" s="7">
        <v>-0.009326695735858473</v>
      </c>
      <c r="M44" s="8">
        <f t="shared" si="1"/>
        <v>18536438</v>
      </c>
    </row>
    <row r="45">
      <c r="A45" s="3">
        <v>45572.0</v>
      </c>
      <c r="B45" s="4">
        <v>2787.0</v>
      </c>
      <c r="C45" s="4">
        <v>2793.0</v>
      </c>
      <c r="D45" s="4">
        <v>2722.75</v>
      </c>
      <c r="E45" s="4">
        <v>2773.05</v>
      </c>
      <c r="F45" s="4">
        <v>2741.45</v>
      </c>
      <c r="G45" s="4">
        <v>2750.92</v>
      </c>
      <c r="H45" s="1" t="s">
        <v>499</v>
      </c>
      <c r="I45" s="1" t="s">
        <v>500</v>
      </c>
      <c r="J45" s="1" t="s">
        <v>501</v>
      </c>
      <c r="K45" s="7">
        <v>-0.011395394962225839</v>
      </c>
      <c r="L45" s="7">
        <v>-0.008748890647861591</v>
      </c>
      <c r="M45" s="8">
        <f t="shared" si="1"/>
        <v>11090670</v>
      </c>
    </row>
    <row r="46">
      <c r="A46" s="3">
        <v>45573.0</v>
      </c>
      <c r="B46" s="4">
        <v>2745.95</v>
      </c>
      <c r="C46" s="4">
        <v>2802.0</v>
      </c>
      <c r="D46" s="4">
        <v>2730.2</v>
      </c>
      <c r="E46" s="4">
        <v>2741.45</v>
      </c>
      <c r="F46" s="4">
        <v>2794.7</v>
      </c>
      <c r="G46" s="4">
        <v>2768.6</v>
      </c>
      <c r="H46" s="1" t="s">
        <v>510</v>
      </c>
      <c r="I46" s="1" t="s">
        <v>511</v>
      </c>
      <c r="J46" s="1" t="s">
        <v>512</v>
      </c>
      <c r="K46" s="7">
        <v>0.019424027430739208</v>
      </c>
      <c r="L46" s="7">
        <v>0.008767631549761611</v>
      </c>
      <c r="M46" s="8">
        <f t="shared" si="1"/>
        <v>8510404</v>
      </c>
    </row>
    <row r="47">
      <c r="A47" s="3">
        <v>45574.0</v>
      </c>
      <c r="B47" s="4">
        <v>2795.05</v>
      </c>
      <c r="C47" s="4">
        <v>2801.95</v>
      </c>
      <c r="D47" s="4">
        <v>2745.0</v>
      </c>
      <c r="E47" s="4">
        <v>2794.7</v>
      </c>
      <c r="F47" s="4">
        <v>2749.2</v>
      </c>
      <c r="G47" s="4">
        <v>2773.49</v>
      </c>
      <c r="H47" s="1" t="s">
        <v>521</v>
      </c>
      <c r="I47" s="1" t="s">
        <v>522</v>
      </c>
      <c r="J47" s="1" t="s">
        <v>523</v>
      </c>
      <c r="K47" s="7">
        <v>-0.0162808172612445</v>
      </c>
      <c r="L47" s="7">
        <v>-0.0012473438971101491</v>
      </c>
      <c r="M47" s="8">
        <f t="shared" si="1"/>
        <v>7155305</v>
      </c>
    </row>
    <row r="48">
      <c r="A48" s="9">
        <v>45575.0</v>
      </c>
      <c r="B48" s="4">
        <v>2760.05</v>
      </c>
      <c r="C48" s="4">
        <v>2772.0</v>
      </c>
      <c r="D48" s="4">
        <v>2738.85</v>
      </c>
      <c r="E48" s="4">
        <v>2749.2</v>
      </c>
      <c r="F48" s="4">
        <v>2742.1</v>
      </c>
      <c r="G48" s="4">
        <v>2749.69</v>
      </c>
      <c r="H48" s="1" t="s">
        <v>533</v>
      </c>
      <c r="I48" s="1" t="s">
        <v>534</v>
      </c>
      <c r="J48" s="1" t="s">
        <v>535</v>
      </c>
      <c r="K48" s="7">
        <v>-0.0025825694747562597</v>
      </c>
      <c r="L48" s="7">
        <v>6.604768642960217E-4</v>
      </c>
      <c r="M48" s="8">
        <f t="shared" si="1"/>
        <v>11179323</v>
      </c>
    </row>
    <row r="49">
      <c r="A49" s="9">
        <v>45576.0</v>
      </c>
      <c r="B49" s="4">
        <v>2740.0</v>
      </c>
      <c r="C49" s="4">
        <v>2766.55</v>
      </c>
      <c r="D49" s="4">
        <v>2737.65</v>
      </c>
      <c r="E49" s="4">
        <v>2742.1</v>
      </c>
      <c r="F49" s="4">
        <v>2744.2</v>
      </c>
      <c r="G49" s="4">
        <v>2751.19</v>
      </c>
      <c r="H49" s="1" t="s">
        <v>546</v>
      </c>
      <c r="I49" s="1" t="s">
        <v>549</v>
      </c>
      <c r="J49" s="1" t="s">
        <v>552</v>
      </c>
      <c r="K49" s="7">
        <v>7.658364027569779E-4</v>
      </c>
      <c r="L49" s="7">
        <v>-0.001368084821258947</v>
      </c>
      <c r="M49" s="8">
        <f t="shared" si="1"/>
        <v>3990061</v>
      </c>
    </row>
    <row r="50">
      <c r="A50" s="9">
        <v>45579.0</v>
      </c>
      <c r="B50" s="4">
        <v>2758.9</v>
      </c>
      <c r="C50" s="4">
        <v>2760.15</v>
      </c>
      <c r="D50" s="4">
        <v>2736.5</v>
      </c>
      <c r="E50" s="4">
        <v>2744.2</v>
      </c>
      <c r="F50" s="4">
        <v>2745.05</v>
      </c>
      <c r="G50" s="4">
        <v>2746.12</v>
      </c>
      <c r="H50" s="1" t="s">
        <v>558</v>
      </c>
      <c r="I50" s="1" t="s">
        <v>560</v>
      </c>
      <c r="J50" s="1" t="s">
        <v>562</v>
      </c>
      <c r="K50" s="7">
        <v>3.0974418774155086E-4</v>
      </c>
      <c r="L50" s="7">
        <v>0.006557377049180357</v>
      </c>
      <c r="M50" s="8">
        <f t="shared" si="1"/>
        <v>6110716</v>
      </c>
    </row>
    <row r="51">
      <c r="A51" s="9">
        <v>45580.0</v>
      </c>
      <c r="B51" s="4">
        <v>2717.05</v>
      </c>
      <c r="C51" s="4">
        <v>2743.4</v>
      </c>
      <c r="D51" s="4">
        <v>2681.4</v>
      </c>
      <c r="E51" s="4">
        <v>2745.05</v>
      </c>
      <c r="F51" s="4">
        <v>2688.05</v>
      </c>
      <c r="G51" s="4">
        <v>2708.71</v>
      </c>
      <c r="H51" s="1" t="s">
        <v>571</v>
      </c>
      <c r="I51" s="1" t="s">
        <v>573</v>
      </c>
      <c r="J51" s="1" t="s">
        <v>574</v>
      </c>
      <c r="K51" s="7">
        <v>-0.020764649095644887</v>
      </c>
      <c r="L51" s="7">
        <v>-0.0028096203629823435</v>
      </c>
      <c r="M51" s="8">
        <f t="shared" si="1"/>
        <v>16881397</v>
      </c>
    </row>
    <row r="52">
      <c r="A52" s="9">
        <v>45581.0</v>
      </c>
      <c r="B52" s="4">
        <v>2680.0</v>
      </c>
      <c r="C52" s="4">
        <v>2728.0</v>
      </c>
      <c r="D52" s="4">
        <v>2675.25</v>
      </c>
      <c r="E52" s="4">
        <v>2688.05</v>
      </c>
      <c r="F52" s="4">
        <v>2708.15</v>
      </c>
      <c r="G52" s="4">
        <v>2696.84</v>
      </c>
      <c r="H52" s="1" t="s">
        <v>579</v>
      </c>
      <c r="I52" s="1" t="s">
        <v>584</v>
      </c>
      <c r="J52" s="1" t="s">
        <v>588</v>
      </c>
      <c r="K52" s="7">
        <v>0.007477539480292371</v>
      </c>
      <c r="L52" s="7">
        <v>-0.003434122123847864</v>
      </c>
      <c r="M52" s="8">
        <f t="shared" si="1"/>
        <v>10017219</v>
      </c>
    </row>
    <row r="53">
      <c r="A53" s="9">
        <v>45582.0</v>
      </c>
      <c r="B53" s="4">
        <v>2731.4</v>
      </c>
      <c r="C53" s="4">
        <v>2736.9</v>
      </c>
      <c r="D53" s="4">
        <v>2704.1</v>
      </c>
      <c r="E53" s="4">
        <v>2708.15</v>
      </c>
      <c r="F53" s="4">
        <v>2712.85</v>
      </c>
      <c r="G53" s="4">
        <v>2718.84</v>
      </c>
      <c r="H53" s="1" t="s">
        <v>593</v>
      </c>
      <c r="I53" s="1" t="s">
        <v>595</v>
      </c>
      <c r="J53" s="1" t="s">
        <v>598</v>
      </c>
      <c r="K53" s="7">
        <v>0.0017355020955263992</v>
      </c>
      <c r="L53" s="7">
        <v>-0.008868180671410809</v>
      </c>
      <c r="M53" s="8">
        <f t="shared" si="1"/>
        <v>7771830</v>
      </c>
    </row>
    <row r="54">
      <c r="A54" s="9">
        <v>45583.0</v>
      </c>
      <c r="B54" s="4">
        <v>2704.35</v>
      </c>
      <c r="C54" s="4">
        <v>2736.85</v>
      </c>
      <c r="D54" s="4">
        <v>2682.65</v>
      </c>
      <c r="E54" s="4">
        <v>2712.85</v>
      </c>
      <c r="F54" s="4">
        <v>2718.6</v>
      </c>
      <c r="G54" s="4">
        <v>2713.87</v>
      </c>
      <c r="H54" s="1" t="s">
        <v>608</v>
      </c>
      <c r="I54" s="1" t="s">
        <v>609</v>
      </c>
      <c r="J54" s="1" t="s">
        <v>611</v>
      </c>
      <c r="K54" s="7">
        <v>0.00211954217888936</v>
      </c>
      <c r="L54" s="7">
        <v>0.004210126526019379</v>
      </c>
      <c r="M54" s="8">
        <f t="shared" si="1"/>
        <v>6041226</v>
      </c>
    </row>
    <row r="55">
      <c r="A55" s="9">
        <v>45586.0</v>
      </c>
      <c r="B55" s="4">
        <v>2734.25</v>
      </c>
      <c r="C55" s="4">
        <v>2748.0</v>
      </c>
      <c r="D55" s="4">
        <v>2715.45</v>
      </c>
      <c r="E55" s="4">
        <v>2718.6</v>
      </c>
      <c r="F55" s="4">
        <v>2738.4</v>
      </c>
      <c r="G55" s="4">
        <v>2734.41</v>
      </c>
      <c r="H55" s="1" t="s">
        <v>620</v>
      </c>
      <c r="I55" s="1" t="s">
        <v>621</v>
      </c>
      <c r="J55" s="1" t="s">
        <v>623</v>
      </c>
      <c r="K55" s="7">
        <v>0.007283160450231804</v>
      </c>
      <c r="L55" s="7">
        <v>-0.0029351353199981787</v>
      </c>
      <c r="M55" s="8">
        <f t="shared" si="1"/>
        <v>7033704</v>
      </c>
    </row>
    <row r="56">
      <c r="A56" s="9">
        <v>45587.0</v>
      </c>
      <c r="B56" s="4">
        <v>2738.4</v>
      </c>
      <c r="C56" s="4">
        <v>2752.0</v>
      </c>
      <c r="D56" s="4">
        <v>2680.45</v>
      </c>
      <c r="E56" s="4">
        <v>2738.4</v>
      </c>
      <c r="F56" s="4">
        <v>2686.7</v>
      </c>
      <c r="G56" s="4">
        <v>2707.8</v>
      </c>
      <c r="H56" s="1" t="s">
        <v>629</v>
      </c>
      <c r="I56" s="1" t="s">
        <v>631</v>
      </c>
      <c r="J56" s="1" t="s">
        <v>634</v>
      </c>
      <c r="K56" s="7">
        <v>-0.01887963774466852</v>
      </c>
      <c r="L56" s="7">
        <v>-0.012469180141317376</v>
      </c>
      <c r="M56" s="8">
        <f t="shared" si="1"/>
        <v>7915980</v>
      </c>
    </row>
    <row r="57">
      <c r="A57" s="9">
        <v>45588.0</v>
      </c>
      <c r="B57" s="4">
        <v>2675.0</v>
      </c>
      <c r="C57" s="4">
        <v>2714.95</v>
      </c>
      <c r="D57" s="4">
        <v>2670.0</v>
      </c>
      <c r="E57" s="4">
        <v>2686.7</v>
      </c>
      <c r="F57" s="4">
        <v>2677.05</v>
      </c>
      <c r="G57" s="4">
        <v>2688.32</v>
      </c>
      <c r="H57" s="1" t="s">
        <v>642</v>
      </c>
      <c r="I57" s="1" t="s">
        <v>645</v>
      </c>
      <c r="J57" s="1" t="s">
        <v>646</v>
      </c>
      <c r="K57" s="7">
        <v>-0.0035917668515277616</v>
      </c>
      <c r="L57" s="7">
        <v>-0.0014955806816741737</v>
      </c>
      <c r="M57" s="8">
        <f t="shared" si="1"/>
        <v>8607371</v>
      </c>
    </row>
    <row r="58">
      <c r="A58" s="9">
        <v>45589.0</v>
      </c>
      <c r="B58" s="4">
        <v>2670.55</v>
      </c>
      <c r="C58" s="4">
        <v>2687.4</v>
      </c>
      <c r="D58" s="4">
        <v>2646.25</v>
      </c>
      <c r="E58" s="4">
        <v>2677.05</v>
      </c>
      <c r="F58" s="4">
        <v>2679.6</v>
      </c>
      <c r="G58" s="4">
        <v>2668.53</v>
      </c>
      <c r="H58" s="1" t="s">
        <v>653</v>
      </c>
      <c r="I58" s="1" t="s">
        <v>654</v>
      </c>
      <c r="J58" s="1" t="s">
        <v>655</v>
      </c>
      <c r="K58" s="7">
        <v>9.525410433124995E-4</v>
      </c>
      <c r="L58" s="7">
        <v>-0.0014773587608192403</v>
      </c>
      <c r="M58" s="8">
        <f t="shared" si="1"/>
        <v>11077967</v>
      </c>
    </row>
    <row r="59">
      <c r="A59" s="9">
        <v>45590.0</v>
      </c>
      <c r="B59" s="4">
        <v>2687.0</v>
      </c>
      <c r="C59" s="4">
        <v>2688.7</v>
      </c>
      <c r="D59" s="4">
        <v>2644.0</v>
      </c>
      <c r="E59" s="4">
        <v>2679.6</v>
      </c>
      <c r="F59" s="4">
        <v>2655.7</v>
      </c>
      <c r="G59" s="4">
        <v>2659.8</v>
      </c>
      <c r="H59" s="1" t="s">
        <v>661</v>
      </c>
      <c r="I59" s="1" t="s">
        <v>664</v>
      </c>
      <c r="J59" s="1" t="s">
        <v>666</v>
      </c>
      <c r="K59" s="7">
        <v>-0.008919241677862401</v>
      </c>
      <c r="L59" s="7">
        <v>-0.008959236702541954</v>
      </c>
      <c r="M59" s="8">
        <f t="shared" si="1"/>
        <v>9298748</v>
      </c>
    </row>
    <row r="60">
      <c r="A60" s="9">
        <v>45593.0</v>
      </c>
      <c r="B60" s="4">
        <v>1337.0</v>
      </c>
      <c r="C60" s="4">
        <v>1353.0</v>
      </c>
      <c r="D60" s="4">
        <v>1322.1</v>
      </c>
      <c r="E60" s="4">
        <v>2655.7</v>
      </c>
      <c r="F60" s="4">
        <v>1334.35</v>
      </c>
      <c r="G60" s="4">
        <v>1337.7</v>
      </c>
      <c r="H60" s="1" t="s">
        <v>672</v>
      </c>
      <c r="I60" s="1" t="s">
        <v>673</v>
      </c>
      <c r="J60" s="1" t="s">
        <v>674</v>
      </c>
      <c r="K60" s="7"/>
      <c r="L60" s="7">
        <v>0.006548584000529436</v>
      </c>
      <c r="M60" s="8">
        <f t="shared" si="1"/>
        <v>10824350</v>
      </c>
    </row>
    <row r="61">
      <c r="A61" s="9">
        <v>45594.0</v>
      </c>
      <c r="B61" s="4">
        <v>1328.1</v>
      </c>
      <c r="C61" s="4">
        <v>1343.2</v>
      </c>
      <c r="D61" s="4">
        <v>1320.3</v>
      </c>
      <c r="E61" s="4">
        <v>1334.35</v>
      </c>
      <c r="F61" s="4">
        <v>1340.0</v>
      </c>
      <c r="G61" s="4">
        <v>1331.46</v>
      </c>
      <c r="H61" s="1" t="s">
        <v>681</v>
      </c>
      <c r="I61" s="1" t="s">
        <v>682</v>
      </c>
      <c r="J61" s="1" t="s">
        <v>683</v>
      </c>
      <c r="K61" s="7">
        <v>0.004234271368081906</v>
      </c>
      <c r="L61" s="7">
        <v>0.005246691030705554</v>
      </c>
      <c r="M61" s="8">
        <f t="shared" si="1"/>
        <v>12008361</v>
      </c>
    </row>
    <row r="62">
      <c r="A62" s="9">
        <v>45595.0</v>
      </c>
      <c r="B62" s="4">
        <v>1335.0</v>
      </c>
      <c r="C62" s="4">
        <v>1350.0</v>
      </c>
      <c r="D62" s="4">
        <v>1325.35</v>
      </c>
      <c r="E62" s="4">
        <v>1340.0</v>
      </c>
      <c r="F62" s="4">
        <v>1343.9</v>
      </c>
      <c r="G62" s="4">
        <v>1341.16</v>
      </c>
      <c r="H62" s="1" t="s">
        <v>690</v>
      </c>
      <c r="I62" s="1" t="s">
        <v>691</v>
      </c>
      <c r="J62" s="1" t="s">
        <v>692</v>
      </c>
      <c r="K62" s="7">
        <v>0.002910447761194098</v>
      </c>
      <c r="L62" s="7">
        <v>-0.00514982517160975</v>
      </c>
      <c r="M62" s="8">
        <f t="shared" si="1"/>
        <v>11984423</v>
      </c>
    </row>
    <row r="63">
      <c r="A63" s="9">
        <v>45596.0</v>
      </c>
      <c r="B63" s="4">
        <v>1340.0</v>
      </c>
      <c r="C63" s="4">
        <v>1343.0</v>
      </c>
      <c r="D63" s="4">
        <v>1326.15</v>
      </c>
      <c r="E63" s="4">
        <v>1343.9</v>
      </c>
      <c r="F63" s="4">
        <v>1332.05</v>
      </c>
      <c r="G63" s="4">
        <v>1334.14</v>
      </c>
      <c r="H63" s="1" t="s">
        <v>699</v>
      </c>
      <c r="I63" s="1" t="s">
        <v>700</v>
      </c>
      <c r="J63" s="1" t="s">
        <v>701</v>
      </c>
      <c r="K63" s="7">
        <v>-0.008817620358657739</v>
      </c>
      <c r="L63" s="7">
        <v>-0.005566773551457735</v>
      </c>
      <c r="M63" s="8">
        <f t="shared" si="1"/>
        <v>9331650</v>
      </c>
    </row>
    <row r="64">
      <c r="A64" s="3">
        <v>45597.0</v>
      </c>
      <c r="B64" s="4">
        <v>1333.05</v>
      </c>
      <c r="C64" s="4">
        <v>1341.95</v>
      </c>
      <c r="D64" s="4">
        <v>1333.0</v>
      </c>
      <c r="E64" s="4">
        <v>1332.05</v>
      </c>
      <c r="F64" s="4">
        <v>1338.65</v>
      </c>
      <c r="G64" s="4">
        <v>1338.89</v>
      </c>
      <c r="H64" s="1" t="s">
        <v>705</v>
      </c>
      <c r="I64" s="1" t="s">
        <v>706</v>
      </c>
      <c r="J64" s="1" t="s">
        <v>708</v>
      </c>
      <c r="K64" s="7">
        <v>0.004954768965129039</v>
      </c>
      <c r="L64" s="7">
        <v>0.004090004895611921</v>
      </c>
      <c r="M64" s="8">
        <f t="shared" si="1"/>
        <v>2127335</v>
      </c>
    </row>
    <row r="65">
      <c r="A65" s="3">
        <v>45600.0</v>
      </c>
      <c r="B65" s="4">
        <v>1337.85</v>
      </c>
      <c r="C65" s="4">
        <v>1340.0</v>
      </c>
      <c r="D65" s="4">
        <v>1285.1</v>
      </c>
      <c r="E65" s="4">
        <v>1338.65</v>
      </c>
      <c r="F65" s="4">
        <v>1302.15</v>
      </c>
      <c r="G65" s="4">
        <v>1301.44</v>
      </c>
      <c r="H65" s="1" t="s">
        <v>714</v>
      </c>
      <c r="I65" s="1" t="s">
        <v>715</v>
      </c>
      <c r="J65" s="1" t="s">
        <v>717</v>
      </c>
      <c r="K65" s="7">
        <v>-0.02726627572554439</v>
      </c>
      <c r="L65" s="7">
        <v>-0.012713773460306488</v>
      </c>
      <c r="M65" s="8">
        <f t="shared" si="1"/>
        <v>19796890</v>
      </c>
    </row>
    <row r="66">
      <c r="A66" s="3">
        <v>45601.0</v>
      </c>
      <c r="B66" s="4">
        <v>1293.0</v>
      </c>
      <c r="C66" s="4">
        <v>1309.55</v>
      </c>
      <c r="D66" s="4">
        <v>1286.15</v>
      </c>
      <c r="E66" s="4">
        <v>1302.15</v>
      </c>
      <c r="F66" s="4">
        <v>1305.3</v>
      </c>
      <c r="G66" s="4">
        <v>1297.87</v>
      </c>
      <c r="H66" s="1" t="s">
        <v>724</v>
      </c>
      <c r="I66" s="1" t="s">
        <v>726</v>
      </c>
      <c r="J66" s="1" t="s">
        <v>728</v>
      </c>
      <c r="K66" s="7">
        <v>0.0024190761433013582</v>
      </c>
      <c r="L66" s="7">
        <v>0.009083009833155204</v>
      </c>
      <c r="M66" s="8">
        <f t="shared" si="1"/>
        <v>16267479</v>
      </c>
    </row>
    <row r="67">
      <c r="A67" s="3">
        <v>45602.0</v>
      </c>
      <c r="B67" s="4">
        <v>1310.0</v>
      </c>
      <c r="C67" s="4">
        <v>1328.3</v>
      </c>
      <c r="D67" s="4">
        <v>1300.2</v>
      </c>
      <c r="E67" s="4">
        <v>1305.3</v>
      </c>
      <c r="F67" s="4">
        <v>1325.35</v>
      </c>
      <c r="G67" s="4">
        <v>1315.57</v>
      </c>
      <c r="H67" s="1" t="s">
        <v>735</v>
      </c>
      <c r="I67" s="1" t="s">
        <v>736</v>
      </c>
      <c r="J67" s="1" t="s">
        <v>737</v>
      </c>
      <c r="K67" s="7">
        <v>0.015360453535585655</v>
      </c>
      <c r="L67" s="7">
        <v>0.011181871120417292</v>
      </c>
      <c r="M67" s="8">
        <f t="shared" si="1"/>
        <v>21625209</v>
      </c>
    </row>
    <row r="68">
      <c r="A68" s="3">
        <v>45603.0</v>
      </c>
      <c r="B68" s="4">
        <v>1324.0</v>
      </c>
      <c r="C68" s="4">
        <v>1324.0</v>
      </c>
      <c r="D68" s="4">
        <v>1302.6</v>
      </c>
      <c r="E68" s="4">
        <v>1325.35</v>
      </c>
      <c r="F68" s="4">
        <v>1305.65</v>
      </c>
      <c r="G68" s="4">
        <v>1308.97</v>
      </c>
      <c r="H68" s="1" t="s">
        <v>756</v>
      </c>
      <c r="I68" s="1" t="s">
        <v>757</v>
      </c>
      <c r="J68" s="1" t="s">
        <v>758</v>
      </c>
      <c r="K68" s="7">
        <v>-0.014863998189157445</v>
      </c>
      <c r="L68" s="7">
        <v>-0.01162797821438858</v>
      </c>
      <c r="M68" s="8">
        <f t="shared" si="1"/>
        <v>9611974</v>
      </c>
    </row>
    <row r="69">
      <c r="A69" s="3">
        <v>45604.0</v>
      </c>
      <c r="B69" s="4">
        <v>1297.65</v>
      </c>
      <c r="C69" s="4">
        <v>1301.65</v>
      </c>
      <c r="D69" s="4">
        <v>1275.0</v>
      </c>
      <c r="E69" s="4">
        <v>1305.65</v>
      </c>
      <c r="F69" s="4">
        <v>1283.75</v>
      </c>
      <c r="G69" s="4">
        <v>1284.01</v>
      </c>
      <c r="H69" s="1" t="s">
        <v>766</v>
      </c>
      <c r="I69" s="1" t="s">
        <v>768</v>
      </c>
      <c r="J69" s="1" t="s">
        <v>769</v>
      </c>
      <c r="K69" s="7">
        <v>-0.016773254700723845</v>
      </c>
      <c r="L69" s="7">
        <v>-0.0021136931363858044</v>
      </c>
      <c r="M69" s="8">
        <f t="shared" si="1"/>
        <v>19814406</v>
      </c>
    </row>
    <row r="70">
      <c r="A70" s="9">
        <v>45607.0</v>
      </c>
      <c r="B70" s="4">
        <v>1278.95</v>
      </c>
      <c r="C70" s="4">
        <v>1286.0</v>
      </c>
      <c r="D70" s="4">
        <v>1267.0</v>
      </c>
      <c r="E70" s="4">
        <v>1283.75</v>
      </c>
      <c r="F70" s="4">
        <v>1272.7</v>
      </c>
      <c r="G70" s="4">
        <v>1275.44</v>
      </c>
      <c r="H70" s="1" t="s">
        <v>770</v>
      </c>
      <c r="I70" s="1" t="s">
        <v>771</v>
      </c>
      <c r="J70" s="1" t="s">
        <v>772</v>
      </c>
      <c r="K70" s="7">
        <v>-0.008607594936708825</v>
      </c>
      <c r="L70" s="7">
        <v>-2.857355827764163E-4</v>
      </c>
      <c r="M70" s="8">
        <f t="shared" si="1"/>
        <v>9056552</v>
      </c>
    </row>
    <row r="71">
      <c r="A71" s="9">
        <v>45608.0</v>
      </c>
      <c r="B71" s="4">
        <v>1275.55</v>
      </c>
      <c r="C71" s="4">
        <v>1289.3</v>
      </c>
      <c r="D71" s="4">
        <v>1267.5</v>
      </c>
      <c r="E71" s="4">
        <v>1272.7</v>
      </c>
      <c r="F71" s="4">
        <v>1274.25</v>
      </c>
      <c r="G71" s="4">
        <v>1277.82</v>
      </c>
      <c r="H71" s="1" t="s">
        <v>774</v>
      </c>
      <c r="I71" s="1" t="s">
        <v>776</v>
      </c>
      <c r="J71" s="1" t="s">
        <v>777</v>
      </c>
      <c r="K71" s="7">
        <v>0.0012178832403551146</v>
      </c>
      <c r="L71" s="7">
        <v>-0.010680866399075383</v>
      </c>
      <c r="M71" s="8">
        <f t="shared" si="1"/>
        <v>10671091</v>
      </c>
    </row>
    <row r="72">
      <c r="A72" s="9">
        <v>45609.0</v>
      </c>
      <c r="B72" s="4">
        <v>1270.25</v>
      </c>
      <c r="C72" s="4">
        <v>1275.45</v>
      </c>
      <c r="D72" s="4">
        <v>1249.5</v>
      </c>
      <c r="E72" s="4">
        <v>1274.25</v>
      </c>
      <c r="F72" s="4">
        <v>1252.05</v>
      </c>
      <c r="G72" s="4">
        <v>1258.62</v>
      </c>
      <c r="H72" s="1" t="s">
        <v>786</v>
      </c>
      <c r="I72" s="1" t="s">
        <v>787</v>
      </c>
      <c r="J72" s="1" t="s">
        <v>788</v>
      </c>
      <c r="K72" s="7">
        <v>-0.017422012948793444</v>
      </c>
      <c r="L72" s="7">
        <v>-0.013582627300494754</v>
      </c>
      <c r="M72" s="8">
        <f t="shared" si="1"/>
        <v>14633633</v>
      </c>
    </row>
    <row r="73">
      <c r="A73" s="9">
        <v>45610.0</v>
      </c>
      <c r="B73" s="4">
        <v>1253.6</v>
      </c>
      <c r="C73" s="4">
        <v>1272.6</v>
      </c>
      <c r="D73" s="4">
        <v>1251.1</v>
      </c>
      <c r="E73" s="4">
        <v>1252.05</v>
      </c>
      <c r="F73" s="4">
        <v>1267.6</v>
      </c>
      <c r="G73" s="4">
        <v>1263.73</v>
      </c>
      <c r="H73" s="1" t="s">
        <v>792</v>
      </c>
      <c r="I73" s="1" t="s">
        <v>793</v>
      </c>
      <c r="J73" s="1" t="s">
        <v>794</v>
      </c>
      <c r="K73" s="7">
        <v>0.012419631803841664</v>
      </c>
      <c r="L73" s="7">
        <v>-0.001118466152073133</v>
      </c>
      <c r="M73" s="8">
        <f t="shared" si="1"/>
        <v>12612633</v>
      </c>
    </row>
    <row r="74">
      <c r="A74" s="9">
        <v>45614.0</v>
      </c>
      <c r="B74" s="4">
        <v>1267.6</v>
      </c>
      <c r="C74" s="4">
        <v>1272.9</v>
      </c>
      <c r="D74" s="4">
        <v>1243.9</v>
      </c>
      <c r="E74" s="4">
        <v>1267.6</v>
      </c>
      <c r="F74" s="4">
        <v>1260.75</v>
      </c>
      <c r="G74" s="4">
        <v>1258.64</v>
      </c>
      <c r="H74" s="1" t="s">
        <v>804</v>
      </c>
      <c r="I74" s="1" t="s">
        <v>806</v>
      </c>
      <c r="J74" s="1" t="s">
        <v>809</v>
      </c>
      <c r="K74" s="7">
        <v>-0.005403912906279512</v>
      </c>
      <c r="L74" s="7">
        <v>-0.003352781448792593</v>
      </c>
      <c r="M74" s="8">
        <f t="shared" si="1"/>
        <v>13620611</v>
      </c>
    </row>
    <row r="75">
      <c r="A75" s="9">
        <v>45615.0</v>
      </c>
      <c r="B75" s="4">
        <v>1260.75</v>
      </c>
      <c r="C75" s="4">
        <v>1281.5</v>
      </c>
      <c r="D75" s="4">
        <v>1235.15</v>
      </c>
      <c r="E75" s="4">
        <v>1260.75</v>
      </c>
      <c r="F75" s="4">
        <v>1241.65</v>
      </c>
      <c r="G75" s="4">
        <v>1265.5</v>
      </c>
      <c r="H75" s="1" t="s">
        <v>816</v>
      </c>
      <c r="I75" s="1" t="s">
        <v>819</v>
      </c>
      <c r="J75" s="1" t="s">
        <v>821</v>
      </c>
      <c r="K75" s="7">
        <v>-0.015149712472734412</v>
      </c>
      <c r="L75" s="7">
        <v>0.002758614808687749</v>
      </c>
      <c r="M75" s="8">
        <f t="shared" si="1"/>
        <v>14183746</v>
      </c>
    </row>
    <row r="76">
      <c r="A76" s="9">
        <v>45617.0</v>
      </c>
      <c r="B76" s="4">
        <v>1241.65</v>
      </c>
      <c r="C76" s="4">
        <v>1243.95</v>
      </c>
      <c r="D76" s="4">
        <v>1217.25</v>
      </c>
      <c r="E76" s="4">
        <v>1241.65</v>
      </c>
      <c r="F76" s="4">
        <v>1223.0</v>
      </c>
      <c r="G76" s="4">
        <v>1224.92</v>
      </c>
      <c r="H76" s="1" t="s">
        <v>831</v>
      </c>
      <c r="I76" s="1" t="s">
        <v>832</v>
      </c>
      <c r="J76" s="1" t="s">
        <v>833</v>
      </c>
      <c r="K76" s="7">
        <v>-0.015020335843434212</v>
      </c>
      <c r="L76" s="7">
        <v>-0.007168824542381468</v>
      </c>
      <c r="M76" s="8">
        <f t="shared" si="1"/>
        <v>19433843</v>
      </c>
    </row>
    <row r="77">
      <c r="A77" s="9">
        <v>45618.0</v>
      </c>
      <c r="B77" s="4">
        <v>1229.4</v>
      </c>
      <c r="C77" s="4">
        <v>1268.85</v>
      </c>
      <c r="D77" s="4">
        <v>1222.45</v>
      </c>
      <c r="E77" s="4">
        <v>1223.0</v>
      </c>
      <c r="F77" s="4">
        <v>1265.4</v>
      </c>
      <c r="G77" s="4">
        <v>1247.09</v>
      </c>
      <c r="H77" s="1" t="s">
        <v>841</v>
      </c>
      <c r="I77" s="1" t="s">
        <v>843</v>
      </c>
      <c r="J77" s="1" t="s">
        <v>845</v>
      </c>
      <c r="K77" s="7">
        <v>0.034668847097301794</v>
      </c>
      <c r="L77" s="7">
        <v>0.023869481239748285</v>
      </c>
      <c r="M77" s="8">
        <f t="shared" si="1"/>
        <v>20471957</v>
      </c>
    </row>
    <row r="78">
      <c r="A78" s="9">
        <v>45621.0</v>
      </c>
      <c r="B78" s="4">
        <v>1290.0</v>
      </c>
      <c r="C78" s="4">
        <v>1304.45</v>
      </c>
      <c r="D78" s="4">
        <v>1282.45</v>
      </c>
      <c r="E78" s="4">
        <v>1265.4</v>
      </c>
      <c r="F78" s="4">
        <v>1287.0</v>
      </c>
      <c r="G78" s="4">
        <v>1291.52</v>
      </c>
      <c r="H78" s="1" t="s">
        <v>850</v>
      </c>
      <c r="I78" s="1" t="s">
        <v>853</v>
      </c>
      <c r="J78" s="1" t="s">
        <v>854</v>
      </c>
      <c r="K78" s="7">
        <v>0.01706970128022752</v>
      </c>
      <c r="L78" s="7">
        <v>0.01316127952817666</v>
      </c>
      <c r="M78" s="8">
        <f t="shared" si="1"/>
        <v>28923341</v>
      </c>
    </row>
    <row r="79">
      <c r="A79" s="9">
        <v>45622.0</v>
      </c>
      <c r="B79" s="4">
        <v>1294.95</v>
      </c>
      <c r="C79" s="4">
        <v>1297.85</v>
      </c>
      <c r="D79" s="4">
        <v>1284.2</v>
      </c>
      <c r="E79" s="4">
        <v>1287.0</v>
      </c>
      <c r="F79" s="4">
        <v>1295.7</v>
      </c>
      <c r="G79" s="4">
        <v>1292.03</v>
      </c>
      <c r="H79" s="1" t="s">
        <v>864</v>
      </c>
      <c r="I79" s="1" t="s">
        <v>865</v>
      </c>
      <c r="J79" s="1" t="s">
        <v>866</v>
      </c>
      <c r="K79" s="7">
        <v>0.006759906759906795</v>
      </c>
      <c r="L79" s="7">
        <v>-0.0011312077087264605</v>
      </c>
      <c r="M79" s="8">
        <f t="shared" si="1"/>
        <v>9247557</v>
      </c>
    </row>
    <row r="80">
      <c r="A80" s="9">
        <v>45623.0</v>
      </c>
      <c r="B80" s="4">
        <v>1293.5</v>
      </c>
      <c r="C80" s="4">
        <v>1303.85</v>
      </c>
      <c r="D80" s="4">
        <v>1286.0</v>
      </c>
      <c r="E80" s="4">
        <v>1295.7</v>
      </c>
      <c r="F80" s="4">
        <v>1293.2</v>
      </c>
      <c r="G80" s="4">
        <v>1293.84</v>
      </c>
      <c r="H80" s="1" t="s">
        <v>877</v>
      </c>
      <c r="I80" s="1" t="s">
        <v>879</v>
      </c>
      <c r="J80" s="1" t="s">
        <v>881</v>
      </c>
      <c r="K80" s="7">
        <v>-0.0019294589797020914</v>
      </c>
      <c r="L80" s="7">
        <v>0.003323069292607884</v>
      </c>
      <c r="M80" s="8">
        <f t="shared" si="1"/>
        <v>9572746</v>
      </c>
    </row>
    <row r="81">
      <c r="A81" s="9">
        <v>45624.0</v>
      </c>
      <c r="B81" s="4">
        <v>1289.95</v>
      </c>
      <c r="C81" s="4">
        <v>1296.6</v>
      </c>
      <c r="D81" s="4">
        <v>1269.05</v>
      </c>
      <c r="E81" s="4">
        <v>1293.2</v>
      </c>
      <c r="F81" s="4">
        <v>1270.8</v>
      </c>
      <c r="G81" s="4">
        <v>1280.74</v>
      </c>
      <c r="H81" s="1" t="s">
        <v>888</v>
      </c>
      <c r="I81" s="1" t="s">
        <v>889</v>
      </c>
      <c r="J81" s="1" t="s">
        <v>891</v>
      </c>
      <c r="K81" s="7">
        <v>-0.01732137333745754</v>
      </c>
      <c r="L81" s="7">
        <v>-0.014861029293632517</v>
      </c>
      <c r="M81" s="8">
        <f t="shared" si="1"/>
        <v>15027412</v>
      </c>
    </row>
    <row r="82">
      <c r="A82" s="9">
        <v>45625.0</v>
      </c>
      <c r="B82" s="4">
        <v>1280.0</v>
      </c>
      <c r="C82" s="4">
        <v>1299.5</v>
      </c>
      <c r="D82" s="4">
        <v>1275.25</v>
      </c>
      <c r="E82" s="4">
        <v>1270.8</v>
      </c>
      <c r="F82" s="4">
        <v>1292.2</v>
      </c>
      <c r="G82" s="4">
        <v>1290.83</v>
      </c>
      <c r="H82" s="1" t="s">
        <v>900</v>
      </c>
      <c r="I82" s="1" t="s">
        <v>901</v>
      </c>
      <c r="J82" s="1" t="s">
        <v>902</v>
      </c>
      <c r="K82" s="7">
        <v>0.016839785961599064</v>
      </c>
      <c r="L82" s="7">
        <v>0.009072034757664273</v>
      </c>
      <c r="M82" s="8">
        <f t="shared" si="1"/>
        <v>13202307</v>
      </c>
    </row>
    <row r="83">
      <c r="A83" s="3">
        <v>45628.0</v>
      </c>
      <c r="B83" s="4">
        <v>1288.0</v>
      </c>
      <c r="C83" s="4">
        <v>1311.35</v>
      </c>
      <c r="D83" s="4">
        <v>1277.05</v>
      </c>
      <c r="E83" s="4">
        <v>1292.2</v>
      </c>
      <c r="F83" s="4">
        <v>1309.15</v>
      </c>
      <c r="G83" s="4">
        <v>1298.6</v>
      </c>
      <c r="H83" s="1" t="s">
        <v>912</v>
      </c>
      <c r="I83" s="1" t="s">
        <v>913</v>
      </c>
      <c r="J83" s="1" t="s">
        <v>915</v>
      </c>
      <c r="K83" s="7">
        <v>0.013117164525615264</v>
      </c>
      <c r="L83" s="7">
        <v>0.006006771344862055</v>
      </c>
      <c r="M83" s="8">
        <f t="shared" si="1"/>
        <v>11024152</v>
      </c>
    </row>
    <row r="84">
      <c r="A84" s="3">
        <v>45629.0</v>
      </c>
      <c r="B84" s="4">
        <v>1317.0</v>
      </c>
      <c r="C84" s="4">
        <v>1326.8</v>
      </c>
      <c r="D84" s="4">
        <v>1307.0</v>
      </c>
      <c r="E84" s="4">
        <v>1309.15</v>
      </c>
      <c r="F84" s="4">
        <v>1323.3</v>
      </c>
      <c r="G84" s="4">
        <v>1320.68</v>
      </c>
      <c r="H84" s="1" t="s">
        <v>924</v>
      </c>
      <c r="I84" s="1" t="s">
        <v>927</v>
      </c>
      <c r="J84" s="1" t="s">
        <v>929</v>
      </c>
      <c r="K84" s="7">
        <v>0.010808539892296423</v>
      </c>
      <c r="L84" s="7">
        <v>0.007460027475639661</v>
      </c>
      <c r="M84" s="8">
        <f t="shared" si="1"/>
        <v>16869482</v>
      </c>
    </row>
    <row r="85">
      <c r="A85" s="3">
        <v>45630.0</v>
      </c>
      <c r="B85" s="4">
        <v>1326.0</v>
      </c>
      <c r="C85" s="4">
        <v>1328.4</v>
      </c>
      <c r="D85" s="4">
        <v>1304.05</v>
      </c>
      <c r="E85" s="4">
        <v>1323.3</v>
      </c>
      <c r="F85" s="4">
        <v>1308.95</v>
      </c>
      <c r="G85" s="4">
        <v>1310.74</v>
      </c>
      <c r="H85" s="1" t="s">
        <v>936</v>
      </c>
      <c r="I85" s="1" t="s">
        <v>937</v>
      </c>
      <c r="J85" s="1" t="s">
        <v>938</v>
      </c>
      <c r="K85" s="7">
        <v>-0.010844101866545688</v>
      </c>
      <c r="L85" s="7">
        <v>4.211447368151756E-4</v>
      </c>
      <c r="M85" s="8">
        <f t="shared" si="1"/>
        <v>19608540</v>
      </c>
    </row>
    <row r="86">
      <c r="A86" s="3">
        <v>45631.0</v>
      </c>
      <c r="B86" s="4">
        <v>1314.35</v>
      </c>
      <c r="C86" s="4">
        <v>1329.95</v>
      </c>
      <c r="D86" s="4">
        <v>1306.15</v>
      </c>
      <c r="E86" s="4">
        <v>1308.95</v>
      </c>
      <c r="F86" s="4">
        <v>1322.05</v>
      </c>
      <c r="G86" s="4">
        <v>1319.78</v>
      </c>
      <c r="H86" s="1" t="s">
        <v>948</v>
      </c>
      <c r="I86" s="1" t="s">
        <v>949</v>
      </c>
      <c r="J86" s="1" t="s">
        <v>950</v>
      </c>
      <c r="K86" s="7">
        <v>0.010008021696779792</v>
      </c>
      <c r="L86" s="7">
        <v>0.009847777353177415</v>
      </c>
      <c r="M86" s="8">
        <f t="shared" si="1"/>
        <v>16858723</v>
      </c>
    </row>
    <row r="87">
      <c r="A87" s="3">
        <v>45632.0</v>
      </c>
      <c r="B87" s="4">
        <v>1323.9</v>
      </c>
      <c r="C87" s="4">
        <v>1323.9</v>
      </c>
      <c r="D87" s="4">
        <v>1310.0</v>
      </c>
      <c r="E87" s="4">
        <v>1322.05</v>
      </c>
      <c r="F87" s="4">
        <v>1311.55</v>
      </c>
      <c r="G87" s="4">
        <v>1314.49</v>
      </c>
      <c r="H87" s="1" t="s">
        <v>960</v>
      </c>
      <c r="I87" s="1" t="s">
        <v>961</v>
      </c>
      <c r="J87" s="1" t="s">
        <v>962</v>
      </c>
      <c r="K87" s="7">
        <v>-0.007942210960251125</v>
      </c>
      <c r="L87" s="7">
        <v>-0.0012384452251057204</v>
      </c>
      <c r="M87" s="8">
        <f t="shared" si="1"/>
        <v>9037514</v>
      </c>
    </row>
    <row r="88">
      <c r="A88" s="3">
        <v>45635.0</v>
      </c>
      <c r="B88" s="4">
        <v>1303.0</v>
      </c>
      <c r="C88" s="4">
        <v>1315.0</v>
      </c>
      <c r="D88" s="4">
        <v>1293.1</v>
      </c>
      <c r="E88" s="4">
        <v>1311.55</v>
      </c>
      <c r="F88" s="4">
        <v>1295.15</v>
      </c>
      <c r="G88" s="4">
        <v>1304.1</v>
      </c>
      <c r="H88" s="1" t="s">
        <v>969</v>
      </c>
      <c r="I88" s="1" t="s">
        <v>970</v>
      </c>
      <c r="J88" s="1" t="s">
        <v>972</v>
      </c>
      <c r="K88" s="7">
        <v>-0.01250428881857334</v>
      </c>
      <c r="L88" s="7">
        <v>-0.0023827083451522938</v>
      </c>
      <c r="M88" s="8">
        <f t="shared" si="1"/>
        <v>14650002</v>
      </c>
    </row>
    <row r="89">
      <c r="A89" s="9">
        <v>45636.0</v>
      </c>
      <c r="B89" s="4">
        <v>1289.25</v>
      </c>
      <c r="C89" s="4">
        <v>1294.9</v>
      </c>
      <c r="D89" s="4">
        <v>1280.2</v>
      </c>
      <c r="E89" s="4">
        <v>1295.15</v>
      </c>
      <c r="F89" s="4">
        <v>1284.85</v>
      </c>
      <c r="G89" s="4">
        <v>1286.46</v>
      </c>
      <c r="H89" s="1" t="s">
        <v>982</v>
      </c>
      <c r="I89" s="1" t="s">
        <v>985</v>
      </c>
      <c r="J89" s="1" t="s">
        <v>990</v>
      </c>
      <c r="K89" s="7">
        <v>-0.007952746786086694</v>
      </c>
      <c r="L89" s="7">
        <v>-3.635403550103874E-4</v>
      </c>
      <c r="M89" s="8">
        <f t="shared" si="1"/>
        <v>16043729</v>
      </c>
    </row>
    <row r="90">
      <c r="A90" s="9">
        <v>45637.0</v>
      </c>
      <c r="B90" s="4">
        <v>1285.0</v>
      </c>
      <c r="C90" s="4">
        <v>1290.0</v>
      </c>
      <c r="D90" s="4">
        <v>1276.05</v>
      </c>
      <c r="E90" s="4">
        <v>1284.85</v>
      </c>
      <c r="F90" s="4">
        <v>1278.2</v>
      </c>
      <c r="G90" s="4">
        <v>1282.33</v>
      </c>
      <c r="H90" s="1" t="s">
        <v>999</v>
      </c>
      <c r="I90" s="1" t="s">
        <v>1000</v>
      </c>
      <c r="J90" s="1" t="s">
        <v>1001</v>
      </c>
      <c r="K90" s="7">
        <v>-0.005175701443748191</v>
      </c>
      <c r="L90" s="7">
        <v>0.00129012334391844</v>
      </c>
      <c r="M90" s="8">
        <f t="shared" si="1"/>
        <v>11724373</v>
      </c>
    </row>
    <row r="91">
      <c r="A91" s="9">
        <v>45638.0</v>
      </c>
      <c r="B91" s="4">
        <v>1270.0</v>
      </c>
      <c r="C91" s="4">
        <v>1278.2</v>
      </c>
      <c r="D91" s="4">
        <v>1260.6</v>
      </c>
      <c r="E91" s="4">
        <v>1278.2</v>
      </c>
      <c r="F91" s="4">
        <v>1262.9</v>
      </c>
      <c r="G91" s="4">
        <v>1265.58</v>
      </c>
      <c r="H91" s="1" t="s">
        <v>1011</v>
      </c>
      <c r="I91" s="1" t="s">
        <v>1012</v>
      </c>
      <c r="J91" s="1" t="s">
        <v>1013</v>
      </c>
      <c r="K91" s="7">
        <v>-0.011969957753090248</v>
      </c>
      <c r="L91" s="7">
        <v>-0.00377813309092674</v>
      </c>
      <c r="M91" s="8">
        <f t="shared" si="1"/>
        <v>20906813</v>
      </c>
    </row>
    <row r="92">
      <c r="A92" s="9">
        <v>45639.0</v>
      </c>
      <c r="B92" s="4">
        <v>1260.0</v>
      </c>
      <c r="C92" s="4">
        <v>1275.2</v>
      </c>
      <c r="D92" s="4">
        <v>1239.6</v>
      </c>
      <c r="E92" s="4">
        <v>1262.9</v>
      </c>
      <c r="F92" s="4">
        <v>1272.85</v>
      </c>
      <c r="G92" s="4">
        <v>1257.5</v>
      </c>
      <c r="H92" s="1" t="s">
        <v>1024</v>
      </c>
      <c r="I92" s="1" t="s">
        <v>1026</v>
      </c>
      <c r="J92" s="1" t="s">
        <v>1027</v>
      </c>
      <c r="K92" s="7">
        <v>0.007878691899596023</v>
      </c>
      <c r="L92" s="7">
        <v>0.008945483874909814</v>
      </c>
      <c r="M92" s="8">
        <f t="shared" si="1"/>
        <v>28630222</v>
      </c>
    </row>
    <row r="93">
      <c r="A93" s="9">
        <v>45642.0</v>
      </c>
      <c r="B93" s="4">
        <v>1275.0</v>
      </c>
      <c r="C93" s="4">
        <v>1281.0</v>
      </c>
      <c r="D93" s="4">
        <v>1266.55</v>
      </c>
      <c r="E93" s="4">
        <v>1272.85</v>
      </c>
      <c r="F93" s="4">
        <v>1268.3</v>
      </c>
      <c r="G93" s="4">
        <v>1271.94</v>
      </c>
      <c r="H93" s="1" t="s">
        <v>1037</v>
      </c>
      <c r="I93" s="1" t="s">
        <v>1039</v>
      </c>
      <c r="J93" s="1" t="s">
        <v>1041</v>
      </c>
      <c r="K93" s="7">
        <v>-0.0035746553010959302</v>
      </c>
      <c r="L93" s="7">
        <v>-0.004039437506813115</v>
      </c>
      <c r="M93" s="8">
        <f t="shared" si="1"/>
        <v>9486781</v>
      </c>
    </row>
    <row r="94">
      <c r="A94" s="9">
        <v>45643.0</v>
      </c>
      <c r="B94" s="4">
        <v>1261.05</v>
      </c>
      <c r="C94" s="4">
        <v>1263.9</v>
      </c>
      <c r="D94" s="4">
        <v>1242.8</v>
      </c>
      <c r="E94" s="4">
        <v>1268.3</v>
      </c>
      <c r="F94" s="4">
        <v>1245.3</v>
      </c>
      <c r="G94" s="4">
        <v>1249.22</v>
      </c>
      <c r="H94" s="1" t="s">
        <v>1047</v>
      </c>
      <c r="I94" s="1" t="s">
        <v>1050</v>
      </c>
      <c r="J94" s="1" t="s">
        <v>1054</v>
      </c>
      <c r="K94" s="7">
        <v>-0.01813451076243791</v>
      </c>
      <c r="L94" s="7">
        <v>-0.013468730047733423</v>
      </c>
      <c r="M94" s="8">
        <f t="shared" si="1"/>
        <v>17462791</v>
      </c>
    </row>
    <row r="95">
      <c r="A95" s="9">
        <v>45644.0</v>
      </c>
      <c r="B95" s="4">
        <v>1240.65</v>
      </c>
      <c r="C95" s="4">
        <v>1259.95</v>
      </c>
      <c r="D95" s="4">
        <v>1240.65</v>
      </c>
      <c r="E95" s="4">
        <v>1245.3</v>
      </c>
      <c r="F95" s="4">
        <v>1253.25</v>
      </c>
      <c r="G95" s="4">
        <v>1252.58</v>
      </c>
      <c r="H95" s="1" t="s">
        <v>1060</v>
      </c>
      <c r="I95" s="1" t="s">
        <v>1062</v>
      </c>
      <c r="J95" s="1" t="s">
        <v>1065</v>
      </c>
      <c r="K95" s="7">
        <v>0.00638400385449293</v>
      </c>
      <c r="L95" s="7">
        <v>-0.0056356837606838205</v>
      </c>
      <c r="M95" s="8">
        <f t="shared" si="1"/>
        <v>12670179</v>
      </c>
    </row>
    <row r="96">
      <c r="A96" s="9">
        <v>45645.0</v>
      </c>
      <c r="B96" s="4">
        <v>1239.0</v>
      </c>
      <c r="C96" s="4">
        <v>1244.9</v>
      </c>
      <c r="D96" s="4">
        <v>1229.0</v>
      </c>
      <c r="E96" s="4">
        <v>1253.25</v>
      </c>
      <c r="F96" s="4">
        <v>1230.45</v>
      </c>
      <c r="G96" s="4">
        <v>1235.73</v>
      </c>
      <c r="H96" s="1" t="s">
        <v>1069</v>
      </c>
      <c r="I96" s="1" t="s">
        <v>1070</v>
      </c>
      <c r="J96" s="1" t="s">
        <v>1071</v>
      </c>
      <c r="K96" s="7">
        <v>-0.018192698982645087</v>
      </c>
      <c r="L96" s="7">
        <v>-0.010213295259898624</v>
      </c>
      <c r="M96" s="8">
        <f t="shared" si="1"/>
        <v>14244653</v>
      </c>
    </row>
    <row r="97">
      <c r="A97" s="9">
        <v>45646.0</v>
      </c>
      <c r="B97" s="4">
        <v>1224.0</v>
      </c>
      <c r="C97" s="4">
        <v>1239.5</v>
      </c>
      <c r="D97" s="4">
        <v>1201.5</v>
      </c>
      <c r="E97" s="4">
        <v>1230.45</v>
      </c>
      <c r="F97" s="4">
        <v>1205.3</v>
      </c>
      <c r="G97" s="4">
        <v>1215.95</v>
      </c>
      <c r="H97" s="1" t="s">
        <v>1080</v>
      </c>
      <c r="I97" s="1" t="s">
        <v>1081</v>
      </c>
      <c r="J97" s="1" t="s">
        <v>1082</v>
      </c>
      <c r="K97" s="7">
        <v>-0.020439676541102923</v>
      </c>
      <c r="L97" s="7">
        <v>-0.01520560127256106</v>
      </c>
      <c r="M97" s="8">
        <f t="shared" si="1"/>
        <v>20312896</v>
      </c>
    </row>
    <row r="98">
      <c r="A98" s="9">
        <v>45649.0</v>
      </c>
      <c r="B98" s="4">
        <v>1215.0</v>
      </c>
      <c r="C98" s="4">
        <v>1227.2</v>
      </c>
      <c r="D98" s="4">
        <v>1213.2</v>
      </c>
      <c r="E98" s="4">
        <v>1205.3</v>
      </c>
      <c r="F98" s="4">
        <v>1222.3</v>
      </c>
      <c r="G98" s="4">
        <v>1219.77</v>
      </c>
      <c r="H98" s="1" t="s">
        <v>1089</v>
      </c>
      <c r="I98" s="1" t="s">
        <v>1091</v>
      </c>
      <c r="J98" s="1" t="s">
        <v>1094</v>
      </c>
      <c r="K98" s="7">
        <v>0.014104372355430184</v>
      </c>
      <c r="L98" s="7">
        <v>0.007035506094329655</v>
      </c>
      <c r="M98" s="8">
        <f t="shared" si="1"/>
        <v>10052824</v>
      </c>
    </row>
    <row r="99">
      <c r="A99" s="9">
        <v>45650.0</v>
      </c>
      <c r="B99" s="4">
        <v>1222.3</v>
      </c>
      <c r="C99" s="4">
        <v>1233.55</v>
      </c>
      <c r="D99" s="4">
        <v>1221.0</v>
      </c>
      <c r="E99" s="4">
        <v>1222.3</v>
      </c>
      <c r="F99" s="4">
        <v>1222.75</v>
      </c>
      <c r="G99" s="4">
        <v>1227.14</v>
      </c>
      <c r="H99" s="1" t="s">
        <v>1098</v>
      </c>
      <c r="I99" s="1" t="s">
        <v>1099</v>
      </c>
      <c r="J99" s="1" t="s">
        <v>1100</v>
      </c>
      <c r="K99" s="7">
        <v>3.6815838992067864E-4</v>
      </c>
      <c r="L99" s="7">
        <v>-0.0010861580107310422</v>
      </c>
      <c r="M99" s="8">
        <f t="shared" si="1"/>
        <v>6734917</v>
      </c>
    </row>
    <row r="100">
      <c r="A100" s="9">
        <v>45652.0</v>
      </c>
      <c r="B100" s="4">
        <v>1224.25</v>
      </c>
      <c r="C100" s="4">
        <v>1227.7</v>
      </c>
      <c r="D100" s="4">
        <v>1214.25</v>
      </c>
      <c r="E100" s="4">
        <v>1222.75</v>
      </c>
      <c r="F100" s="4">
        <v>1216.55</v>
      </c>
      <c r="G100" s="4">
        <v>1219.74</v>
      </c>
      <c r="H100" s="1" t="s">
        <v>1109</v>
      </c>
      <c r="I100" s="1" t="s">
        <v>1111</v>
      </c>
      <c r="J100" s="1" t="s">
        <v>1112</v>
      </c>
      <c r="K100" s="7">
        <v>-0.0050705377223472054</v>
      </c>
      <c r="L100" s="7">
        <v>9.5036803054661E-4</v>
      </c>
      <c r="M100" s="8">
        <f t="shared" si="1"/>
        <v>10016178</v>
      </c>
    </row>
    <row r="101">
      <c r="A101" s="9">
        <v>45653.0</v>
      </c>
      <c r="B101" s="4">
        <v>1218.3</v>
      </c>
      <c r="C101" s="4">
        <v>1227.9</v>
      </c>
      <c r="D101" s="4">
        <v>1217.0</v>
      </c>
      <c r="E101" s="4">
        <v>1216.55</v>
      </c>
      <c r="F101" s="4">
        <v>1221.05</v>
      </c>
      <c r="G101" s="4">
        <v>1223.2</v>
      </c>
      <c r="H101" s="1" t="s">
        <v>1119</v>
      </c>
      <c r="I101" s="1" t="s">
        <v>1120</v>
      </c>
      <c r="J101" s="1" t="s">
        <v>1122</v>
      </c>
      <c r="K101" s="7">
        <v>0.00369898483416218</v>
      </c>
      <c r="L101" s="7">
        <v>0.0026610302229034166</v>
      </c>
      <c r="M101" s="8">
        <f t="shared" si="1"/>
        <v>7000397</v>
      </c>
    </row>
    <row r="102">
      <c r="A102" s="9">
        <v>45656.0</v>
      </c>
      <c r="B102" s="4">
        <v>1216.4</v>
      </c>
      <c r="C102" s="4">
        <v>1223.2</v>
      </c>
      <c r="D102" s="4">
        <v>1208.1</v>
      </c>
      <c r="E102" s="4">
        <v>1221.05</v>
      </c>
      <c r="F102" s="4">
        <v>1210.7</v>
      </c>
      <c r="G102" s="4">
        <v>1214.71</v>
      </c>
      <c r="H102" s="1" t="s">
        <v>1130</v>
      </c>
      <c r="I102" s="1" t="s">
        <v>1131</v>
      </c>
      <c r="J102" s="1" t="s">
        <v>1133</v>
      </c>
      <c r="K102" s="7">
        <v>-0.00847631137136064</v>
      </c>
      <c r="L102" s="7">
        <v>-0.007075848051937144</v>
      </c>
      <c r="M102" s="8">
        <f t="shared" si="1"/>
        <v>8818766</v>
      </c>
    </row>
    <row r="103">
      <c r="A103" s="9">
        <v>45657.0</v>
      </c>
      <c r="B103" s="4">
        <v>1208.0</v>
      </c>
      <c r="C103" s="4">
        <v>1219.1</v>
      </c>
      <c r="D103" s="4">
        <v>1206.15</v>
      </c>
      <c r="E103" s="4">
        <v>1210.7</v>
      </c>
      <c r="F103" s="4">
        <v>1215.45</v>
      </c>
      <c r="G103" s="4">
        <v>1213.08</v>
      </c>
      <c r="H103" s="1" t="s">
        <v>1142</v>
      </c>
      <c r="I103" s="1" t="s">
        <v>1144</v>
      </c>
      <c r="J103" s="1" t="s">
        <v>1146</v>
      </c>
      <c r="K103" s="7">
        <v>0.0039233501280251095</v>
      </c>
      <c r="L103" s="7">
        <v>-4.2292418239105594E-6</v>
      </c>
      <c r="M103" s="8">
        <f t="shared" si="1"/>
        <v>6405475</v>
      </c>
    </row>
    <row r="104">
      <c r="A104" s="3">
        <v>45658.0</v>
      </c>
      <c r="B104" s="4">
        <v>1214.85</v>
      </c>
      <c r="C104" s="4">
        <v>1226.3</v>
      </c>
      <c r="D104" s="4">
        <v>1211.6</v>
      </c>
      <c r="E104" s="4">
        <v>1215.45</v>
      </c>
      <c r="F104" s="4">
        <v>1221.25</v>
      </c>
      <c r="G104" s="4">
        <v>1221.01</v>
      </c>
      <c r="H104" s="1" t="s">
        <v>1156</v>
      </c>
      <c r="I104" s="1" t="s">
        <v>1157</v>
      </c>
      <c r="J104" s="1" t="s">
        <v>1158</v>
      </c>
      <c r="K104" s="7">
        <v>0.00477189518285405</v>
      </c>
      <c r="L104" s="7">
        <v>0.004148903775883162</v>
      </c>
      <c r="M104" s="8">
        <f t="shared" si="1"/>
        <v>5892590</v>
      </c>
    </row>
    <row r="105">
      <c r="A105" s="3">
        <v>45659.0</v>
      </c>
      <c r="B105" s="4">
        <v>1221.25</v>
      </c>
      <c r="C105" s="4">
        <v>1244.45</v>
      </c>
      <c r="D105" s="4">
        <v>1220.0</v>
      </c>
      <c r="E105" s="4">
        <v>1221.25</v>
      </c>
      <c r="F105" s="4">
        <v>1241.8</v>
      </c>
      <c r="G105" s="4">
        <v>1234.32</v>
      </c>
      <c r="H105" s="1" t="s">
        <v>1163</v>
      </c>
      <c r="I105" s="1" t="s">
        <v>1165</v>
      </c>
      <c r="J105" s="1" t="s">
        <v>1167</v>
      </c>
      <c r="K105" s="7">
        <v>0.016827021494370483</v>
      </c>
      <c r="L105" s="7">
        <v>0.01877403350054121</v>
      </c>
      <c r="M105" s="8">
        <f t="shared" si="1"/>
        <v>15486276</v>
      </c>
    </row>
    <row r="106">
      <c r="A106" s="3">
        <v>45660.0</v>
      </c>
      <c r="B106" s="4">
        <v>1243.9</v>
      </c>
      <c r="C106" s="4">
        <v>1262.05</v>
      </c>
      <c r="D106" s="4">
        <v>1235.5</v>
      </c>
      <c r="E106" s="4">
        <v>1241.8</v>
      </c>
      <c r="F106" s="4">
        <v>1251.15</v>
      </c>
      <c r="G106" s="4">
        <v>1250.34</v>
      </c>
      <c r="H106" s="1" t="s">
        <v>1175</v>
      </c>
      <c r="I106" s="1" t="s">
        <v>1177</v>
      </c>
      <c r="J106" s="1" t="s">
        <v>1179</v>
      </c>
      <c r="K106" s="7">
        <v>0.007529392816878835</v>
      </c>
      <c r="L106" s="7">
        <v>-0.0076027393012839265</v>
      </c>
      <c r="M106" s="8">
        <f t="shared" si="1"/>
        <v>15521102</v>
      </c>
    </row>
    <row r="107">
      <c r="A107" s="3">
        <v>45663.0</v>
      </c>
      <c r="B107" s="4">
        <v>1253.95</v>
      </c>
      <c r="C107" s="4">
        <v>1262.0</v>
      </c>
      <c r="D107" s="4">
        <v>1215.0</v>
      </c>
      <c r="E107" s="4">
        <v>1251.15</v>
      </c>
      <c r="F107" s="4">
        <v>1218.0</v>
      </c>
      <c r="G107" s="4">
        <v>1235.67</v>
      </c>
      <c r="H107" s="1" t="s">
        <v>1189</v>
      </c>
      <c r="I107" s="1" t="s">
        <v>1191</v>
      </c>
      <c r="J107" s="1" t="s">
        <v>1193</v>
      </c>
      <c r="K107" s="7">
        <v>-0.026495624025896246</v>
      </c>
      <c r="L107" s="7">
        <v>-0.016192628542267707</v>
      </c>
      <c r="M107" s="8">
        <f t="shared" si="1"/>
        <v>14816766</v>
      </c>
    </row>
    <row r="108">
      <c r="A108" s="3">
        <v>45664.0</v>
      </c>
      <c r="B108" s="4">
        <v>1222.0</v>
      </c>
      <c r="C108" s="4">
        <v>1244.5</v>
      </c>
      <c r="D108" s="4">
        <v>1221.25</v>
      </c>
      <c r="E108" s="4">
        <v>1218.0</v>
      </c>
      <c r="F108" s="4">
        <v>1240.85</v>
      </c>
      <c r="G108" s="4">
        <v>1237.63</v>
      </c>
      <c r="H108" s="1" t="s">
        <v>1216</v>
      </c>
      <c r="I108" s="1" t="s">
        <v>1217</v>
      </c>
      <c r="J108" s="1" t="s">
        <v>1218</v>
      </c>
      <c r="K108" s="7">
        <v>0.01876026272577989</v>
      </c>
      <c r="L108" s="7">
        <v>0.003889304096155038</v>
      </c>
      <c r="M108" s="8">
        <f t="shared" si="1"/>
        <v>10070505</v>
      </c>
    </row>
    <row r="109">
      <c r="A109" s="3">
        <v>45665.0</v>
      </c>
      <c r="B109" s="4">
        <v>1249.0</v>
      </c>
      <c r="C109" s="4">
        <v>1271.05</v>
      </c>
      <c r="D109" s="4">
        <v>1245.35</v>
      </c>
      <c r="E109" s="4">
        <v>1240.85</v>
      </c>
      <c r="F109" s="4">
        <v>1265.5</v>
      </c>
      <c r="G109" s="4">
        <v>1263.24</v>
      </c>
      <c r="H109" s="1" t="s">
        <v>1228</v>
      </c>
      <c r="I109" s="1" t="s">
        <v>1229</v>
      </c>
      <c r="J109" s="1" t="s">
        <v>1230</v>
      </c>
      <c r="K109" s="7">
        <v>0.019865414836604017</v>
      </c>
      <c r="L109" s="7">
        <v>-7.993116218644725E-4</v>
      </c>
      <c r="M109" s="8">
        <f t="shared" si="1"/>
        <v>19346579</v>
      </c>
    </row>
    <row r="110">
      <c r="A110" s="3">
        <v>45666.0</v>
      </c>
      <c r="B110" s="4">
        <v>1267.0</v>
      </c>
      <c r="C110" s="4">
        <v>1269.75</v>
      </c>
      <c r="D110" s="4">
        <v>1248.05</v>
      </c>
      <c r="E110" s="4">
        <v>1265.5</v>
      </c>
      <c r="F110" s="4">
        <v>1254.75</v>
      </c>
      <c r="G110" s="4">
        <v>1257.46</v>
      </c>
      <c r="H110" s="1" t="s">
        <v>1245</v>
      </c>
      <c r="I110" s="1" t="s">
        <v>1247</v>
      </c>
      <c r="J110" s="1" t="s">
        <v>1248</v>
      </c>
      <c r="K110" s="7">
        <v>-0.008494666139865666</v>
      </c>
      <c r="L110" s="7">
        <v>-0.006857627712498896</v>
      </c>
      <c r="M110" s="8">
        <f t="shared" si="1"/>
        <v>12794704</v>
      </c>
    </row>
    <row r="111">
      <c r="A111" s="9">
        <v>45667.0</v>
      </c>
      <c r="B111" s="4">
        <v>1253.85</v>
      </c>
      <c r="C111" s="4">
        <v>1256.75</v>
      </c>
      <c r="D111" s="4">
        <v>1236.0</v>
      </c>
      <c r="E111" s="4">
        <v>1254.75</v>
      </c>
      <c r="F111" s="4">
        <v>1241.9</v>
      </c>
      <c r="G111" s="4">
        <v>1245.97</v>
      </c>
      <c r="H111" s="1" t="s">
        <v>1258</v>
      </c>
      <c r="I111" s="1" t="s">
        <v>1259</v>
      </c>
      <c r="J111" s="1" t="s">
        <v>1260</v>
      </c>
      <c r="K111" s="7">
        <v>-0.010241083881251173</v>
      </c>
      <c r="L111" s="7">
        <v>-0.00403799970246318</v>
      </c>
      <c r="M111" s="8">
        <f t="shared" si="1"/>
        <v>8120332</v>
      </c>
    </row>
    <row r="112">
      <c r="A112" s="9">
        <v>45670.0</v>
      </c>
      <c r="B112" s="4">
        <v>1230.0</v>
      </c>
      <c r="C112" s="4">
        <v>1245.25</v>
      </c>
      <c r="D112" s="4">
        <v>1226.4</v>
      </c>
      <c r="E112" s="4">
        <v>1241.9</v>
      </c>
      <c r="F112" s="4">
        <v>1239.85</v>
      </c>
      <c r="G112" s="4">
        <v>1238.1</v>
      </c>
      <c r="H112" s="1" t="s">
        <v>1266</v>
      </c>
      <c r="I112" s="1" t="s">
        <v>1268</v>
      </c>
      <c r="J112" s="1" t="s">
        <v>1269</v>
      </c>
      <c r="K112" s="7">
        <v>-0.001650696513407023</v>
      </c>
      <c r="L112" s="7">
        <v>-0.014747241960608552</v>
      </c>
      <c r="M112" s="8">
        <f t="shared" si="1"/>
        <v>13764861</v>
      </c>
    </row>
    <row r="113">
      <c r="A113" s="9">
        <v>45671.0</v>
      </c>
      <c r="B113" s="4">
        <v>1244.1</v>
      </c>
      <c r="C113" s="4">
        <v>1253.35</v>
      </c>
      <c r="D113" s="4">
        <v>1227.25</v>
      </c>
      <c r="E113" s="4">
        <v>1239.85</v>
      </c>
      <c r="F113" s="4">
        <v>1238.75</v>
      </c>
      <c r="G113" s="4">
        <v>1236.46</v>
      </c>
      <c r="H113" s="1" t="s">
        <v>1279</v>
      </c>
      <c r="I113" s="1" t="s">
        <v>1280</v>
      </c>
      <c r="J113" s="1" t="s">
        <v>1281</v>
      </c>
      <c r="K113" s="7">
        <v>-8.872040972697577E-4</v>
      </c>
      <c r="L113" s="7">
        <v>0.0039028066854514777</v>
      </c>
      <c r="M113" s="8">
        <f t="shared" si="1"/>
        <v>13095266</v>
      </c>
    </row>
    <row r="114">
      <c r="A114" s="9">
        <v>45672.0</v>
      </c>
      <c r="B114" s="4">
        <v>1244.95</v>
      </c>
      <c r="C114" s="4">
        <v>1257.0</v>
      </c>
      <c r="D114" s="4">
        <v>1241.85</v>
      </c>
      <c r="E114" s="4">
        <v>1238.75</v>
      </c>
      <c r="F114" s="4">
        <v>1252.2</v>
      </c>
      <c r="G114" s="4">
        <v>1250.11</v>
      </c>
      <c r="H114" s="1" t="s">
        <v>1291</v>
      </c>
      <c r="I114" s="1" t="s">
        <v>1292</v>
      </c>
      <c r="J114" s="1" t="s">
        <v>1293</v>
      </c>
      <c r="K114" s="7">
        <v>0.010857719475277534</v>
      </c>
      <c r="L114" s="7">
        <v>0.0016029478707545702</v>
      </c>
      <c r="M114" s="8">
        <f t="shared" si="1"/>
        <v>9578856</v>
      </c>
    </row>
    <row r="115">
      <c r="A115" s="9">
        <v>45673.0</v>
      </c>
      <c r="B115" s="4">
        <v>1258.9</v>
      </c>
      <c r="C115" s="4">
        <v>1275.0</v>
      </c>
      <c r="D115" s="4">
        <v>1251.3</v>
      </c>
      <c r="E115" s="4">
        <v>1252.2</v>
      </c>
      <c r="F115" s="4">
        <v>1266.45</v>
      </c>
      <c r="G115" s="4">
        <v>1262.86</v>
      </c>
      <c r="H115" s="1" t="s">
        <v>1300</v>
      </c>
      <c r="I115" s="1" t="s">
        <v>1301</v>
      </c>
      <c r="J115" s="1" t="s">
        <v>1302</v>
      </c>
      <c r="K115" s="7">
        <v>0.011379971250598945</v>
      </c>
      <c r="L115" s="7">
        <v>0.004247583271586793</v>
      </c>
      <c r="M115" s="8">
        <f t="shared" si="1"/>
        <v>14117603</v>
      </c>
    </row>
    <row r="116">
      <c r="A116" s="9">
        <v>45674.0</v>
      </c>
      <c r="B116" s="4">
        <v>1322.25</v>
      </c>
      <c r="C116" s="4">
        <v>1326.0</v>
      </c>
      <c r="D116" s="4">
        <v>1285.0</v>
      </c>
      <c r="E116" s="4">
        <v>1266.45</v>
      </c>
      <c r="F116" s="4">
        <v>1302.35</v>
      </c>
      <c r="G116" s="4">
        <v>1300.8</v>
      </c>
      <c r="H116" s="1" t="s">
        <v>1311</v>
      </c>
      <c r="I116" s="1" t="s">
        <v>1312</v>
      </c>
      <c r="J116" s="1" t="s">
        <v>1313</v>
      </c>
      <c r="K116" s="7">
        <v>0.028346954084251145</v>
      </c>
      <c r="L116" s="7">
        <v>-0.0046585849226571325</v>
      </c>
      <c r="M116" s="8">
        <f t="shared" si="1"/>
        <v>29366277</v>
      </c>
    </row>
    <row r="117">
      <c r="A117" s="9">
        <v>45677.0</v>
      </c>
      <c r="B117" s="4">
        <v>1316.0</v>
      </c>
      <c r="C117" s="4">
        <v>1316.0</v>
      </c>
      <c r="D117" s="4">
        <v>1300.25</v>
      </c>
      <c r="E117" s="4">
        <v>1302.35</v>
      </c>
      <c r="F117" s="4">
        <v>1305.45</v>
      </c>
      <c r="G117" s="4">
        <v>1307.82</v>
      </c>
      <c r="H117" s="1" t="s">
        <v>1321</v>
      </c>
      <c r="I117" s="1" t="s">
        <v>1323</v>
      </c>
      <c r="J117" s="1" t="s">
        <v>1325</v>
      </c>
      <c r="K117" s="7">
        <v>0.0023803125119976477</v>
      </c>
      <c r="L117" s="7">
        <v>0.006100451661839715</v>
      </c>
      <c r="M117" s="8">
        <f t="shared" si="1"/>
        <v>14040244</v>
      </c>
    </row>
    <row r="118">
      <c r="A118" s="9">
        <v>45678.0</v>
      </c>
      <c r="B118" s="4">
        <v>1310.5</v>
      </c>
      <c r="C118" s="4">
        <v>1313.0</v>
      </c>
      <c r="D118" s="4">
        <v>1270.2</v>
      </c>
      <c r="E118" s="4">
        <v>1305.45</v>
      </c>
      <c r="F118" s="4">
        <v>1273.7</v>
      </c>
      <c r="G118" s="4">
        <v>1284.79</v>
      </c>
      <c r="H118" s="1" t="s">
        <v>1332</v>
      </c>
      <c r="I118" s="1" t="s">
        <v>1333</v>
      </c>
      <c r="J118" s="1" t="s">
        <v>1334</v>
      </c>
      <c r="K118" s="7">
        <v>-0.024321115324217702</v>
      </c>
      <c r="L118" s="7">
        <v>-0.013711862410177815</v>
      </c>
      <c r="M118" s="8">
        <f t="shared" si="1"/>
        <v>14562976</v>
      </c>
    </row>
    <row r="119">
      <c r="A119" s="9">
        <v>45679.0</v>
      </c>
      <c r="B119" s="4">
        <v>1278.3</v>
      </c>
      <c r="C119" s="4">
        <v>1282.9</v>
      </c>
      <c r="D119" s="4">
        <v>1268.7</v>
      </c>
      <c r="E119" s="4">
        <v>1273.7</v>
      </c>
      <c r="F119" s="4">
        <v>1277.1</v>
      </c>
      <c r="G119" s="4">
        <v>1276.09</v>
      </c>
      <c r="H119" s="1" t="s">
        <v>1343</v>
      </c>
      <c r="I119" s="1" t="s">
        <v>1344</v>
      </c>
      <c r="J119" s="1" t="s">
        <v>1345</v>
      </c>
      <c r="K119" s="7">
        <v>0.0026693883960115126</v>
      </c>
      <c r="L119" s="7">
        <v>0.005676524941747088</v>
      </c>
      <c r="M119" s="8">
        <f t="shared" si="1"/>
        <v>10273590</v>
      </c>
    </row>
    <row r="120">
      <c r="A120" s="9">
        <v>45680.0</v>
      </c>
      <c r="B120" s="4">
        <v>1270.0</v>
      </c>
      <c r="C120" s="4">
        <v>1277.35</v>
      </c>
      <c r="D120" s="4">
        <v>1261.6</v>
      </c>
      <c r="E120" s="4">
        <v>1277.1</v>
      </c>
      <c r="F120" s="4">
        <v>1263.65</v>
      </c>
      <c r="G120" s="4">
        <v>1267.52</v>
      </c>
      <c r="H120" s="1" t="s">
        <v>1349</v>
      </c>
      <c r="I120" s="1" t="s">
        <v>1350</v>
      </c>
      <c r="J120" s="1" t="s">
        <v>1351</v>
      </c>
      <c r="K120" s="7">
        <v>-0.010531673322370856</v>
      </c>
      <c r="L120" s="7">
        <v>0.0021593281898135853</v>
      </c>
      <c r="M120" s="8">
        <f t="shared" si="1"/>
        <v>8720682</v>
      </c>
    </row>
    <row r="121">
      <c r="A121" s="9">
        <v>45681.0</v>
      </c>
      <c r="B121" s="4">
        <v>1266.0</v>
      </c>
      <c r="C121" s="4">
        <v>1273.0</v>
      </c>
      <c r="D121" s="4">
        <v>1243.5</v>
      </c>
      <c r="E121" s="4">
        <v>1263.65</v>
      </c>
      <c r="F121" s="4">
        <v>1246.3</v>
      </c>
      <c r="G121" s="4">
        <v>1252.27</v>
      </c>
      <c r="H121" s="1" t="s">
        <v>1361</v>
      </c>
      <c r="I121" s="1" t="s">
        <v>1362</v>
      </c>
      <c r="J121" s="1" t="s">
        <v>1363</v>
      </c>
      <c r="K121" s="7">
        <v>-0.013730067661140455</v>
      </c>
      <c r="L121" s="7">
        <v>-0.004876030742910485</v>
      </c>
      <c r="M121" s="8">
        <f t="shared" si="1"/>
        <v>14235970</v>
      </c>
    </row>
    <row r="122">
      <c r="A122" s="9">
        <v>45684.0</v>
      </c>
      <c r="B122" s="4">
        <v>1239.1</v>
      </c>
      <c r="C122" s="4">
        <v>1240.45</v>
      </c>
      <c r="D122" s="4">
        <v>1220.0</v>
      </c>
      <c r="E122" s="4">
        <v>1246.3</v>
      </c>
      <c r="F122" s="4">
        <v>1229.35</v>
      </c>
      <c r="G122" s="4">
        <v>1229.35</v>
      </c>
      <c r="H122" s="1" t="s">
        <v>1373</v>
      </c>
      <c r="I122" s="1" t="s">
        <v>1375</v>
      </c>
      <c r="J122" s="1" t="s">
        <v>1377</v>
      </c>
      <c r="K122" s="7">
        <v>-0.013600256760009666</v>
      </c>
      <c r="L122" s="7">
        <v>-0.011391292297832136</v>
      </c>
      <c r="M122" s="8">
        <f t="shared" si="1"/>
        <v>9536019</v>
      </c>
    </row>
    <row r="123">
      <c r="A123" s="9">
        <v>45685.0</v>
      </c>
      <c r="B123" s="4">
        <v>1238.0</v>
      </c>
      <c r="C123" s="4">
        <v>1244.75</v>
      </c>
      <c r="D123" s="4">
        <v>1218.5</v>
      </c>
      <c r="E123" s="4">
        <v>1229.35</v>
      </c>
      <c r="F123" s="4">
        <v>1234.4</v>
      </c>
      <c r="G123" s="4">
        <v>1232.65</v>
      </c>
      <c r="H123" s="1" t="s">
        <v>1383</v>
      </c>
      <c r="I123" s="1" t="s">
        <v>1387</v>
      </c>
      <c r="J123" s="1" t="s">
        <v>1389</v>
      </c>
      <c r="K123" s="7">
        <v>0.00410786187822848</v>
      </c>
      <c r="L123" s="7">
        <v>0.005611247024089751</v>
      </c>
      <c r="M123" s="8">
        <f t="shared" si="1"/>
        <v>10568025</v>
      </c>
    </row>
    <row r="124">
      <c r="A124" s="9">
        <v>45686.0</v>
      </c>
      <c r="B124" s="4">
        <v>1236.0</v>
      </c>
      <c r="C124" s="4">
        <v>1242.75</v>
      </c>
      <c r="D124" s="4">
        <v>1228.05</v>
      </c>
      <c r="E124" s="4">
        <v>1234.4</v>
      </c>
      <c r="F124" s="4">
        <v>1235.5</v>
      </c>
      <c r="G124" s="4">
        <v>1236.66</v>
      </c>
      <c r="H124" s="1" t="s">
        <v>1397</v>
      </c>
      <c r="I124" s="1" t="s">
        <v>1398</v>
      </c>
      <c r="J124" s="1" t="s">
        <v>1399</v>
      </c>
      <c r="K124" s="7">
        <v>8.911211924821039E-4</v>
      </c>
      <c r="L124" s="7">
        <v>0.008966666303673067</v>
      </c>
      <c r="M124" s="8">
        <f t="shared" si="1"/>
        <v>5928156</v>
      </c>
    </row>
    <row r="125">
      <c r="A125" s="9">
        <v>45687.0</v>
      </c>
      <c r="B125" s="4">
        <v>1235.55</v>
      </c>
      <c r="C125" s="4">
        <v>1257.0</v>
      </c>
      <c r="D125" s="4">
        <v>1232.4</v>
      </c>
      <c r="E125" s="4">
        <v>1235.5</v>
      </c>
      <c r="F125" s="4">
        <v>1253.05</v>
      </c>
      <c r="G125" s="4">
        <v>1249.15</v>
      </c>
      <c r="H125" s="1" t="s">
        <v>1409</v>
      </c>
      <c r="I125" s="1" t="s">
        <v>1410</v>
      </c>
      <c r="J125" s="1" t="s">
        <v>1411</v>
      </c>
      <c r="K125" s="7">
        <v>0.014204775394577058</v>
      </c>
      <c r="L125" s="7">
        <v>0.00373007067275112</v>
      </c>
      <c r="M125" s="8">
        <f t="shared" si="1"/>
        <v>9269259</v>
      </c>
    </row>
    <row r="126">
      <c r="A126" s="9">
        <v>45688.0</v>
      </c>
      <c r="B126" s="4">
        <v>1255.85</v>
      </c>
      <c r="C126" s="4">
        <v>1267.0</v>
      </c>
      <c r="D126" s="4">
        <v>1249.0</v>
      </c>
      <c r="E126" s="4">
        <v>1253.05</v>
      </c>
      <c r="F126" s="4">
        <v>1265.1</v>
      </c>
      <c r="G126" s="4">
        <v>1261.32</v>
      </c>
      <c r="H126" s="1" t="s">
        <v>1421</v>
      </c>
      <c r="I126" s="1" t="s">
        <v>1422</v>
      </c>
      <c r="J126" s="1" t="s">
        <v>1423</v>
      </c>
      <c r="K126" s="7">
        <v>0.009616535653006629</v>
      </c>
      <c r="L126" s="7">
        <v>0.011135723348889286</v>
      </c>
      <c r="M126" s="8">
        <f t="shared" si="1"/>
        <v>6584612</v>
      </c>
    </row>
    <row r="127">
      <c r="A127" s="3">
        <v>45689.0</v>
      </c>
      <c r="B127" s="4">
        <v>1265.1</v>
      </c>
      <c r="C127" s="4">
        <v>1270.55</v>
      </c>
      <c r="D127" s="4">
        <v>1241.0</v>
      </c>
      <c r="E127" s="4">
        <v>1265.1</v>
      </c>
      <c r="F127" s="4">
        <v>1264.6</v>
      </c>
      <c r="G127" s="4">
        <v>1260.42</v>
      </c>
      <c r="H127" s="1" t="s">
        <v>1435</v>
      </c>
      <c r="I127" s="1" t="s">
        <v>1437</v>
      </c>
      <c r="J127" s="1" t="s">
        <v>1440</v>
      </c>
      <c r="K127" s="7">
        <v>-3.9522567385977394E-4</v>
      </c>
      <c r="L127" s="7">
        <v>-0.0011166221435742116</v>
      </c>
      <c r="M127" s="8">
        <f t="shared" si="1"/>
        <v>7118453</v>
      </c>
    </row>
    <row r="128">
      <c r="A128" s="3">
        <v>45691.0</v>
      </c>
      <c r="B128" s="4">
        <v>1251.0</v>
      </c>
      <c r="C128" s="4">
        <v>1256.0</v>
      </c>
      <c r="D128" s="4">
        <v>1237.55</v>
      </c>
      <c r="E128" s="4">
        <v>1264.6</v>
      </c>
      <c r="F128" s="4">
        <v>1245.9</v>
      </c>
      <c r="G128" s="4">
        <v>1247.14</v>
      </c>
      <c r="H128" s="1" t="s">
        <v>1446</v>
      </c>
      <c r="I128" s="1" t="s">
        <v>1448</v>
      </c>
      <c r="J128" s="1" t="s">
        <v>1450</v>
      </c>
      <c r="K128" s="7">
        <v>-0.014787284516843129</v>
      </c>
      <c r="L128" s="7">
        <v>-0.005157108697457523</v>
      </c>
      <c r="M128" s="8">
        <f t="shared" si="1"/>
        <v>9252345</v>
      </c>
    </row>
    <row r="129">
      <c r="A129" s="3">
        <v>45692.0</v>
      </c>
      <c r="B129" s="4">
        <v>1248.05</v>
      </c>
      <c r="C129" s="4">
        <v>1288.8</v>
      </c>
      <c r="D129" s="4">
        <v>1246.6</v>
      </c>
      <c r="E129" s="4">
        <v>1245.9</v>
      </c>
      <c r="F129" s="4">
        <v>1285.2</v>
      </c>
      <c r="G129" s="4">
        <v>1273.65</v>
      </c>
      <c r="H129" s="1" t="s">
        <v>1460</v>
      </c>
      <c r="I129" s="1" t="s">
        <v>1461</v>
      </c>
      <c r="J129" s="1" t="s">
        <v>115</v>
      </c>
      <c r="K129" s="7">
        <v>0.031543462557187534</v>
      </c>
      <c r="L129" s="7">
        <v>0.016189340804458736</v>
      </c>
      <c r="M129" s="8">
        <f t="shared" si="1"/>
        <v>16691069</v>
      </c>
    </row>
    <row r="130">
      <c r="A130" s="3">
        <v>45693.0</v>
      </c>
      <c r="B130" s="4">
        <v>1282.65</v>
      </c>
      <c r="C130" s="4">
        <v>1290.5</v>
      </c>
      <c r="D130" s="4">
        <v>1276.7</v>
      </c>
      <c r="E130" s="4">
        <v>1285.2</v>
      </c>
      <c r="F130" s="4">
        <v>1278.2</v>
      </c>
      <c r="G130" s="4">
        <v>1281.97</v>
      </c>
      <c r="H130" s="1" t="s">
        <v>1474</v>
      </c>
      <c r="I130" s="1" t="s">
        <v>1475</v>
      </c>
      <c r="J130" s="1" t="s">
        <v>1476</v>
      </c>
      <c r="K130" s="7">
        <v>-0.005446623093681917</v>
      </c>
      <c r="L130" s="7">
        <v>-0.0018092399717767296</v>
      </c>
      <c r="M130" s="8">
        <f t="shared" si="1"/>
        <v>10112028</v>
      </c>
    </row>
    <row r="131">
      <c r="A131" s="3">
        <v>45694.0</v>
      </c>
      <c r="B131" s="4">
        <v>1273.7</v>
      </c>
      <c r="C131" s="4">
        <v>1288.0</v>
      </c>
      <c r="D131" s="4">
        <v>1270.35</v>
      </c>
      <c r="E131" s="4">
        <v>1278.2</v>
      </c>
      <c r="F131" s="4">
        <v>1281.55</v>
      </c>
      <c r="G131" s="4">
        <v>1279.27</v>
      </c>
      <c r="H131" s="1" t="s">
        <v>1483</v>
      </c>
      <c r="I131" s="1" t="s">
        <v>1484</v>
      </c>
      <c r="J131" s="1" t="s">
        <v>1485</v>
      </c>
      <c r="K131" s="7">
        <v>0.0026208731028007424</v>
      </c>
      <c r="L131" s="7">
        <v>-0.0039225533100104544</v>
      </c>
      <c r="M131" s="8">
        <f t="shared" si="1"/>
        <v>9956001</v>
      </c>
    </row>
    <row r="132">
      <c r="A132" s="3">
        <v>45695.0</v>
      </c>
      <c r="B132" s="4">
        <v>1276.15</v>
      </c>
      <c r="C132" s="4">
        <v>1283.7</v>
      </c>
      <c r="D132" s="4">
        <v>1262.0</v>
      </c>
      <c r="E132" s="4">
        <v>1281.55</v>
      </c>
      <c r="F132" s="4">
        <v>1266.7</v>
      </c>
      <c r="G132" s="4">
        <v>1270.98</v>
      </c>
      <c r="H132" s="1" t="s">
        <v>1493</v>
      </c>
      <c r="I132" s="1" t="s">
        <v>1495</v>
      </c>
      <c r="J132" s="1" t="s">
        <v>1497</v>
      </c>
      <c r="K132" s="7">
        <v>-0.011587530724513214</v>
      </c>
      <c r="L132" s="7">
        <v>-0.0018387220458112013</v>
      </c>
      <c r="M132" s="8">
        <f t="shared" si="1"/>
        <v>8764283</v>
      </c>
    </row>
    <row r="133">
      <c r="A133" s="9">
        <v>45698.0</v>
      </c>
      <c r="B133" s="4">
        <v>1264.5</v>
      </c>
      <c r="C133" s="4">
        <v>1266.5</v>
      </c>
      <c r="D133" s="4">
        <v>1245.55</v>
      </c>
      <c r="E133" s="4">
        <v>1266.7</v>
      </c>
      <c r="F133" s="4">
        <v>1253.65</v>
      </c>
      <c r="G133" s="4">
        <v>1251.52</v>
      </c>
      <c r="H133" s="1" t="s">
        <v>1504</v>
      </c>
      <c r="I133" s="1" t="s">
        <v>1505</v>
      </c>
      <c r="J133" s="1" t="s">
        <v>1506</v>
      </c>
      <c r="K133" s="7">
        <v>-0.010302360464198274</v>
      </c>
      <c r="L133" s="7">
        <v>-0.00757005002132866</v>
      </c>
      <c r="M133" s="8">
        <f t="shared" si="1"/>
        <v>6970972</v>
      </c>
    </row>
    <row r="134">
      <c r="A134" s="9">
        <v>45699.0</v>
      </c>
      <c r="B134" s="4">
        <v>1264.55</v>
      </c>
      <c r="C134" s="4">
        <v>1264.55</v>
      </c>
      <c r="D134" s="4">
        <v>1230.1</v>
      </c>
      <c r="E134" s="4">
        <v>1253.65</v>
      </c>
      <c r="F134" s="4">
        <v>1234.85</v>
      </c>
      <c r="G134" s="4">
        <v>1244.26</v>
      </c>
      <c r="H134" s="1" t="s">
        <v>1516</v>
      </c>
      <c r="I134" s="1" t="s">
        <v>1517</v>
      </c>
      <c r="J134" s="1" t="s">
        <v>1518</v>
      </c>
      <c r="K134" s="7">
        <v>-0.014996211063694158</v>
      </c>
      <c r="L134" s="7">
        <v>-0.013249734834228593</v>
      </c>
      <c r="M134" s="8">
        <f t="shared" si="1"/>
        <v>8859714</v>
      </c>
    </row>
    <row r="135">
      <c r="A135" s="9">
        <v>45700.0</v>
      </c>
      <c r="B135" s="4">
        <v>1219.45</v>
      </c>
      <c r="C135" s="4">
        <v>1226.9</v>
      </c>
      <c r="D135" s="4">
        <v>1193.35</v>
      </c>
      <c r="E135" s="4">
        <v>1234.85</v>
      </c>
      <c r="F135" s="4">
        <v>1216.55</v>
      </c>
      <c r="G135" s="4">
        <v>1211.39</v>
      </c>
      <c r="H135" s="1" t="s">
        <v>1528</v>
      </c>
      <c r="I135" s="1" t="s">
        <v>1530</v>
      </c>
      <c r="J135" s="1" t="s">
        <v>1532</v>
      </c>
      <c r="K135" s="7">
        <v>-0.01481961371826534</v>
      </c>
      <c r="L135" s="7">
        <v>-0.001150755467713801</v>
      </c>
      <c r="M135" s="8">
        <f t="shared" si="1"/>
        <v>21131654</v>
      </c>
    </row>
    <row r="136">
      <c r="A136" s="9">
        <v>45701.0</v>
      </c>
      <c r="B136" s="4">
        <v>1217.05</v>
      </c>
      <c r="C136" s="4">
        <v>1228.0</v>
      </c>
      <c r="D136" s="4">
        <v>1212.0</v>
      </c>
      <c r="E136" s="4">
        <v>1216.55</v>
      </c>
      <c r="F136" s="4">
        <v>1216.1</v>
      </c>
      <c r="G136" s="4">
        <v>1219.6</v>
      </c>
      <c r="H136" s="1" t="s">
        <v>1537</v>
      </c>
      <c r="I136" s="1" t="s">
        <v>1538</v>
      </c>
      <c r="J136" s="1" t="s">
        <v>1539</v>
      </c>
      <c r="K136" s="7">
        <v>-3.698984834162554E-4</v>
      </c>
      <c r="L136" s="7">
        <v>-6.009915275381497E-4</v>
      </c>
      <c r="M136" s="8">
        <f t="shared" si="1"/>
        <v>8511216</v>
      </c>
    </row>
    <row r="137">
      <c r="A137" s="9">
        <v>45702.0</v>
      </c>
      <c r="B137" s="4">
        <v>1219.0</v>
      </c>
      <c r="C137" s="4">
        <v>1224.0</v>
      </c>
      <c r="D137" s="4">
        <v>1205.45</v>
      </c>
      <c r="E137" s="4">
        <v>1216.1</v>
      </c>
      <c r="F137" s="4">
        <v>1217.25</v>
      </c>
      <c r="G137" s="4">
        <v>1215.1</v>
      </c>
      <c r="H137" s="1" t="s">
        <v>1552</v>
      </c>
      <c r="I137" s="1" t="s">
        <v>1553</v>
      </c>
      <c r="J137" s="1" t="s">
        <v>1554</v>
      </c>
      <c r="K137" s="7">
        <v>9.456459172766146E-4</v>
      </c>
      <c r="L137" s="7">
        <v>-0.004435249268390173</v>
      </c>
      <c r="M137" s="8">
        <f t="shared" si="1"/>
        <v>10298145</v>
      </c>
    </row>
    <row r="138">
      <c r="A138" s="9">
        <v>45705.0</v>
      </c>
      <c r="B138" s="4">
        <v>1211.1</v>
      </c>
      <c r="C138" s="4">
        <v>1227.5</v>
      </c>
      <c r="D138" s="4">
        <v>1204.5</v>
      </c>
      <c r="E138" s="4">
        <v>1217.25</v>
      </c>
      <c r="F138" s="4">
        <v>1224.9</v>
      </c>
      <c r="G138" s="4">
        <v>1219.62</v>
      </c>
      <c r="H138" s="1" t="s">
        <v>1561</v>
      </c>
      <c r="I138" s="1" t="s">
        <v>1564</v>
      </c>
      <c r="J138" s="1" t="s">
        <v>1566</v>
      </c>
      <c r="K138" s="7">
        <v>0.006284658040665509</v>
      </c>
      <c r="L138" s="7">
        <v>0.001319275597762683</v>
      </c>
      <c r="M138" s="8">
        <f t="shared" si="1"/>
        <v>8166683</v>
      </c>
    </row>
    <row r="139">
      <c r="A139" s="9">
        <v>45706.0</v>
      </c>
      <c r="B139" s="4">
        <v>1224.85</v>
      </c>
      <c r="C139" s="4">
        <v>1229.9</v>
      </c>
      <c r="D139" s="4">
        <v>1216.1</v>
      </c>
      <c r="E139" s="4">
        <v>1224.9</v>
      </c>
      <c r="F139" s="4">
        <v>1225.4</v>
      </c>
      <c r="G139" s="4">
        <v>1223.94</v>
      </c>
      <c r="H139" s="1" t="s">
        <v>1576</v>
      </c>
      <c r="I139" s="1" t="s">
        <v>1577</v>
      </c>
      <c r="J139" s="1" t="s">
        <v>1579</v>
      </c>
      <c r="K139" s="7">
        <v>4.081965874765287E-4</v>
      </c>
      <c r="L139" s="7">
        <v>-6.184803676038558E-4</v>
      </c>
      <c r="M139" s="8">
        <f t="shared" si="1"/>
        <v>6673250</v>
      </c>
    </row>
    <row r="140">
      <c r="A140" s="9">
        <v>45707.0</v>
      </c>
      <c r="B140" s="4">
        <v>1219.5</v>
      </c>
      <c r="C140" s="4">
        <v>1232.75</v>
      </c>
      <c r="D140" s="4">
        <v>1217.55</v>
      </c>
      <c r="E140" s="4">
        <v>1225.4</v>
      </c>
      <c r="F140" s="4">
        <v>1227.45</v>
      </c>
      <c r="G140" s="4">
        <v>1226.67</v>
      </c>
      <c r="H140" s="1" t="s">
        <v>1587</v>
      </c>
      <c r="I140" s="1" t="s">
        <v>1590</v>
      </c>
      <c r="J140" s="1" t="s">
        <v>1593</v>
      </c>
      <c r="K140" s="7">
        <v>0.0016729231271421204</v>
      </c>
      <c r="L140" s="7">
        <v>-5.404156842576832E-4</v>
      </c>
      <c r="M140" s="8">
        <f t="shared" si="1"/>
        <v>6217338</v>
      </c>
    </row>
    <row r="141">
      <c r="A141" s="9">
        <v>45708.0</v>
      </c>
      <c r="B141" s="4">
        <v>1223.95</v>
      </c>
      <c r="C141" s="4">
        <v>1239.35</v>
      </c>
      <c r="D141" s="4">
        <v>1222.0</v>
      </c>
      <c r="E141" s="4">
        <v>1227.45</v>
      </c>
      <c r="F141" s="4">
        <v>1233.0</v>
      </c>
      <c r="G141" s="4">
        <v>1233.94</v>
      </c>
      <c r="H141" s="1" t="s">
        <v>1603</v>
      </c>
      <c r="I141" s="1" t="s">
        <v>1604</v>
      </c>
      <c r="J141" s="1" t="s">
        <v>1605</v>
      </c>
      <c r="K141" s="7">
        <v>0.004521569106684553</v>
      </c>
      <c r="L141" s="7">
        <v>-8.612081332932162E-4</v>
      </c>
      <c r="M141" s="8">
        <f t="shared" si="1"/>
        <v>7795582</v>
      </c>
    </row>
    <row r="142">
      <c r="A142" s="9">
        <v>45709.0</v>
      </c>
      <c r="B142" s="4">
        <v>1228.7</v>
      </c>
      <c r="C142" s="4">
        <v>1240.0</v>
      </c>
      <c r="D142" s="4">
        <v>1222.15</v>
      </c>
      <c r="E142" s="4">
        <v>1233.0</v>
      </c>
      <c r="F142" s="4">
        <v>1228.15</v>
      </c>
      <c r="G142" s="4">
        <v>1231.37</v>
      </c>
      <c r="H142" s="1" t="s">
        <v>1619</v>
      </c>
      <c r="I142" s="1" t="s">
        <v>1622</v>
      </c>
      <c r="J142" s="1" t="s">
        <v>1623</v>
      </c>
      <c r="K142" s="7">
        <v>-0.003933495539334882</v>
      </c>
      <c r="L142" s="7">
        <v>-0.005117148886119979</v>
      </c>
      <c r="M142" s="8">
        <f t="shared" si="1"/>
        <v>6904025</v>
      </c>
    </row>
    <row r="143">
      <c r="A143" s="9">
        <v>45712.0</v>
      </c>
      <c r="B143" s="4">
        <v>1216.55</v>
      </c>
      <c r="C143" s="4">
        <v>1223.25</v>
      </c>
      <c r="D143" s="4">
        <v>1210.5</v>
      </c>
      <c r="E143" s="4">
        <v>1228.15</v>
      </c>
      <c r="F143" s="4">
        <v>1214.55</v>
      </c>
      <c r="G143" s="4">
        <v>1215.9</v>
      </c>
      <c r="H143" s="1" t="s">
        <v>1633</v>
      </c>
      <c r="I143" s="1" t="s">
        <v>1636</v>
      </c>
      <c r="J143" s="1" t="s">
        <v>1638</v>
      </c>
      <c r="K143" s="7">
        <v>-0.011073565932500211</v>
      </c>
      <c r="L143" s="7">
        <v>-0.010640071240881163</v>
      </c>
      <c r="M143" s="8">
        <f t="shared" si="1"/>
        <v>7172498</v>
      </c>
    </row>
    <row r="144">
      <c r="A144" s="9">
        <v>45713.0</v>
      </c>
      <c r="B144" s="4">
        <v>1211.0</v>
      </c>
      <c r="C144" s="4">
        <v>1221.0</v>
      </c>
      <c r="D144" s="4">
        <v>1201.5</v>
      </c>
      <c r="E144" s="4">
        <v>1214.55</v>
      </c>
      <c r="F144" s="4">
        <v>1204.0</v>
      </c>
      <c r="G144" s="4">
        <v>1209.6</v>
      </c>
      <c r="H144" s="1" t="s">
        <v>1651</v>
      </c>
      <c r="I144" s="1" t="s">
        <v>1653</v>
      </c>
      <c r="J144" s="1" t="s">
        <v>1655</v>
      </c>
      <c r="K144" s="7">
        <v>-0.008686344736733733</v>
      </c>
      <c r="L144" s="7">
        <v>-2.571680038663557E-4</v>
      </c>
      <c r="M144" s="8">
        <f t="shared" si="1"/>
        <v>11552182</v>
      </c>
    </row>
    <row r="145">
      <c r="A145" s="9">
        <v>45715.0</v>
      </c>
      <c r="B145" s="4">
        <v>1212.8</v>
      </c>
      <c r="C145" s="4">
        <v>1215.0</v>
      </c>
      <c r="D145" s="4">
        <v>1200.65</v>
      </c>
      <c r="E145" s="4">
        <v>1204.0</v>
      </c>
      <c r="F145" s="4">
        <v>1207.1</v>
      </c>
      <c r="G145" s="4">
        <v>1206.31</v>
      </c>
      <c r="H145" s="1" t="s">
        <v>1663</v>
      </c>
      <c r="I145" s="1" t="s">
        <v>1664</v>
      </c>
      <c r="J145" s="1" t="s">
        <v>1665</v>
      </c>
      <c r="K145" s="7">
        <v>0.0025747508305647084</v>
      </c>
      <c r="L145" s="7">
        <v>-1.1087679149175853E-4</v>
      </c>
      <c r="M145" s="8">
        <f t="shared" si="1"/>
        <v>11509215</v>
      </c>
    </row>
    <row r="146">
      <c r="A146" s="9">
        <v>45716.0</v>
      </c>
      <c r="B146" s="4">
        <v>1202.0</v>
      </c>
      <c r="C146" s="4">
        <v>1217.35</v>
      </c>
      <c r="D146" s="4">
        <v>1193.3</v>
      </c>
      <c r="E146" s="4">
        <v>1207.1</v>
      </c>
      <c r="F146" s="4">
        <v>1200.1</v>
      </c>
      <c r="G146" s="4">
        <v>1205.62</v>
      </c>
      <c r="H146" s="1" t="s">
        <v>1675</v>
      </c>
      <c r="I146" s="1" t="s">
        <v>1676</v>
      </c>
      <c r="J146" s="1" t="s">
        <v>1678</v>
      </c>
      <c r="K146" s="7">
        <v>-0.0057990224505012015</v>
      </c>
      <c r="L146" s="7">
        <v>-0.018644891007116797</v>
      </c>
      <c r="M146" s="8">
        <f t="shared" si="1"/>
        <v>23007298</v>
      </c>
    </row>
    <row r="147">
      <c r="A147" s="3">
        <v>45719.0</v>
      </c>
      <c r="B147" s="4">
        <v>1204.0</v>
      </c>
      <c r="C147" s="4">
        <v>1206.45</v>
      </c>
      <c r="D147" s="4">
        <v>1156.0</v>
      </c>
      <c r="E147" s="4">
        <v>1200.1</v>
      </c>
      <c r="F147" s="4">
        <v>1171.25</v>
      </c>
      <c r="G147" s="4">
        <v>1168.57</v>
      </c>
      <c r="H147" s="1" t="s">
        <v>1689</v>
      </c>
      <c r="I147" s="1" t="s">
        <v>1690</v>
      </c>
      <c r="J147" s="1" t="s">
        <v>1691</v>
      </c>
      <c r="K147" s="7">
        <v>-0.024039663361386476</v>
      </c>
      <c r="L147" s="7">
        <v>-2.4407110604896133E-4</v>
      </c>
      <c r="M147" s="8">
        <f t="shared" si="1"/>
        <v>17944938</v>
      </c>
    </row>
    <row r="148">
      <c r="A148" s="3">
        <v>45720.0</v>
      </c>
      <c r="B148" s="4">
        <v>1162.2</v>
      </c>
      <c r="C148" s="4">
        <v>1174.0</v>
      </c>
      <c r="D148" s="4">
        <v>1159.55</v>
      </c>
      <c r="E148" s="4">
        <v>1171.25</v>
      </c>
      <c r="F148" s="4">
        <v>1161.9</v>
      </c>
      <c r="G148" s="4">
        <v>1164.92</v>
      </c>
      <c r="H148" s="1" t="s">
        <v>1698</v>
      </c>
      <c r="I148" s="1" t="s">
        <v>1700</v>
      </c>
      <c r="J148" s="1" t="s">
        <v>1703</v>
      </c>
      <c r="K148" s="7">
        <v>-0.007982924226253924</v>
      </c>
      <c r="L148" s="7">
        <v>-0.001656924043708337</v>
      </c>
      <c r="M148" s="8">
        <f t="shared" si="1"/>
        <v>11377373</v>
      </c>
    </row>
    <row r="149">
      <c r="A149" s="3">
        <v>45721.0</v>
      </c>
      <c r="B149" s="4">
        <v>1161.0</v>
      </c>
      <c r="C149" s="4">
        <v>1183.0</v>
      </c>
      <c r="D149" s="4">
        <v>1157.0</v>
      </c>
      <c r="E149" s="4">
        <v>1161.9</v>
      </c>
      <c r="F149" s="4">
        <v>1175.6</v>
      </c>
      <c r="G149" s="4">
        <v>1173.4</v>
      </c>
      <c r="H149" s="1" t="s">
        <v>1711</v>
      </c>
      <c r="I149" s="1" t="s">
        <v>1713</v>
      </c>
      <c r="J149" s="1" t="s">
        <v>1717</v>
      </c>
      <c r="K149" s="7">
        <v>0.011791031930458573</v>
      </c>
      <c r="L149" s="7">
        <v>0.011531677583985519</v>
      </c>
      <c r="M149" s="8">
        <f t="shared" si="1"/>
        <v>8664095</v>
      </c>
    </row>
    <row r="150">
      <c r="A150" s="3">
        <v>45722.0</v>
      </c>
      <c r="B150" s="4">
        <v>1197.0</v>
      </c>
      <c r="C150" s="4">
        <v>1213.95</v>
      </c>
      <c r="D150" s="4">
        <v>1185.15</v>
      </c>
      <c r="E150" s="4">
        <v>1175.6</v>
      </c>
      <c r="F150" s="4">
        <v>1209.6</v>
      </c>
      <c r="G150" s="4">
        <v>1199.05</v>
      </c>
      <c r="H150" s="1" t="s">
        <v>1725</v>
      </c>
      <c r="I150" s="1" t="s">
        <v>1728</v>
      </c>
      <c r="J150" s="1" t="s">
        <v>1729</v>
      </c>
      <c r="K150" s="7">
        <v>0.02892140183735965</v>
      </c>
      <c r="L150" s="7">
        <v>0.009284918051868466</v>
      </c>
      <c r="M150" s="8">
        <f t="shared" si="1"/>
        <v>14468014</v>
      </c>
    </row>
    <row r="151">
      <c r="A151" s="3">
        <v>45723.0</v>
      </c>
      <c r="B151" s="4">
        <v>1216.0</v>
      </c>
      <c r="C151" s="4">
        <v>1254.8</v>
      </c>
      <c r="D151" s="4">
        <v>1212.0</v>
      </c>
      <c r="E151" s="4">
        <v>1209.6</v>
      </c>
      <c r="F151" s="4">
        <v>1249.8</v>
      </c>
      <c r="G151" s="4">
        <v>1243.95</v>
      </c>
      <c r="H151" s="1" t="s">
        <v>1738</v>
      </c>
      <c r="I151" s="1" t="s">
        <v>1740</v>
      </c>
      <c r="J151" s="1" t="s">
        <v>1741</v>
      </c>
      <c r="K151" s="7">
        <v>0.033234126984127026</v>
      </c>
      <c r="L151" s="7">
        <v>3.459793210820846E-4</v>
      </c>
      <c r="M151" s="8">
        <f t="shared" si="1"/>
        <v>16474965</v>
      </c>
    </row>
    <row r="152">
      <c r="A152" s="9">
        <v>45726.0</v>
      </c>
      <c r="B152" s="4">
        <v>1245.0</v>
      </c>
      <c r="C152" s="4">
        <v>1258.0</v>
      </c>
      <c r="D152" s="4">
        <v>1235.4</v>
      </c>
      <c r="E152" s="4">
        <v>1249.8</v>
      </c>
      <c r="F152" s="4">
        <v>1238.4</v>
      </c>
      <c r="G152" s="4">
        <v>1245.85</v>
      </c>
      <c r="H152" s="1" t="s">
        <v>1751</v>
      </c>
      <c r="I152" s="1" t="s">
        <v>1752</v>
      </c>
      <c r="J152" s="1" t="s">
        <v>1754</v>
      </c>
      <c r="K152" s="7">
        <v>-0.009121459433509253</v>
      </c>
      <c r="L152" s="7">
        <v>-0.004088238554484014</v>
      </c>
      <c r="M152" s="8">
        <f t="shared" si="1"/>
        <v>11931051</v>
      </c>
    </row>
    <row r="153">
      <c r="A153" s="9">
        <v>45727.0</v>
      </c>
      <c r="B153" s="4">
        <v>1240.0</v>
      </c>
      <c r="C153" s="4">
        <v>1249.5</v>
      </c>
      <c r="D153" s="4">
        <v>1229.75</v>
      </c>
      <c r="E153" s="4">
        <v>1238.4</v>
      </c>
      <c r="F153" s="4">
        <v>1247.3</v>
      </c>
      <c r="G153" s="4">
        <v>1241.71</v>
      </c>
      <c r="H153" s="1" t="s">
        <v>1765</v>
      </c>
      <c r="I153" s="1" t="s">
        <v>1766</v>
      </c>
      <c r="J153" s="1" t="s">
        <v>1767</v>
      </c>
      <c r="K153" s="7">
        <v>0.007186692506459837</v>
      </c>
      <c r="L153" s="7">
        <v>0.0016740649056335927</v>
      </c>
      <c r="M153" s="8">
        <f t="shared" si="1"/>
        <v>10089838</v>
      </c>
    </row>
    <row r="154">
      <c r="A154" s="9">
        <v>45728.0</v>
      </c>
      <c r="B154" s="4">
        <v>1258.0</v>
      </c>
      <c r="C154" s="4">
        <v>1263.0</v>
      </c>
      <c r="D154" s="4">
        <v>1244.0</v>
      </c>
      <c r="E154" s="4">
        <v>1247.3</v>
      </c>
      <c r="F154" s="4">
        <v>1257.05</v>
      </c>
      <c r="G154" s="4">
        <v>1252.97</v>
      </c>
      <c r="H154" s="1" t="s">
        <v>1777</v>
      </c>
      <c r="I154" s="1" t="s">
        <v>1778</v>
      </c>
      <c r="J154" s="1" t="s">
        <v>1779</v>
      </c>
      <c r="K154" s="7">
        <v>0.007816884470456186</v>
      </c>
      <c r="L154" s="7">
        <v>-0.0012178914476462894</v>
      </c>
      <c r="M154" s="8">
        <f t="shared" si="1"/>
        <v>11977555</v>
      </c>
    </row>
    <row r="155">
      <c r="A155" s="9">
        <v>45729.0</v>
      </c>
      <c r="B155" s="4">
        <v>1260.05</v>
      </c>
      <c r="C155" s="4">
        <v>1264.15</v>
      </c>
      <c r="D155" s="4">
        <v>1243.85</v>
      </c>
      <c r="E155" s="4">
        <v>1257.05</v>
      </c>
      <c r="F155" s="4">
        <v>1247.9</v>
      </c>
      <c r="G155" s="4">
        <v>1254.23</v>
      </c>
      <c r="H155" s="1" t="s">
        <v>1790</v>
      </c>
      <c r="I155" s="1" t="s">
        <v>1793</v>
      </c>
      <c r="J155" s="1" t="s">
        <v>803</v>
      </c>
      <c r="K155" s="7">
        <v>-0.007278946740384124</v>
      </c>
      <c r="L155" s="7">
        <v>-0.003262054693932012</v>
      </c>
      <c r="M155" s="8">
        <f t="shared" si="1"/>
        <v>9505270</v>
      </c>
    </row>
    <row r="156">
      <c r="A156" s="9">
        <v>45733.0</v>
      </c>
      <c r="B156" s="4">
        <v>1242.15</v>
      </c>
      <c r="C156" s="4">
        <v>1257.4</v>
      </c>
      <c r="D156" s="4">
        <v>1233.1</v>
      </c>
      <c r="E156" s="4">
        <v>1247.9</v>
      </c>
      <c r="F156" s="4">
        <v>1238.85</v>
      </c>
      <c r="G156" s="4">
        <v>1239.76</v>
      </c>
      <c r="H156" s="1" t="s">
        <v>1802</v>
      </c>
      <c r="I156" s="1" t="s">
        <v>1804</v>
      </c>
      <c r="J156" s="1" t="s">
        <v>1806</v>
      </c>
      <c r="K156" s="7">
        <v>-0.007252183668563331</v>
      </c>
      <c r="L156" s="7">
        <v>0.0049805332809458</v>
      </c>
      <c r="M156" s="8">
        <f t="shared" si="1"/>
        <v>16640952</v>
      </c>
    </row>
    <row r="157">
      <c r="A157" s="9">
        <v>45734.0</v>
      </c>
      <c r="B157" s="4">
        <v>1244.7</v>
      </c>
      <c r="C157" s="4">
        <v>1248.35</v>
      </c>
      <c r="D157" s="4">
        <v>1235.0</v>
      </c>
      <c r="E157" s="4">
        <v>1238.85</v>
      </c>
      <c r="F157" s="4">
        <v>1238.8</v>
      </c>
      <c r="G157" s="4">
        <v>1238.98</v>
      </c>
      <c r="H157" s="1" t="s">
        <v>1815</v>
      </c>
      <c r="I157" s="1" t="s">
        <v>1816</v>
      </c>
      <c r="J157" s="1" t="s">
        <v>1819</v>
      </c>
      <c r="K157" s="7">
        <v>-4.036001130076646E-5</v>
      </c>
      <c r="L157" s="7">
        <v>0.014463264286110925</v>
      </c>
      <c r="M157" s="8">
        <f t="shared" si="1"/>
        <v>15745877</v>
      </c>
    </row>
    <row r="158">
      <c r="A158" s="9">
        <v>45735.0</v>
      </c>
      <c r="B158" s="4">
        <v>1241.05</v>
      </c>
      <c r="C158" s="4">
        <v>1253.25</v>
      </c>
      <c r="D158" s="4">
        <v>1238.8</v>
      </c>
      <c r="E158" s="4">
        <v>1238.8</v>
      </c>
      <c r="F158" s="4">
        <v>1247.15</v>
      </c>
      <c r="G158" s="4">
        <v>1247.22</v>
      </c>
      <c r="H158" s="1" t="s">
        <v>1828</v>
      </c>
      <c r="I158" s="1" t="s">
        <v>1831</v>
      </c>
      <c r="J158" s="1" t="s">
        <v>1832</v>
      </c>
      <c r="K158" s="7">
        <v>0.006740393929609409</v>
      </c>
      <c r="L158" s="7">
        <v>0.0032100830767748203</v>
      </c>
      <c r="M158" s="8">
        <f t="shared" si="1"/>
        <v>16162399</v>
      </c>
    </row>
    <row r="159">
      <c r="A159" s="9">
        <v>45736.0</v>
      </c>
      <c r="B159" s="4">
        <v>1251.85</v>
      </c>
      <c r="C159" s="4">
        <v>1273.0</v>
      </c>
      <c r="D159" s="4">
        <v>1250.05</v>
      </c>
      <c r="E159" s="4">
        <v>1247.15</v>
      </c>
      <c r="F159" s="4">
        <v>1269.15</v>
      </c>
      <c r="G159" s="4">
        <v>1262.54</v>
      </c>
      <c r="H159" s="1" t="s">
        <v>1840</v>
      </c>
      <c r="I159" s="1" t="s">
        <v>1842</v>
      </c>
      <c r="J159" s="1" t="s">
        <v>1844</v>
      </c>
      <c r="K159" s="7">
        <v>0.017640219700918093</v>
      </c>
      <c r="L159" s="7">
        <v>0.0123561612739878</v>
      </c>
      <c r="M159" s="8">
        <f t="shared" si="1"/>
        <v>15971477</v>
      </c>
    </row>
    <row r="160">
      <c r="A160" s="9">
        <v>45737.0</v>
      </c>
      <c r="B160" s="4">
        <v>1275.0</v>
      </c>
      <c r="C160" s="4">
        <v>1281.0</v>
      </c>
      <c r="D160" s="4">
        <v>1270.1</v>
      </c>
      <c r="E160" s="4">
        <v>1269.15</v>
      </c>
      <c r="F160" s="4">
        <v>1276.35</v>
      </c>
      <c r="G160" s="4">
        <v>1276.34</v>
      </c>
      <c r="H160" s="1" t="s">
        <v>1851</v>
      </c>
      <c r="I160" s="1" t="s">
        <v>1852</v>
      </c>
      <c r="J160" s="1" t="s">
        <v>1853</v>
      </c>
      <c r="K160" s="7">
        <v>0.00567308828743633</v>
      </c>
      <c r="L160" s="7">
        <v>0.0068885520673202345</v>
      </c>
      <c r="M160" s="8">
        <f t="shared" si="1"/>
        <v>21780769</v>
      </c>
    </row>
    <row r="161">
      <c r="A161" s="9">
        <v>45740.0</v>
      </c>
      <c r="B161" s="4">
        <v>1291.0</v>
      </c>
      <c r="C161" s="4">
        <v>1306.0</v>
      </c>
      <c r="D161" s="4">
        <v>1284.25</v>
      </c>
      <c r="E161" s="4">
        <v>1276.35</v>
      </c>
      <c r="F161" s="4">
        <v>1302.1</v>
      </c>
      <c r="G161" s="4">
        <v>1297.38</v>
      </c>
      <c r="H161" s="1" t="s">
        <v>1865</v>
      </c>
      <c r="I161" s="1" t="s">
        <v>1867</v>
      </c>
      <c r="J161" s="1" t="s">
        <v>1868</v>
      </c>
      <c r="K161" s="7">
        <v>0.020174716966349357</v>
      </c>
      <c r="L161" s="7">
        <v>0.013188210908592447</v>
      </c>
      <c r="M161" s="8">
        <f t="shared" si="1"/>
        <v>20299319</v>
      </c>
    </row>
    <row r="162">
      <c r="A162" s="9">
        <v>45741.0</v>
      </c>
      <c r="B162" s="4">
        <v>1307.7</v>
      </c>
      <c r="C162" s="4">
        <v>1307.7</v>
      </c>
      <c r="D162" s="4">
        <v>1282.6</v>
      </c>
      <c r="E162" s="4">
        <v>1302.1</v>
      </c>
      <c r="F162" s="4">
        <v>1285.45</v>
      </c>
      <c r="G162" s="4">
        <v>1290.63</v>
      </c>
      <c r="H162" s="1" t="s">
        <v>1878</v>
      </c>
      <c r="I162" s="1" t="s">
        <v>1879</v>
      </c>
      <c r="J162" s="1" t="s">
        <v>1880</v>
      </c>
      <c r="K162" s="7">
        <v>-0.012787036325934925</v>
      </c>
      <c r="L162" s="7">
        <v>4.353642582852528E-4</v>
      </c>
      <c r="M162" s="8">
        <f t="shared" si="1"/>
        <v>13713899</v>
      </c>
    </row>
    <row r="163">
      <c r="A163" s="9">
        <v>45742.0</v>
      </c>
      <c r="B163" s="4">
        <v>1291.0</v>
      </c>
      <c r="C163" s="4">
        <v>1293.8</v>
      </c>
      <c r="D163" s="4">
        <v>1268.75</v>
      </c>
      <c r="E163" s="4">
        <v>1285.45</v>
      </c>
      <c r="F163" s="4">
        <v>1273.05</v>
      </c>
      <c r="G163" s="4">
        <v>1279.04</v>
      </c>
      <c r="H163" s="1" t="s">
        <v>1887</v>
      </c>
      <c r="I163" s="1" t="s">
        <v>1888</v>
      </c>
      <c r="J163" s="1" t="s">
        <v>1889</v>
      </c>
      <c r="K163" s="7">
        <v>-0.009646427321171644</v>
      </c>
      <c r="L163" s="7">
        <v>-0.007681046447516141</v>
      </c>
      <c r="M163" s="8">
        <f t="shared" si="1"/>
        <v>12074747</v>
      </c>
    </row>
    <row r="164">
      <c r="A164" s="9">
        <v>45743.0</v>
      </c>
      <c r="B164" s="4">
        <v>1278.15</v>
      </c>
      <c r="C164" s="4">
        <v>1285.0</v>
      </c>
      <c r="D164" s="4">
        <v>1271.3</v>
      </c>
      <c r="E164" s="4">
        <v>1273.05</v>
      </c>
      <c r="F164" s="4">
        <v>1278.2</v>
      </c>
      <c r="G164" s="4">
        <v>1278.9</v>
      </c>
      <c r="H164" s="1" t="s">
        <v>1899</v>
      </c>
      <c r="I164" s="1" t="s">
        <v>1900</v>
      </c>
      <c r="J164" s="1" t="s">
        <v>1904</v>
      </c>
      <c r="K164" s="7">
        <v>0.0040454027728683796</v>
      </c>
      <c r="L164" s="7">
        <v>0.004474844434226054</v>
      </c>
      <c r="M164" s="8">
        <f t="shared" si="1"/>
        <v>15028056</v>
      </c>
    </row>
    <row r="165">
      <c r="A165" s="9">
        <v>45744.0</v>
      </c>
      <c r="B165" s="4">
        <v>1280.0</v>
      </c>
      <c r="C165" s="4">
        <v>1295.75</v>
      </c>
      <c r="D165" s="4">
        <v>1269.0</v>
      </c>
      <c r="E165" s="4">
        <v>1278.2</v>
      </c>
      <c r="F165" s="4">
        <v>1275.1</v>
      </c>
      <c r="G165" s="4">
        <v>1278.15</v>
      </c>
      <c r="H165" s="1" t="s">
        <v>1929</v>
      </c>
      <c r="I165" s="1" t="s">
        <v>1934</v>
      </c>
      <c r="J165" s="1" t="s">
        <v>1937</v>
      </c>
      <c r="K165" s="7">
        <v>-0.002425285557815785</v>
      </c>
      <c r="L165" s="7">
        <v>-0.003077320865803894</v>
      </c>
      <c r="M165" s="8">
        <f t="shared" si="1"/>
        <v>18147129</v>
      </c>
    </row>
    <row r="166">
      <c r="A166" s="3">
        <v>45748.0</v>
      </c>
      <c r="B166" s="4">
        <v>1264.6</v>
      </c>
      <c r="C166" s="4">
        <v>1277.9</v>
      </c>
      <c r="D166" s="4">
        <v>1249.3</v>
      </c>
      <c r="E166" s="4">
        <v>1275.1</v>
      </c>
      <c r="F166" s="4">
        <v>1252.6</v>
      </c>
      <c r="G166" s="4">
        <v>1260.72</v>
      </c>
      <c r="H166" s="1" t="s">
        <v>1944</v>
      </c>
      <c r="I166" s="1" t="s">
        <v>1945</v>
      </c>
      <c r="J166" s="1" t="s">
        <v>1947</v>
      </c>
      <c r="K166" s="7">
        <v>-0.01764567484903145</v>
      </c>
      <c r="L166" s="7">
        <v>-0.015036555006834706</v>
      </c>
      <c r="M166" s="8">
        <f t="shared" si="1"/>
        <v>12099648</v>
      </c>
    </row>
    <row r="167">
      <c r="A167" s="3">
        <v>45749.0</v>
      </c>
      <c r="B167" s="4">
        <v>1247.55</v>
      </c>
      <c r="C167" s="4">
        <v>1255.55</v>
      </c>
      <c r="D167" s="4">
        <v>1243.9</v>
      </c>
      <c r="E167" s="4">
        <v>1252.6</v>
      </c>
      <c r="F167" s="4">
        <v>1251.15</v>
      </c>
      <c r="G167" s="4">
        <v>1251.04</v>
      </c>
      <c r="H167" s="1" t="s">
        <v>1955</v>
      </c>
      <c r="I167" s="1" t="s">
        <v>1959</v>
      </c>
      <c r="J167" s="1" t="s">
        <v>1961</v>
      </c>
      <c r="K167" s="7">
        <v>-0.0011575922082067845</v>
      </c>
      <c r="L167" s="7">
        <v>0.007193825353863592</v>
      </c>
      <c r="M167" s="8">
        <f t="shared" si="1"/>
        <v>10142590</v>
      </c>
    </row>
    <row r="168">
      <c r="A168" s="3">
        <v>45750.0</v>
      </c>
      <c r="B168" s="4">
        <v>1233.05</v>
      </c>
      <c r="C168" s="4">
        <v>1251.8</v>
      </c>
      <c r="D168" s="4">
        <v>1233.05</v>
      </c>
      <c r="E168" s="4">
        <v>1251.15</v>
      </c>
      <c r="F168" s="4">
        <v>1248.7</v>
      </c>
      <c r="G168" s="4">
        <v>1246.31</v>
      </c>
      <c r="H168" s="1" t="s">
        <v>1966</v>
      </c>
      <c r="I168" s="1" t="s">
        <v>1969</v>
      </c>
      <c r="J168" s="1" t="s">
        <v>1971</v>
      </c>
      <c r="K168" s="7">
        <v>-0.0019581984574192106</v>
      </c>
      <c r="L168" s="7">
        <v>-0.0035251485598321647</v>
      </c>
      <c r="M168" s="8">
        <f t="shared" si="1"/>
        <v>7434366</v>
      </c>
    </row>
    <row r="169">
      <c r="A169" s="3">
        <v>45751.0</v>
      </c>
      <c r="B169" s="4">
        <v>1241.1</v>
      </c>
      <c r="C169" s="4">
        <v>1245.45</v>
      </c>
      <c r="D169" s="4">
        <v>1193.15</v>
      </c>
      <c r="E169" s="4">
        <v>1248.7</v>
      </c>
      <c r="F169" s="4">
        <v>1204.7</v>
      </c>
      <c r="G169" s="4">
        <v>1206.62</v>
      </c>
      <c r="H169" s="1" t="s">
        <v>1980</v>
      </c>
      <c r="I169" s="1" t="s">
        <v>1981</v>
      </c>
      <c r="J169" s="1" t="s">
        <v>1983</v>
      </c>
      <c r="K169" s="7">
        <v>-0.035236646111956434</v>
      </c>
      <c r="L169" s="7">
        <v>-0.014866602724289265</v>
      </c>
      <c r="M169" s="8">
        <f t="shared" si="1"/>
        <v>17908652</v>
      </c>
    </row>
    <row r="170">
      <c r="A170" s="3">
        <v>45754.0</v>
      </c>
      <c r="B170" s="4">
        <v>1132.2</v>
      </c>
      <c r="C170" s="4">
        <v>1171.25</v>
      </c>
      <c r="D170" s="4">
        <v>1114.85</v>
      </c>
      <c r="E170" s="4">
        <v>1204.7</v>
      </c>
      <c r="F170" s="4">
        <v>1165.7</v>
      </c>
      <c r="G170" s="4">
        <v>1150.54</v>
      </c>
      <c r="H170" s="1" t="s">
        <v>1994</v>
      </c>
      <c r="I170" s="1" t="s">
        <v>1996</v>
      </c>
      <c r="J170" s="1" t="s">
        <v>1997</v>
      </c>
      <c r="K170" s="7">
        <v>-0.03237320494728978</v>
      </c>
      <c r="L170" s="7">
        <v>-0.03243256223135688</v>
      </c>
      <c r="M170" s="8">
        <f t="shared" si="1"/>
        <v>22156106</v>
      </c>
    </row>
    <row r="171">
      <c r="A171" s="3">
        <v>45755.0</v>
      </c>
      <c r="B171" s="4">
        <v>1172.0</v>
      </c>
      <c r="C171" s="4">
        <v>1196.6</v>
      </c>
      <c r="D171" s="4">
        <v>1163.3</v>
      </c>
      <c r="E171" s="4">
        <v>1165.7</v>
      </c>
      <c r="F171" s="4">
        <v>1182.2</v>
      </c>
      <c r="G171" s="4">
        <v>1179.5</v>
      </c>
      <c r="H171" s="1" t="s">
        <v>2004</v>
      </c>
      <c r="I171" s="1" t="s">
        <v>2005</v>
      </c>
      <c r="J171" s="1" t="s">
        <v>2006</v>
      </c>
      <c r="K171" s="7">
        <v>0.014154585227760143</v>
      </c>
      <c r="L171" s="7">
        <v>0.016887318605154862</v>
      </c>
      <c r="M171" s="8">
        <f t="shared" si="1"/>
        <v>19555040</v>
      </c>
    </row>
    <row r="172">
      <c r="A172" s="3">
        <v>45756.0</v>
      </c>
      <c r="B172" s="4">
        <v>1169.5</v>
      </c>
      <c r="C172" s="4">
        <v>1189.8</v>
      </c>
      <c r="D172" s="4">
        <v>1168.0</v>
      </c>
      <c r="E172" s="4">
        <v>1182.2</v>
      </c>
      <c r="F172" s="4">
        <v>1185.35</v>
      </c>
      <c r="G172" s="4">
        <v>1183.08</v>
      </c>
      <c r="H172" s="1" t="s">
        <v>2016</v>
      </c>
      <c r="I172" s="1" t="s">
        <v>2017</v>
      </c>
      <c r="J172" s="1" t="s">
        <v>2019</v>
      </c>
      <c r="K172" s="7">
        <v>0.0026645237692436673</v>
      </c>
      <c r="L172" s="7">
        <v>-0.00606589056991403</v>
      </c>
      <c r="M172" s="8">
        <f t="shared" si="1"/>
        <v>10223104</v>
      </c>
    </row>
    <row r="173">
      <c r="A173" s="9">
        <v>45758.0</v>
      </c>
      <c r="B173" s="4">
        <v>1195.15</v>
      </c>
      <c r="C173" s="4">
        <v>1222.65</v>
      </c>
      <c r="D173" s="4">
        <v>1195.15</v>
      </c>
      <c r="E173" s="4">
        <v>1185.35</v>
      </c>
      <c r="F173" s="4">
        <v>1218.95</v>
      </c>
      <c r="G173" s="4">
        <v>1214.05</v>
      </c>
      <c r="H173" s="1" t="s">
        <v>2027</v>
      </c>
      <c r="I173" s="1" t="s">
        <v>2029</v>
      </c>
      <c r="J173" s="1" t="s">
        <v>2031</v>
      </c>
      <c r="K173" s="7">
        <v>0.02834605812629193</v>
      </c>
      <c r="L173" s="7">
        <v>0.019170370304230196</v>
      </c>
      <c r="M173" s="8">
        <f t="shared" si="1"/>
        <v>11224242</v>
      </c>
    </row>
    <row r="174">
      <c r="A174" s="9">
        <v>45762.0</v>
      </c>
      <c r="B174" s="4">
        <v>1251.0</v>
      </c>
      <c r="C174" s="4">
        <v>1251.0</v>
      </c>
      <c r="D174" s="4">
        <v>1237.1</v>
      </c>
      <c r="E174" s="4">
        <v>1218.95</v>
      </c>
      <c r="F174" s="4">
        <v>1240.1</v>
      </c>
      <c r="G174" s="4">
        <v>1242.83</v>
      </c>
      <c r="H174" s="1" t="s">
        <v>2038</v>
      </c>
      <c r="I174" s="1" t="s">
        <v>2042</v>
      </c>
      <c r="J174" s="1" t="s">
        <v>2045</v>
      </c>
      <c r="K174" s="7">
        <v>0.017350998810451504</v>
      </c>
      <c r="L174" s="7">
        <v>0.021902398531663203</v>
      </c>
      <c r="M174" s="8">
        <f t="shared" si="1"/>
        <v>13378535</v>
      </c>
    </row>
    <row r="175">
      <c r="A175" s="9">
        <v>45763.0</v>
      </c>
      <c r="B175" s="4">
        <v>1234.1</v>
      </c>
      <c r="C175" s="4">
        <v>1240.9</v>
      </c>
      <c r="D175" s="4">
        <v>1229.0</v>
      </c>
      <c r="E175" s="4">
        <v>1240.1</v>
      </c>
      <c r="F175" s="4">
        <v>1239.3</v>
      </c>
      <c r="G175" s="4">
        <v>1235.61</v>
      </c>
      <c r="H175" s="1" t="s">
        <v>2047</v>
      </c>
      <c r="I175" s="1" t="s">
        <v>2049</v>
      </c>
      <c r="J175" s="1" t="s">
        <v>2052</v>
      </c>
      <c r="K175" s="7">
        <v>-6.451092653817874E-4</v>
      </c>
      <c r="L175" s="7">
        <v>0.0046573833350123115</v>
      </c>
      <c r="M175" s="8">
        <f t="shared" si="1"/>
        <v>8248464</v>
      </c>
    </row>
    <row r="176">
      <c r="A176" s="9">
        <v>45764.0</v>
      </c>
      <c r="B176" s="4">
        <v>1240.2</v>
      </c>
      <c r="C176" s="4">
        <v>1280.2</v>
      </c>
      <c r="D176" s="4">
        <v>1227.6</v>
      </c>
      <c r="E176" s="4">
        <v>1239.3</v>
      </c>
      <c r="F176" s="4">
        <v>1274.5</v>
      </c>
      <c r="G176" s="4">
        <v>1260.38</v>
      </c>
      <c r="H176" s="1" t="s">
        <v>2059</v>
      </c>
      <c r="I176" s="1" t="s">
        <v>2060</v>
      </c>
      <c r="J176" s="1" t="s">
        <v>2062</v>
      </c>
      <c r="K176" s="7">
        <v>0.028403130799644998</v>
      </c>
      <c r="L176" s="7">
        <v>0.017683426347857283</v>
      </c>
      <c r="M176" s="8">
        <f t="shared" si="1"/>
        <v>15398401</v>
      </c>
    </row>
    <row r="177">
      <c r="A177" s="9">
        <v>45768.0</v>
      </c>
      <c r="B177" s="4">
        <v>1270.0</v>
      </c>
      <c r="C177" s="4">
        <v>1300.9</v>
      </c>
      <c r="D177" s="4">
        <v>1267.0</v>
      </c>
      <c r="E177" s="4">
        <v>1274.5</v>
      </c>
      <c r="F177" s="4">
        <v>1295.5</v>
      </c>
      <c r="G177" s="4">
        <v>1291.47</v>
      </c>
      <c r="H177" s="1" t="s">
        <v>2073</v>
      </c>
      <c r="I177" s="1" t="s">
        <v>2076</v>
      </c>
      <c r="J177" s="1" t="s">
        <v>2079</v>
      </c>
      <c r="K177" s="7">
        <v>0.01647704982346018</v>
      </c>
      <c r="L177" s="7">
        <v>0.011483482274811085</v>
      </c>
      <c r="M177" s="8">
        <f t="shared" si="1"/>
        <v>10429964</v>
      </c>
    </row>
    <row r="178">
      <c r="A178" s="9">
        <v>45769.0</v>
      </c>
      <c r="B178" s="4">
        <v>1300.0</v>
      </c>
      <c r="C178" s="4">
        <v>1303.9</v>
      </c>
      <c r="D178" s="4">
        <v>1286.3</v>
      </c>
      <c r="E178" s="4">
        <v>1295.5</v>
      </c>
      <c r="F178" s="4">
        <v>1291.2</v>
      </c>
      <c r="G178" s="4">
        <v>1295.99</v>
      </c>
      <c r="H178" s="1" t="s">
        <v>2088</v>
      </c>
      <c r="I178" s="1" t="s">
        <v>2089</v>
      </c>
      <c r="J178" s="1" t="s">
        <v>2090</v>
      </c>
      <c r="K178" s="7">
        <v>-0.003319181783095295</v>
      </c>
      <c r="L178" s="7">
        <v>0.0017284580040662588</v>
      </c>
      <c r="M178" s="8">
        <f t="shared" si="1"/>
        <v>13051707</v>
      </c>
    </row>
    <row r="179">
      <c r="A179" s="9">
        <v>45770.0</v>
      </c>
      <c r="B179" s="4">
        <v>1297.0</v>
      </c>
      <c r="C179" s="4">
        <v>1306.0</v>
      </c>
      <c r="D179" s="4">
        <v>1285.4</v>
      </c>
      <c r="E179" s="4">
        <v>1291.2</v>
      </c>
      <c r="F179" s="4">
        <v>1300.0</v>
      </c>
      <c r="G179" s="4">
        <v>1297.08</v>
      </c>
      <c r="H179" s="1" t="s">
        <v>2100</v>
      </c>
      <c r="I179" s="1" t="s">
        <v>2101</v>
      </c>
      <c r="J179" s="1" t="s">
        <v>2102</v>
      </c>
      <c r="K179" s="7">
        <v>0.006815365551424995</v>
      </c>
      <c r="L179" s="7">
        <v>0.006690872978928125</v>
      </c>
      <c r="M179" s="8">
        <f t="shared" si="1"/>
        <v>10480888</v>
      </c>
    </row>
    <row r="180">
      <c r="A180" s="9">
        <v>45771.0</v>
      </c>
      <c r="B180" s="4">
        <v>1292.4</v>
      </c>
      <c r="C180" s="4">
        <v>1304.5</v>
      </c>
      <c r="D180" s="4">
        <v>1290.3</v>
      </c>
      <c r="E180" s="4">
        <v>1300.0</v>
      </c>
      <c r="F180" s="4">
        <v>1301.6</v>
      </c>
      <c r="G180" s="4">
        <v>1298.32</v>
      </c>
      <c r="H180" s="1" t="s">
        <v>2110</v>
      </c>
      <c r="I180" s="1" t="s">
        <v>2112</v>
      </c>
      <c r="J180" s="1" t="s">
        <v>2114</v>
      </c>
      <c r="K180" s="7">
        <v>0.0012307692307691608</v>
      </c>
      <c r="L180" s="7">
        <v>-0.0033807459836943227</v>
      </c>
      <c r="M180" s="8">
        <f t="shared" si="1"/>
        <v>10468940</v>
      </c>
    </row>
    <row r="181">
      <c r="A181" s="9">
        <v>45772.0</v>
      </c>
      <c r="B181" s="4">
        <v>1303.5</v>
      </c>
      <c r="C181" s="4">
        <v>1325.2</v>
      </c>
      <c r="D181" s="4">
        <v>1288.1</v>
      </c>
      <c r="E181" s="4">
        <v>1301.6</v>
      </c>
      <c r="F181" s="4">
        <v>1300.4</v>
      </c>
      <c r="G181" s="4">
        <v>1303.3</v>
      </c>
      <c r="H181" s="1" t="s">
        <v>2122</v>
      </c>
      <c r="I181" s="1" t="s">
        <v>2125</v>
      </c>
      <c r="J181" s="1" t="s">
        <v>2127</v>
      </c>
      <c r="K181" s="7">
        <v>-9.219422249537632E-4</v>
      </c>
      <c r="L181" s="7">
        <v>-0.008551679197581616</v>
      </c>
      <c r="M181" s="8">
        <f t="shared" si="1"/>
        <v>14431012</v>
      </c>
    </row>
    <row r="182">
      <c r="A182" s="9">
        <v>45775.0</v>
      </c>
      <c r="B182" s="4">
        <v>1340.0</v>
      </c>
      <c r="C182" s="4">
        <v>1374.6</v>
      </c>
      <c r="D182" s="4">
        <v>1320.2</v>
      </c>
      <c r="E182" s="4">
        <v>1300.4</v>
      </c>
      <c r="F182" s="4">
        <v>1368.8</v>
      </c>
      <c r="G182" s="4">
        <v>1355.02</v>
      </c>
      <c r="H182" s="1" t="s">
        <v>2134</v>
      </c>
      <c r="I182" s="1" t="s">
        <v>2136</v>
      </c>
      <c r="J182" s="1" t="s">
        <v>2139</v>
      </c>
      <c r="K182" s="7">
        <v>0.05259920024607802</v>
      </c>
      <c r="L182" s="7">
        <v>0.012028195437896677</v>
      </c>
      <c r="M182" s="8">
        <f t="shared" si="1"/>
        <v>31104496</v>
      </c>
    </row>
    <row r="183">
      <c r="A183" s="9">
        <v>45776.0</v>
      </c>
      <c r="B183" s="4">
        <v>1371.0</v>
      </c>
      <c r="C183" s="4">
        <v>1410.9</v>
      </c>
      <c r="D183" s="4">
        <v>1370.0</v>
      </c>
      <c r="E183" s="4">
        <v>1368.8</v>
      </c>
      <c r="F183" s="4">
        <v>1399.7</v>
      </c>
      <c r="G183" s="4">
        <v>1395.77</v>
      </c>
      <c r="H183" s="1" t="s">
        <v>2144</v>
      </c>
      <c r="I183" s="1" t="s">
        <v>2146</v>
      </c>
      <c r="J183" s="1" t="s">
        <v>2148</v>
      </c>
      <c r="K183" s="7">
        <v>0.022574517825832915</v>
      </c>
      <c r="L183" s="7">
        <v>3.062252091169093E-4</v>
      </c>
      <c r="M183" s="8">
        <f t="shared" si="1"/>
        <v>32538970</v>
      </c>
    </row>
    <row r="184">
      <c r="A184" s="9">
        <v>45777.0</v>
      </c>
      <c r="B184" s="4">
        <v>1402.0</v>
      </c>
      <c r="C184" s="4">
        <v>1412.4</v>
      </c>
      <c r="D184" s="4">
        <v>1369.0</v>
      </c>
      <c r="E184" s="4">
        <v>1399.7</v>
      </c>
      <c r="F184" s="4">
        <v>1405.0</v>
      </c>
      <c r="G184" s="4">
        <v>1404.87</v>
      </c>
      <c r="H184" s="1" t="s">
        <v>2158</v>
      </c>
      <c r="I184" s="1" t="s">
        <v>2159</v>
      </c>
      <c r="J184" s="1" t="s">
        <v>2160</v>
      </c>
      <c r="K184" s="7">
        <v>0.003786525684075126</v>
      </c>
      <c r="L184" s="7">
        <v>-7.191007542339626E-5</v>
      </c>
      <c r="M184" s="8">
        <f t="shared" si="1"/>
        <v>25480745</v>
      </c>
    </row>
    <row r="185">
      <c r="A185" s="12">
        <v>45779.0</v>
      </c>
      <c r="B185" s="4">
        <v>1414.0</v>
      </c>
      <c r="C185" s="4">
        <v>1426.7</v>
      </c>
      <c r="D185" s="4">
        <v>1409.1</v>
      </c>
      <c r="E185" s="4">
        <v>1405.0</v>
      </c>
      <c r="F185" s="4">
        <v>1422.4</v>
      </c>
      <c r="G185" s="4">
        <v>1419.65</v>
      </c>
      <c r="H185" s="1" t="s">
        <v>2170</v>
      </c>
      <c r="I185" s="1" t="s">
        <v>2171</v>
      </c>
      <c r="J185" s="1" t="s">
        <v>2172</v>
      </c>
      <c r="K185" s="7">
        <v>0.012384341637010741</v>
      </c>
      <c r="L185" s="7">
        <v>5.136803346730116E-4</v>
      </c>
      <c r="M185" s="8">
        <f t="shared" si="1"/>
        <v>17535402</v>
      </c>
    </row>
    <row r="186">
      <c r="A186" s="12">
        <v>45782.0</v>
      </c>
      <c r="B186" s="4">
        <v>1431.0</v>
      </c>
      <c r="C186" s="4">
        <v>1439.5</v>
      </c>
      <c r="D186" s="4">
        <v>1426.9</v>
      </c>
      <c r="E186" s="4">
        <v>1422.4</v>
      </c>
      <c r="F186" s="4">
        <v>1431.3</v>
      </c>
      <c r="G186" s="4">
        <v>1432.0</v>
      </c>
      <c r="H186" s="1" t="s">
        <v>2179</v>
      </c>
      <c r="I186" s="1" t="s">
        <v>2180</v>
      </c>
      <c r="J186" s="1" t="s">
        <v>2181</v>
      </c>
      <c r="K186" s="7">
        <v>0.006257030371203503</v>
      </c>
      <c r="L186" s="7">
        <v>0.004700842413961675</v>
      </c>
      <c r="M186" s="8">
        <f t="shared" si="1"/>
        <v>12685649</v>
      </c>
    </row>
    <row r="187">
      <c r="A187" s="12">
        <v>45783.0</v>
      </c>
      <c r="B187" s="4">
        <v>1431.0</v>
      </c>
      <c r="C187" s="4">
        <v>1432.0</v>
      </c>
      <c r="D187" s="4">
        <v>1410.6</v>
      </c>
      <c r="E187" s="4">
        <v>1431.3</v>
      </c>
      <c r="F187" s="4">
        <v>1420.9</v>
      </c>
      <c r="G187" s="4">
        <v>1419.01</v>
      </c>
      <c r="H187" s="1" t="s">
        <v>2188</v>
      </c>
      <c r="I187" s="1" t="s">
        <v>2189</v>
      </c>
      <c r="J187" s="1" t="s">
        <v>2191</v>
      </c>
      <c r="K187" s="7">
        <v>-0.0072661217075385065</v>
      </c>
      <c r="L187" s="7">
        <v>-0.003333857974788712</v>
      </c>
      <c r="M187" s="8">
        <f t="shared" si="1"/>
        <v>14084117</v>
      </c>
    </row>
    <row r="188">
      <c r="A188" s="12">
        <v>45784.0</v>
      </c>
      <c r="B188" s="4">
        <v>1420.9</v>
      </c>
      <c r="C188" s="4">
        <v>1424.4</v>
      </c>
      <c r="D188" s="4">
        <v>1402.7</v>
      </c>
      <c r="E188" s="4">
        <v>1420.9</v>
      </c>
      <c r="F188" s="4">
        <v>1406.0</v>
      </c>
      <c r="G188" s="4">
        <v>1412.79</v>
      </c>
      <c r="H188" s="1" t="s">
        <v>2200</v>
      </c>
      <c r="I188" s="1" t="s">
        <v>2201</v>
      </c>
      <c r="J188" s="1" t="s">
        <v>2202</v>
      </c>
      <c r="K188" s="7">
        <v>-0.010486311492715948</v>
      </c>
      <c r="L188" s="7">
        <v>0.0014274229273656218</v>
      </c>
      <c r="M188" s="8">
        <f t="shared" si="1"/>
        <v>13440169</v>
      </c>
    </row>
    <row r="189">
      <c r="A189" s="12">
        <v>45785.0</v>
      </c>
      <c r="B189" s="4">
        <v>1404.1</v>
      </c>
      <c r="C189" s="4">
        <v>1420.8</v>
      </c>
      <c r="D189" s="4">
        <v>1398.0</v>
      </c>
      <c r="E189" s="4">
        <v>1406.0</v>
      </c>
      <c r="F189" s="4">
        <v>1407.0</v>
      </c>
      <c r="G189" s="4">
        <v>1410.51</v>
      </c>
      <c r="H189" s="1" t="s">
        <v>2215</v>
      </c>
      <c r="I189" s="1" t="s">
        <v>2217</v>
      </c>
      <c r="J189" s="1" t="s">
        <v>2218</v>
      </c>
      <c r="K189" s="7">
        <v>7.112375533428165E-4</v>
      </c>
      <c r="L189" s="7">
        <v>-0.005758896389016407</v>
      </c>
      <c r="M189" s="8">
        <f t="shared" si="1"/>
        <v>16106175</v>
      </c>
    </row>
    <row r="190">
      <c r="A190" s="12">
        <v>45786.0</v>
      </c>
      <c r="B190" s="4">
        <v>1385.5</v>
      </c>
      <c r="C190" s="4">
        <v>1394.8</v>
      </c>
      <c r="D190" s="4">
        <v>1374.5</v>
      </c>
      <c r="E190" s="4">
        <v>1407.0</v>
      </c>
      <c r="F190" s="4">
        <v>1377.2</v>
      </c>
      <c r="G190" s="4">
        <v>1382.39</v>
      </c>
      <c r="H190" s="1" t="s">
        <v>2227</v>
      </c>
      <c r="I190" s="1" t="s">
        <v>2228</v>
      </c>
      <c r="J190" s="1" t="s">
        <v>2230</v>
      </c>
      <c r="K190" s="7">
        <v>-0.021179815209665925</v>
      </c>
      <c r="L190" s="7">
        <v>-0.01095007786172743</v>
      </c>
      <c r="M190" s="8">
        <f t="shared" si="1"/>
        <v>13668904</v>
      </c>
    </row>
    <row r="191">
      <c r="A191" s="13">
        <v>45789.0</v>
      </c>
      <c r="B191" s="4">
        <v>1400.0</v>
      </c>
      <c r="C191" s="4">
        <v>1439.0</v>
      </c>
      <c r="D191" s="4">
        <v>1400.0</v>
      </c>
      <c r="E191" s="4">
        <v>1377.2</v>
      </c>
      <c r="F191" s="4">
        <v>1436.5</v>
      </c>
      <c r="G191" s="4">
        <v>1426.35</v>
      </c>
      <c r="H191" s="1" t="s">
        <v>2241</v>
      </c>
      <c r="I191" s="1" t="s">
        <v>2243</v>
      </c>
      <c r="J191" s="1" t="s">
        <v>2244</v>
      </c>
      <c r="K191" s="7">
        <v>0.043058379320360114</v>
      </c>
      <c r="L191" s="7">
        <v>0.03818310563145621</v>
      </c>
      <c r="M191" s="8">
        <f t="shared" si="1"/>
        <v>10674081</v>
      </c>
    </row>
    <row r="192">
      <c r="A192" s="13">
        <v>45790.0</v>
      </c>
      <c r="B192" s="4">
        <v>1433.5</v>
      </c>
      <c r="C192" s="4">
        <v>1447.7</v>
      </c>
      <c r="D192" s="4">
        <v>1412.4</v>
      </c>
      <c r="E192" s="4">
        <v>1436.5</v>
      </c>
      <c r="F192" s="4">
        <v>1415.7</v>
      </c>
      <c r="G192" s="4">
        <v>1423.23</v>
      </c>
      <c r="H192" s="1" t="s">
        <v>2254</v>
      </c>
      <c r="I192" s="1" t="s">
        <v>2255</v>
      </c>
      <c r="J192" s="1" t="s">
        <v>2256</v>
      </c>
      <c r="K192" s="7">
        <v>-0.014479638009049741</v>
      </c>
      <c r="L192" s="7">
        <v>-0.01389585431319142</v>
      </c>
      <c r="M192" s="8">
        <f t="shared" si="1"/>
        <v>11407896</v>
      </c>
    </row>
    <row r="193">
      <c r="A193" s="13">
        <v>45791.0</v>
      </c>
      <c r="B193" s="4">
        <v>1420.0</v>
      </c>
      <c r="C193" s="4">
        <v>1429.9</v>
      </c>
      <c r="D193" s="4">
        <v>1415.5</v>
      </c>
      <c r="E193" s="4">
        <v>1415.7</v>
      </c>
      <c r="F193" s="4">
        <v>1424.4</v>
      </c>
      <c r="G193" s="4">
        <v>1423.31</v>
      </c>
      <c r="H193" s="1" t="s">
        <v>2266</v>
      </c>
      <c r="I193" s="1" t="s">
        <v>2267</v>
      </c>
      <c r="J193" s="1" t="s">
        <v>2268</v>
      </c>
      <c r="K193" s="7">
        <v>0.00614536978173345</v>
      </c>
      <c r="L193" s="7">
        <v>0.0036027642213575326</v>
      </c>
      <c r="M193" s="8">
        <f t="shared" si="1"/>
        <v>5570160</v>
      </c>
    </row>
    <row r="194">
      <c r="A194" s="13">
        <v>45792.0</v>
      </c>
      <c r="B194" s="4">
        <v>1425.0</v>
      </c>
      <c r="C194" s="4">
        <v>1461.4</v>
      </c>
      <c r="D194" s="4">
        <v>1412.7</v>
      </c>
      <c r="E194" s="4">
        <v>1424.4</v>
      </c>
      <c r="F194" s="4">
        <v>1454.2</v>
      </c>
      <c r="G194" s="4">
        <v>1441.41</v>
      </c>
      <c r="H194" s="1" t="s">
        <v>2277</v>
      </c>
      <c r="I194" s="1" t="s">
        <v>2279</v>
      </c>
      <c r="J194" s="1" t="s">
        <v>2280</v>
      </c>
      <c r="K194" s="7">
        <v>0.020921089581578175</v>
      </c>
      <c r="L194" s="7">
        <v>0.01602147006717492</v>
      </c>
      <c r="M194" s="8">
        <f t="shared" si="1"/>
        <v>20177211</v>
      </c>
    </row>
    <row r="195">
      <c r="A195" s="13">
        <v>45793.0</v>
      </c>
      <c r="B195" s="4">
        <v>1453.2</v>
      </c>
      <c r="C195" s="4">
        <v>1461.0</v>
      </c>
      <c r="D195" s="4">
        <v>1447.3</v>
      </c>
      <c r="E195" s="4">
        <v>1454.2</v>
      </c>
      <c r="F195" s="4">
        <v>1456.4</v>
      </c>
      <c r="G195" s="4">
        <v>1455.16</v>
      </c>
      <c r="H195" s="1" t="s">
        <v>2288</v>
      </c>
      <c r="I195" s="1" t="s">
        <v>2290</v>
      </c>
      <c r="J195" s="1" t="s">
        <v>2292</v>
      </c>
      <c r="K195" s="7">
        <v>0.0015128593040847514</v>
      </c>
      <c r="L195" s="7">
        <v>-0.0016878074862042396</v>
      </c>
      <c r="M195" s="8">
        <f t="shared" si="1"/>
        <v>9036695</v>
      </c>
    </row>
    <row r="196">
      <c r="A196" s="13">
        <v>45796.0</v>
      </c>
      <c r="B196" s="4">
        <v>1452.1</v>
      </c>
      <c r="C196" s="4">
        <v>1454.6</v>
      </c>
      <c r="D196" s="4">
        <v>1438.2</v>
      </c>
      <c r="E196" s="4">
        <v>1456.4</v>
      </c>
      <c r="F196" s="4">
        <v>1440.8</v>
      </c>
      <c r="G196" s="4">
        <v>1443.67</v>
      </c>
      <c r="H196" s="1" t="s">
        <v>2299</v>
      </c>
      <c r="I196" s="1" t="s">
        <v>2300</v>
      </c>
      <c r="J196" s="1" t="s">
        <v>2303</v>
      </c>
      <c r="K196" s="7">
        <v>-0.010711343037627118</v>
      </c>
      <c r="L196" s="7">
        <v>-0.0029716464560067845</v>
      </c>
      <c r="M196" s="8">
        <f t="shared" si="1"/>
        <v>6195791</v>
      </c>
    </row>
    <row r="197">
      <c r="A197" s="13">
        <v>45797.0</v>
      </c>
      <c r="B197" s="4">
        <v>1438.2</v>
      </c>
      <c r="C197" s="4">
        <v>1445.0</v>
      </c>
      <c r="D197" s="4">
        <v>1421.8</v>
      </c>
      <c r="E197" s="4">
        <v>1440.8</v>
      </c>
      <c r="F197" s="4">
        <v>1424.6</v>
      </c>
      <c r="G197" s="4">
        <v>1429.91</v>
      </c>
      <c r="H197" s="1" t="s">
        <v>2311</v>
      </c>
      <c r="I197" s="1" t="s">
        <v>2312</v>
      </c>
      <c r="J197" s="1" t="s">
        <v>2314</v>
      </c>
      <c r="K197" s="7">
        <v>-0.011243753470294313</v>
      </c>
      <c r="L197" s="7">
        <v>-0.01048487800380427</v>
      </c>
      <c r="M197" s="8">
        <f t="shared" si="1"/>
        <v>11270560</v>
      </c>
    </row>
    <row r="198">
      <c r="A198" s="13">
        <v>45798.0</v>
      </c>
      <c r="B198" s="4">
        <v>1423.9</v>
      </c>
      <c r="C198" s="4">
        <v>1436.2</v>
      </c>
      <c r="D198" s="4">
        <v>1418.1</v>
      </c>
      <c r="E198" s="4">
        <v>1424.6</v>
      </c>
      <c r="F198" s="4">
        <v>1429.2</v>
      </c>
      <c r="G198" s="4">
        <v>1427.75</v>
      </c>
      <c r="H198" s="1" t="s">
        <v>2322</v>
      </c>
      <c r="I198" s="1" t="s">
        <v>2324</v>
      </c>
      <c r="J198" s="1" t="s">
        <v>2327</v>
      </c>
      <c r="K198" s="7">
        <v>0.0032289765548225023</v>
      </c>
      <c r="L198" s="7">
        <v>0.0052483602672186835</v>
      </c>
      <c r="M198" s="8">
        <f t="shared" si="1"/>
        <v>6136364</v>
      </c>
    </row>
    <row r="199">
      <c r="A199" s="13">
        <v>45799.0</v>
      </c>
      <c r="B199" s="4">
        <v>1421.2</v>
      </c>
      <c r="C199" s="4">
        <v>1423.8</v>
      </c>
      <c r="D199" s="4">
        <v>1396.9</v>
      </c>
      <c r="E199" s="4">
        <v>1429.2</v>
      </c>
      <c r="F199" s="4">
        <v>1409.4</v>
      </c>
      <c r="G199" s="4">
        <v>1406.85</v>
      </c>
      <c r="H199" s="1" t="s">
        <v>2332</v>
      </c>
      <c r="I199" s="1" t="s">
        <v>2335</v>
      </c>
      <c r="J199" s="1" t="s">
        <v>2338</v>
      </c>
      <c r="K199" s="7">
        <v>-0.013853904282115836</v>
      </c>
      <c r="L199" s="7">
        <v>-0.00821127251551074</v>
      </c>
      <c r="M199" s="8">
        <f t="shared" si="1"/>
        <v>12134466</v>
      </c>
    </row>
    <row r="200">
      <c r="A200" s="13">
        <v>45800.0</v>
      </c>
      <c r="B200" s="4">
        <v>1406.6</v>
      </c>
      <c r="C200" s="4">
        <v>1433.8</v>
      </c>
      <c r="D200" s="4">
        <v>1406.6</v>
      </c>
      <c r="E200" s="4">
        <v>1409.4</v>
      </c>
      <c r="F200" s="4">
        <v>1426.8</v>
      </c>
      <c r="G200" s="4">
        <v>1424.63</v>
      </c>
      <c r="H200" s="1" t="s">
        <v>2344</v>
      </c>
      <c r="I200" s="1" t="s">
        <v>2346</v>
      </c>
      <c r="J200" s="1" t="s">
        <v>2348</v>
      </c>
      <c r="K200" s="7">
        <v>0.012345679012345581</v>
      </c>
      <c r="L200" s="7">
        <v>0.009892440785543941</v>
      </c>
      <c r="M200" s="8">
        <f t="shared" si="1"/>
        <v>6474883</v>
      </c>
    </row>
    <row r="201">
      <c r="A201" s="13">
        <v>45803.0</v>
      </c>
      <c r="B201" s="4">
        <v>1432.0</v>
      </c>
      <c r="C201" s="4">
        <v>1441.0</v>
      </c>
      <c r="D201" s="4">
        <v>1425.1</v>
      </c>
      <c r="E201" s="4">
        <v>1426.8</v>
      </c>
      <c r="F201" s="4">
        <v>1434.8</v>
      </c>
      <c r="G201" s="4">
        <v>1437.16</v>
      </c>
      <c r="H201" s="1" t="s">
        <v>2354</v>
      </c>
      <c r="I201" s="1" t="s">
        <v>2357</v>
      </c>
      <c r="J201" s="1" t="s">
        <v>2360</v>
      </c>
      <c r="K201" s="7">
        <v>0.005606952621250351</v>
      </c>
      <c r="L201" s="7">
        <v>0.005954979549875971</v>
      </c>
      <c r="M201" s="8">
        <f t="shared" si="1"/>
        <v>4842944</v>
      </c>
    </row>
    <row r="202">
      <c r="A202" s="13">
        <v>45804.0</v>
      </c>
      <c r="B202" s="4">
        <v>1426.1</v>
      </c>
      <c r="C202" s="4">
        <v>1437.0</v>
      </c>
      <c r="D202" s="4">
        <v>1413.9</v>
      </c>
      <c r="E202" s="4">
        <v>1434.8</v>
      </c>
      <c r="F202" s="4">
        <v>1422.1</v>
      </c>
      <c r="G202" s="4">
        <v>1421.81</v>
      </c>
      <c r="H202" s="1" t="s">
        <v>2365</v>
      </c>
      <c r="I202" s="1" t="s">
        <v>2366</v>
      </c>
      <c r="J202" s="1" t="s">
        <v>2367</v>
      </c>
      <c r="K202" s="7">
        <v>-0.00885140786172292</v>
      </c>
      <c r="L202" s="7">
        <v>-0.0069976781068071155</v>
      </c>
      <c r="M202" s="8">
        <f t="shared" si="1"/>
        <v>12640414</v>
      </c>
    </row>
    <row r="203">
      <c r="A203" s="13">
        <v>45805.0</v>
      </c>
      <c r="B203" s="4">
        <v>1420.1</v>
      </c>
      <c r="C203" s="4">
        <v>1422.6</v>
      </c>
      <c r="D203" s="4">
        <v>1410.7</v>
      </c>
      <c r="E203" s="4">
        <v>1422.1</v>
      </c>
      <c r="F203" s="4">
        <v>1412.9</v>
      </c>
      <c r="G203" s="4">
        <v>1414.99</v>
      </c>
      <c r="H203" s="1" t="s">
        <v>2377</v>
      </c>
      <c r="I203" s="1" t="s">
        <v>2379</v>
      </c>
      <c r="J203" s="1" t="s">
        <v>2381</v>
      </c>
      <c r="K203" s="7">
        <v>-0.006469305955980465</v>
      </c>
      <c r="L203" s="7">
        <v>-0.0029706519725129095</v>
      </c>
      <c r="M203" s="8">
        <f t="shared" si="1"/>
        <v>5944611</v>
      </c>
    </row>
    <row r="204">
      <c r="A204" s="13">
        <v>45806.0</v>
      </c>
      <c r="B204" s="4">
        <v>1412.1</v>
      </c>
      <c r="C204" s="4">
        <v>1420.0</v>
      </c>
      <c r="D204" s="4">
        <v>1408.6</v>
      </c>
      <c r="E204" s="4">
        <v>1412.9</v>
      </c>
      <c r="F204" s="4">
        <v>1417.8</v>
      </c>
      <c r="G204" s="4">
        <v>1414.72</v>
      </c>
      <c r="H204" s="1" t="s">
        <v>2390</v>
      </c>
      <c r="I204" s="1" t="s">
        <v>2392</v>
      </c>
      <c r="J204" s="1" t="s">
        <v>2394</v>
      </c>
      <c r="K204" s="7">
        <v>0.0034680444475899664</v>
      </c>
      <c r="L204" s="7">
        <v>0.0032784633440325226</v>
      </c>
      <c r="M204" s="8">
        <f t="shared" si="1"/>
        <v>13771917</v>
      </c>
    </row>
    <row r="205">
      <c r="A205" s="13">
        <v>45807.0</v>
      </c>
      <c r="B205" s="4">
        <v>1418.0</v>
      </c>
      <c r="C205" s="4">
        <v>1430.6</v>
      </c>
      <c r="D205" s="4">
        <v>1409.7</v>
      </c>
      <c r="E205" s="4">
        <v>1417.8</v>
      </c>
      <c r="F205" s="4">
        <v>1420.9</v>
      </c>
      <c r="G205" s="4">
        <v>1419.89</v>
      </c>
      <c r="H205" s="1" t="s">
        <v>2401</v>
      </c>
      <c r="I205" s="1" t="s">
        <v>2402</v>
      </c>
      <c r="J205" s="1" t="s">
        <v>2403</v>
      </c>
      <c r="K205" s="7">
        <v>0.0021864861052335567</v>
      </c>
      <c r="L205" s="7">
        <v>-0.0033382191869079725</v>
      </c>
      <c r="M205" s="8">
        <f t="shared" si="1"/>
        <v>13788484</v>
      </c>
    </row>
    <row r="206">
      <c r="A206" s="3">
        <v>45810.0</v>
      </c>
      <c r="B206" s="4">
        <v>1412.1</v>
      </c>
      <c r="C206" s="4">
        <v>1417.5</v>
      </c>
      <c r="D206" s="4">
        <v>1395.6</v>
      </c>
      <c r="E206" s="4">
        <v>1420.9</v>
      </c>
      <c r="F206" s="4">
        <v>1413.7</v>
      </c>
      <c r="G206" s="4">
        <v>1407.75</v>
      </c>
      <c r="H206" s="1" t="s">
        <v>2412</v>
      </c>
      <c r="I206" s="1" t="s">
        <v>2414</v>
      </c>
      <c r="J206" s="1" t="s">
        <v>2415</v>
      </c>
      <c r="K206" s="7">
        <v>-0.005067210922654687</v>
      </c>
      <c r="L206" s="7">
        <v>-0.0013777388114276437</v>
      </c>
      <c r="M206" s="8">
        <f t="shared" si="1"/>
        <v>8098668</v>
      </c>
    </row>
    <row r="207">
      <c r="A207" s="3">
        <v>45811.0</v>
      </c>
      <c r="B207" s="4">
        <v>1422.3</v>
      </c>
      <c r="C207" s="4">
        <v>1426.5</v>
      </c>
      <c r="D207" s="4">
        <v>1403.4</v>
      </c>
      <c r="E207" s="4">
        <v>1413.7</v>
      </c>
      <c r="F207" s="4">
        <v>1405.5</v>
      </c>
      <c r="G207" s="4">
        <v>1412.34</v>
      </c>
      <c r="H207" s="1" t="s">
        <v>2424</v>
      </c>
      <c r="I207" s="1" t="s">
        <v>2427</v>
      </c>
      <c r="J207" s="1" t="s">
        <v>2429</v>
      </c>
      <c r="K207" s="7">
        <v>-0.005800381976374086</v>
      </c>
      <c r="L207" s="7">
        <v>-0.007043849073092519</v>
      </c>
      <c r="M207" s="8">
        <f t="shared" si="1"/>
        <v>11252626</v>
      </c>
    </row>
    <row r="208">
      <c r="A208" s="3">
        <v>45812.0</v>
      </c>
      <c r="B208" s="4">
        <v>1414.7</v>
      </c>
      <c r="C208" s="4">
        <v>1425.7</v>
      </c>
      <c r="D208" s="4">
        <v>1406.1</v>
      </c>
      <c r="E208" s="4">
        <v>1405.5</v>
      </c>
      <c r="F208" s="4">
        <v>1423.5</v>
      </c>
      <c r="G208" s="4">
        <v>1415.78</v>
      </c>
      <c r="H208" s="1" t="s">
        <v>2437</v>
      </c>
      <c r="I208" s="1" t="s">
        <v>2438</v>
      </c>
      <c r="J208" s="1" t="s">
        <v>2441</v>
      </c>
      <c r="K208" s="7">
        <v>0.012806830309498399</v>
      </c>
      <c r="L208" s="7">
        <v>0.003165936640521574</v>
      </c>
      <c r="M208" s="8">
        <f t="shared" si="1"/>
        <v>8126827</v>
      </c>
    </row>
    <row r="209">
      <c r="A209" s="3">
        <v>45813.0</v>
      </c>
      <c r="B209" s="4">
        <v>1428.0</v>
      </c>
      <c r="C209" s="4">
        <v>1454.7</v>
      </c>
      <c r="D209" s="4">
        <v>1423.6</v>
      </c>
      <c r="E209" s="4">
        <v>1423.5</v>
      </c>
      <c r="F209" s="4">
        <v>1442.4</v>
      </c>
      <c r="G209" s="4">
        <v>1442.72</v>
      </c>
      <c r="H209" s="1" t="s">
        <v>2450</v>
      </c>
      <c r="I209" s="1" t="s">
        <v>2453</v>
      </c>
      <c r="J209" s="1" t="s">
        <v>2454</v>
      </c>
      <c r="K209" s="7">
        <v>0.013277133825079095</v>
      </c>
      <c r="L209" s="7">
        <v>0.005308648995540277</v>
      </c>
      <c r="M209" s="8">
        <f t="shared" si="1"/>
        <v>13716817</v>
      </c>
    </row>
    <row r="210">
      <c r="A210" s="3">
        <v>45814.0</v>
      </c>
      <c r="B210" s="4">
        <v>1441.0</v>
      </c>
      <c r="C210" s="4">
        <v>1451.5</v>
      </c>
      <c r="D210" s="4">
        <v>1437.0</v>
      </c>
      <c r="E210" s="4">
        <v>1442.4</v>
      </c>
      <c r="F210" s="4">
        <v>1443.5</v>
      </c>
      <c r="G210" s="4">
        <v>1444.22</v>
      </c>
      <c r="H210" s="1" t="s">
        <v>2464</v>
      </c>
      <c r="I210" s="1" t="s">
        <v>2465</v>
      </c>
      <c r="J210" s="1" t="s">
        <v>2467</v>
      </c>
      <c r="K210" s="7">
        <v>7.626178591236196E-4</v>
      </c>
      <c r="L210" s="7">
        <v>0.010187508333030225</v>
      </c>
      <c r="M210" s="8">
        <f t="shared" si="1"/>
        <v>8182161</v>
      </c>
    </row>
    <row r="211">
      <c r="A211" s="3">
        <v>45817.0</v>
      </c>
      <c r="B211" s="4">
        <v>1457.0</v>
      </c>
      <c r="C211" s="4">
        <v>1457.5</v>
      </c>
      <c r="D211" s="4">
        <v>1445.3</v>
      </c>
      <c r="E211" s="4">
        <v>1443.5</v>
      </c>
      <c r="F211" s="4">
        <v>1448.8</v>
      </c>
      <c r="G211" s="4">
        <v>1449.95</v>
      </c>
      <c r="H211" s="1" t="s">
        <v>2476</v>
      </c>
      <c r="I211" s="1" t="s">
        <v>2477</v>
      </c>
      <c r="J211" s="1" t="s">
        <v>2478</v>
      </c>
      <c r="K211" s="7">
        <v>0.003671631451333533</v>
      </c>
      <c r="L211" s="7">
        <v>0.004005511327618089</v>
      </c>
      <c r="M211" s="8">
        <f t="shared" si="1"/>
        <v>7885125</v>
      </c>
    </row>
    <row r="212">
      <c r="A212" s="9">
        <v>45818.0</v>
      </c>
      <c r="B212" s="4">
        <v>1450.0</v>
      </c>
      <c r="C212" s="4">
        <v>1453.9</v>
      </c>
      <c r="D212" s="4">
        <v>1436.0</v>
      </c>
      <c r="E212" s="4">
        <v>1448.8</v>
      </c>
      <c r="F212" s="4">
        <v>1438.5</v>
      </c>
      <c r="G212" s="4">
        <v>1442.59</v>
      </c>
      <c r="H212" s="1" t="s">
        <v>2488</v>
      </c>
      <c r="I212" s="1" t="s">
        <v>2490</v>
      </c>
      <c r="J212" s="1" t="s">
        <v>2492</v>
      </c>
      <c r="K212" s="7">
        <v>-0.007109331860850328</v>
      </c>
      <c r="L212" s="7">
        <v>4.1827336753851E-5</v>
      </c>
      <c r="M212" s="8">
        <f t="shared" si="1"/>
        <v>7913181</v>
      </c>
    </row>
    <row r="213">
      <c r="A213" s="9">
        <v>45819.0</v>
      </c>
      <c r="B213" s="4">
        <v>1445.8</v>
      </c>
      <c r="C213" s="4">
        <v>1468.6</v>
      </c>
      <c r="D213" s="4">
        <v>1443.1</v>
      </c>
      <c r="E213" s="4">
        <v>1438.5</v>
      </c>
      <c r="F213" s="4">
        <v>1448.9</v>
      </c>
      <c r="G213" s="4">
        <v>1456.11</v>
      </c>
      <c r="H213" s="1" t="s">
        <v>2502</v>
      </c>
      <c r="I213" s="1" t="s">
        <v>2505</v>
      </c>
      <c r="J213" s="1" t="s">
        <v>2507</v>
      </c>
      <c r="K213" s="7">
        <v>0.007229753215154738</v>
      </c>
      <c r="L213" s="7">
        <v>0.001479829112600514</v>
      </c>
      <c r="M213" s="8">
        <f t="shared" si="1"/>
        <v>8195700</v>
      </c>
    </row>
    <row r="214">
      <c r="A214" s="9">
        <v>45820.0</v>
      </c>
      <c r="B214" s="4">
        <v>1453.5</v>
      </c>
      <c r="C214" s="4">
        <v>1457.0</v>
      </c>
      <c r="D214" s="4">
        <v>1434.4</v>
      </c>
      <c r="E214" s="4">
        <v>1448.9</v>
      </c>
      <c r="F214" s="4">
        <v>1441.6</v>
      </c>
      <c r="G214" s="4">
        <v>1444.32</v>
      </c>
      <c r="H214" s="1" t="s">
        <v>2513</v>
      </c>
      <c r="I214" s="1" t="s">
        <v>2515</v>
      </c>
      <c r="J214" s="1" t="s">
        <v>2516</v>
      </c>
      <c r="K214" s="7">
        <v>-0.005038304920974658</v>
      </c>
      <c r="L214" s="7">
        <v>-0.010071038207896168</v>
      </c>
      <c r="M214" s="8">
        <f t="shared" si="1"/>
        <v>8828114</v>
      </c>
    </row>
    <row r="215">
      <c r="A215" s="9">
        <v>45821.0</v>
      </c>
      <c r="B215" s="4">
        <v>1424.0</v>
      </c>
      <c r="C215" s="4">
        <v>1435.5</v>
      </c>
      <c r="D215" s="4">
        <v>1414.3</v>
      </c>
      <c r="E215" s="4">
        <v>1441.6</v>
      </c>
      <c r="F215" s="4">
        <v>1427.9</v>
      </c>
      <c r="G215" s="4">
        <v>1423.95</v>
      </c>
      <c r="H215" s="1" t="s">
        <v>2523</v>
      </c>
      <c r="I215" s="1" t="s">
        <v>2525</v>
      </c>
      <c r="J215" s="1" t="s">
        <v>2529</v>
      </c>
      <c r="K215" s="7">
        <v>-0.009503329633740162</v>
      </c>
      <c r="L215" s="7">
        <v>-0.00681447432920027</v>
      </c>
      <c r="M215" s="8">
        <f t="shared" si="1"/>
        <v>9757276</v>
      </c>
    </row>
    <row r="216">
      <c r="A216" s="9">
        <v>45824.0</v>
      </c>
      <c r="B216" s="4">
        <v>1426.9</v>
      </c>
      <c r="C216" s="4">
        <v>1442.4</v>
      </c>
      <c r="D216" s="4">
        <v>1424.4</v>
      </c>
      <c r="E216" s="4">
        <v>1427.9</v>
      </c>
      <c r="F216" s="4">
        <v>1437.8</v>
      </c>
      <c r="G216" s="4">
        <v>1436.42</v>
      </c>
      <c r="H216" s="1" t="s">
        <v>2535</v>
      </c>
      <c r="I216" s="1" t="s">
        <v>2537</v>
      </c>
      <c r="J216" s="1" t="s">
        <v>2541</v>
      </c>
      <c r="K216" s="7">
        <v>0.006933258631556736</v>
      </c>
      <c r="L216" s="7">
        <v>0.00921977781913221</v>
      </c>
      <c r="M216" s="8">
        <f t="shared" si="1"/>
        <v>8458093</v>
      </c>
    </row>
    <row r="217">
      <c r="A217" s="9">
        <v>45825.0</v>
      </c>
      <c r="B217" s="4">
        <v>1448.0</v>
      </c>
      <c r="C217" s="4">
        <v>1448.0</v>
      </c>
      <c r="D217" s="4">
        <v>1425.8</v>
      </c>
      <c r="E217" s="4">
        <v>1437.8</v>
      </c>
      <c r="F217" s="4">
        <v>1431.2</v>
      </c>
      <c r="G217" s="4">
        <v>1432.15</v>
      </c>
      <c r="H217" s="1" t="s">
        <v>2551</v>
      </c>
      <c r="I217" s="1" t="s">
        <v>2553</v>
      </c>
      <c r="J217" s="1" t="s">
        <v>2554</v>
      </c>
      <c r="K217" s="7">
        <v>-0.0045903463624981985</v>
      </c>
      <c r="L217" s="7">
        <v>-0.0037319864510050927</v>
      </c>
      <c r="M217" s="8">
        <f t="shared" si="1"/>
        <v>10366599</v>
      </c>
    </row>
    <row r="218">
      <c r="A218" s="9">
        <v>45826.0</v>
      </c>
      <c r="B218" s="4">
        <v>1430.0</v>
      </c>
      <c r="C218" s="4">
        <v>1442.8</v>
      </c>
      <c r="D218" s="4">
        <v>1425.7</v>
      </c>
      <c r="E218" s="4">
        <v>1431.2</v>
      </c>
      <c r="F218" s="4">
        <v>1430.1</v>
      </c>
      <c r="G218" s="4">
        <v>1431.31</v>
      </c>
      <c r="H218" s="1" t="s">
        <v>2564</v>
      </c>
      <c r="I218" s="1" t="s">
        <v>2565</v>
      </c>
      <c r="J218" s="1" t="s">
        <v>2566</v>
      </c>
      <c r="K218" s="7">
        <v>-7.68585802124187E-4</v>
      </c>
      <c r="L218" s="7">
        <v>-0.0016637562667482992</v>
      </c>
      <c r="M218" s="8">
        <f t="shared" si="1"/>
        <v>6681735</v>
      </c>
    </row>
    <row r="219">
      <c r="A219" s="9">
        <v>45827.0</v>
      </c>
      <c r="B219" s="4">
        <v>1430.1</v>
      </c>
      <c r="C219" s="4">
        <v>1439.9</v>
      </c>
      <c r="D219" s="4">
        <v>1425.7</v>
      </c>
      <c r="E219" s="4">
        <v>1430.1</v>
      </c>
      <c r="F219" s="4">
        <v>1433.3</v>
      </c>
      <c r="G219" s="4">
        <v>1433.8</v>
      </c>
      <c r="H219" s="1" t="s">
        <v>2576</v>
      </c>
      <c r="I219" s="1" t="s">
        <v>2577</v>
      </c>
      <c r="J219" s="1" t="s">
        <v>2578</v>
      </c>
      <c r="K219" s="7">
        <v>0.0022376057618348688</v>
      </c>
      <c r="L219" s="7">
        <v>-7.576963612438018E-4</v>
      </c>
      <c r="M219" s="8">
        <f t="shared" si="1"/>
        <v>10007230</v>
      </c>
    </row>
    <row r="220">
      <c r="A220" s="9">
        <v>45828.0</v>
      </c>
      <c r="B220" s="4">
        <v>1431.0</v>
      </c>
      <c r="C220" s="4">
        <v>1471.0</v>
      </c>
      <c r="D220" s="4">
        <v>1428.1</v>
      </c>
      <c r="E220" s="4">
        <v>1433.3</v>
      </c>
      <c r="F220" s="4">
        <v>1466.2</v>
      </c>
      <c r="G220" s="4">
        <v>1462.68</v>
      </c>
      <c r="H220" s="1" t="s">
        <v>2587</v>
      </c>
      <c r="I220" s="1" t="s">
        <v>2590</v>
      </c>
      <c r="J220" s="1" t="s">
        <v>2592</v>
      </c>
      <c r="K220" s="7">
        <v>0.02295402218656254</v>
      </c>
      <c r="L220" s="7">
        <v>0.012872455204541618</v>
      </c>
      <c r="M220" s="8">
        <f t="shared" si="1"/>
        <v>29010635</v>
      </c>
    </row>
    <row r="221">
      <c r="A221" s="9">
        <v>45831.0</v>
      </c>
      <c r="B221" s="4">
        <v>1453.0</v>
      </c>
      <c r="C221" s="4">
        <v>1463.8</v>
      </c>
      <c r="D221" s="4">
        <v>1442.0</v>
      </c>
      <c r="E221" s="4">
        <v>1466.2</v>
      </c>
      <c r="F221" s="4">
        <v>1456.8</v>
      </c>
      <c r="G221" s="4">
        <v>1453.48</v>
      </c>
      <c r="H221" s="1" t="s">
        <v>2600</v>
      </c>
      <c r="I221" s="1" t="s">
        <v>2601</v>
      </c>
      <c r="J221" s="1" t="s">
        <v>2602</v>
      </c>
      <c r="K221" s="7">
        <v>-0.006411130814350082</v>
      </c>
      <c r="L221" s="7">
        <v>-0.005594845574297956</v>
      </c>
      <c r="M221" s="8">
        <f t="shared" si="1"/>
        <v>5989078</v>
      </c>
    </row>
    <row r="222">
      <c r="A222" s="9">
        <v>45832.0</v>
      </c>
      <c r="B222" s="4">
        <v>1465.0</v>
      </c>
      <c r="C222" s="4">
        <v>1475.0</v>
      </c>
      <c r="D222" s="4">
        <v>1443.1</v>
      </c>
      <c r="E222" s="4">
        <v>1456.8</v>
      </c>
      <c r="F222" s="4">
        <v>1450.8</v>
      </c>
      <c r="G222" s="4">
        <v>1456.68</v>
      </c>
      <c r="H222" s="1" t="s">
        <v>2612</v>
      </c>
      <c r="I222" s="1" t="s">
        <v>2614</v>
      </c>
      <c r="J222" s="1" t="s">
        <v>2617</v>
      </c>
      <c r="K222" s="7">
        <v>-0.004118616144975288</v>
      </c>
      <c r="L222" s="7">
        <v>0.0029012610173834224</v>
      </c>
      <c r="M222" s="8">
        <f t="shared" si="1"/>
        <v>16402744</v>
      </c>
    </row>
    <row r="223">
      <c r="A223" s="9">
        <v>45833.0</v>
      </c>
      <c r="B223" s="4">
        <v>1464.0</v>
      </c>
      <c r="C223" s="4">
        <v>1472.4</v>
      </c>
      <c r="D223" s="4">
        <v>1460.5</v>
      </c>
      <c r="E223" s="4">
        <v>1450.8</v>
      </c>
      <c r="F223" s="4">
        <v>1467.3</v>
      </c>
      <c r="G223" s="4">
        <v>1467.46</v>
      </c>
      <c r="H223" s="1" t="s">
        <v>2625</v>
      </c>
      <c r="I223" s="1" t="s">
        <v>2628</v>
      </c>
      <c r="J223" s="1" t="s">
        <v>2629</v>
      </c>
      <c r="K223" s="7">
        <v>0.011373035566583953</v>
      </c>
      <c r="L223" s="7">
        <v>0.008001804798287895</v>
      </c>
      <c r="M223" s="8">
        <f t="shared" si="1"/>
        <v>7525851</v>
      </c>
    </row>
    <row r="224">
      <c r="A224" s="9">
        <v>45834.0</v>
      </c>
      <c r="B224" s="4">
        <v>1469.1</v>
      </c>
      <c r="C224" s="4">
        <v>1498.8</v>
      </c>
      <c r="D224" s="4">
        <v>1465.1</v>
      </c>
      <c r="E224" s="4">
        <v>1467.3</v>
      </c>
      <c r="F224" s="4">
        <v>1495.3</v>
      </c>
      <c r="G224" s="4">
        <v>1488.16</v>
      </c>
      <c r="H224" s="1" t="s">
        <v>2637</v>
      </c>
      <c r="I224" s="1" t="s">
        <v>2639</v>
      </c>
      <c r="J224" s="1" t="s">
        <v>2641</v>
      </c>
      <c r="K224" s="7">
        <v>0.019082668847543106</v>
      </c>
      <c r="L224" s="7">
        <v>0.01205201081412967</v>
      </c>
      <c r="M224" s="8">
        <f t="shared" si="1"/>
        <v>14657893</v>
      </c>
    </row>
    <row r="225">
      <c r="A225" s="9">
        <v>45835.0</v>
      </c>
      <c r="B225" s="4">
        <v>1499.4</v>
      </c>
      <c r="C225" s="4">
        <v>1522.0</v>
      </c>
      <c r="D225" s="4">
        <v>1496.9</v>
      </c>
      <c r="E225" s="4">
        <v>1495.3</v>
      </c>
      <c r="F225" s="4">
        <v>1515.4</v>
      </c>
      <c r="G225" s="4">
        <v>1511.99</v>
      </c>
      <c r="H225" s="1" t="s">
        <v>2650</v>
      </c>
      <c r="I225" s="1" t="s">
        <v>2653</v>
      </c>
      <c r="J225" s="1" t="s">
        <v>2657</v>
      </c>
      <c r="K225" s="7">
        <v>0.013442118638400412</v>
      </c>
      <c r="L225" s="7">
        <v>0.003475674194684695</v>
      </c>
      <c r="M225" s="8">
        <f t="shared" si="1"/>
        <v>11117052</v>
      </c>
    </row>
    <row r="226">
      <c r="A226" s="9">
        <v>45838.0</v>
      </c>
      <c r="B226" s="4">
        <v>1513.8</v>
      </c>
      <c r="C226" s="4">
        <v>1524.8</v>
      </c>
      <c r="D226" s="4">
        <v>1496.0</v>
      </c>
      <c r="E226" s="4">
        <v>1515.4</v>
      </c>
      <c r="F226" s="4">
        <v>1500.6</v>
      </c>
      <c r="G226" s="4">
        <v>1509.28</v>
      </c>
      <c r="H226" s="1" t="s">
        <v>2664</v>
      </c>
      <c r="I226" s="1" t="s">
        <v>2670</v>
      </c>
      <c r="J226" s="1" t="s">
        <v>2671</v>
      </c>
      <c r="K226" s="7">
        <v>-0.009766398310677169</v>
      </c>
      <c r="L226" s="7">
        <v>-0.004709842498186272</v>
      </c>
      <c r="M226" s="8">
        <f t="shared" si="1"/>
        <v>8409527</v>
      </c>
    </row>
    <row r="227">
      <c r="A227" s="3">
        <v>45839.0</v>
      </c>
      <c r="B227" s="4">
        <v>1500.6</v>
      </c>
      <c r="C227" s="4">
        <v>1531.4</v>
      </c>
      <c r="D227" s="4">
        <v>1500.1</v>
      </c>
      <c r="E227" s="4">
        <v>1500.6</v>
      </c>
      <c r="F227" s="4">
        <v>1528.4</v>
      </c>
      <c r="G227" s="4">
        <v>1522.95</v>
      </c>
      <c r="H227" s="1" t="s">
        <v>2678</v>
      </c>
      <c r="I227" s="1" t="s">
        <v>2679</v>
      </c>
      <c r="J227" s="1" t="s">
        <v>2681</v>
      </c>
      <c r="K227" s="7">
        <v>0.018525922964147797</v>
      </c>
      <c r="L227" s="7">
        <v>9.699397069802348E-4</v>
      </c>
      <c r="M227" s="8">
        <f t="shared" si="1"/>
        <v>10368523</v>
      </c>
    </row>
    <row r="228">
      <c r="A228" s="3">
        <v>45840.0</v>
      </c>
      <c r="B228" s="4">
        <v>1528.4</v>
      </c>
      <c r="C228" s="4">
        <v>1530.0</v>
      </c>
      <c r="D228" s="4">
        <v>1508.7</v>
      </c>
      <c r="E228" s="4">
        <v>1528.4</v>
      </c>
      <c r="F228" s="4">
        <v>1518.8</v>
      </c>
      <c r="G228" s="4">
        <v>1518.29</v>
      </c>
      <c r="H228" s="1" t="s">
        <v>2690</v>
      </c>
      <c r="I228" s="1" t="s">
        <v>2691</v>
      </c>
      <c r="J228" s="1" t="s">
        <v>2692</v>
      </c>
      <c r="K228" s="7">
        <v>-0.006281078251766642</v>
      </c>
      <c r="L228" s="7">
        <v>-0.00346099335207377</v>
      </c>
      <c r="M228" s="8">
        <f t="shared" si="1"/>
        <v>6361002</v>
      </c>
    </row>
    <row r="229">
      <c r="A229" s="3">
        <v>45841.0</v>
      </c>
      <c r="B229" s="4">
        <v>1520.8</v>
      </c>
      <c r="C229" s="4">
        <v>1531.9</v>
      </c>
      <c r="D229" s="4">
        <v>1513.0</v>
      </c>
      <c r="E229" s="4">
        <v>1518.8</v>
      </c>
      <c r="F229" s="4">
        <v>1517.8</v>
      </c>
      <c r="G229" s="4">
        <v>1520.57</v>
      </c>
      <c r="H229" s="1" t="s">
        <v>2699</v>
      </c>
      <c r="I229" s="1" t="s">
        <v>2700</v>
      </c>
      <c r="J229" s="1" t="s">
        <v>2701</v>
      </c>
      <c r="K229" s="7">
        <v>-6.584145377929945E-4</v>
      </c>
      <c r="L229" s="7">
        <v>-0.0018897278948982132</v>
      </c>
      <c r="M229" s="8">
        <f t="shared" si="1"/>
        <v>11283291</v>
      </c>
    </row>
    <row r="230">
      <c r="A230" s="3">
        <v>45842.0</v>
      </c>
      <c r="B230" s="4">
        <v>1524.0</v>
      </c>
      <c r="C230" s="4">
        <v>1530.0</v>
      </c>
      <c r="D230" s="4">
        <v>1517.2</v>
      </c>
      <c r="E230" s="4">
        <v>1517.8</v>
      </c>
      <c r="F230" s="4">
        <v>1527.3</v>
      </c>
      <c r="G230" s="4">
        <v>1523.57</v>
      </c>
      <c r="H230" s="1" t="s">
        <v>2709</v>
      </c>
      <c r="I230" s="1" t="s">
        <v>2712</v>
      </c>
      <c r="J230" s="1" t="s">
        <v>2715</v>
      </c>
      <c r="K230" s="7">
        <v>0.006259059164580314</v>
      </c>
      <c r="L230" s="7">
        <v>0.0021924559048702723</v>
      </c>
      <c r="M230" s="8">
        <f t="shared" si="1"/>
        <v>6603501</v>
      </c>
    </row>
    <row r="231">
      <c r="A231" s="3">
        <v>45845.0</v>
      </c>
      <c r="B231" s="4">
        <v>1526.6</v>
      </c>
      <c r="C231" s="4">
        <v>1544.8</v>
      </c>
      <c r="D231" s="4">
        <v>1525.0</v>
      </c>
      <c r="E231" s="4">
        <v>1527.3</v>
      </c>
      <c r="F231" s="4">
        <v>1541.5</v>
      </c>
      <c r="G231" s="4">
        <v>1539.06</v>
      </c>
      <c r="H231" s="1" t="s">
        <v>2723</v>
      </c>
      <c r="I231" s="1" t="s">
        <v>2724</v>
      </c>
      <c r="J231" s="1" t="s">
        <v>2725</v>
      </c>
      <c r="K231" s="7">
        <v>0.009297453021672262</v>
      </c>
      <c r="L231" s="7">
        <v>1.1782726522888827E-5</v>
      </c>
      <c r="M231" s="8">
        <f t="shared" si="1"/>
        <v>7251074</v>
      </c>
    </row>
    <row r="232">
      <c r="A232" s="3">
        <v>45846.0</v>
      </c>
      <c r="B232" s="4">
        <v>1536.0</v>
      </c>
      <c r="C232" s="4">
        <v>1544.9</v>
      </c>
      <c r="D232" s="4">
        <v>1530.2</v>
      </c>
      <c r="E232" s="4">
        <v>1541.5</v>
      </c>
      <c r="F232" s="4">
        <v>1537.6</v>
      </c>
      <c r="G232" s="4">
        <v>1536.23</v>
      </c>
      <c r="H232" s="1" t="s">
        <v>2733</v>
      </c>
      <c r="I232" s="1" t="s">
        <v>2734</v>
      </c>
      <c r="J232" s="1" t="s">
        <v>2735</v>
      </c>
      <c r="K232" s="7">
        <v>-0.002530003243593961</v>
      </c>
      <c r="L232" s="7">
        <v>0.002403647889149444</v>
      </c>
      <c r="M232" s="8">
        <f t="shared" si="1"/>
        <v>7171261</v>
      </c>
    </row>
    <row r="233">
      <c r="A233" s="3">
        <v>45847.0</v>
      </c>
      <c r="B233" s="4">
        <v>1536.7</v>
      </c>
      <c r="C233" s="4">
        <v>1551.0</v>
      </c>
      <c r="D233" s="4">
        <v>1510.1</v>
      </c>
      <c r="E233" s="4">
        <v>1537.6</v>
      </c>
      <c r="F233" s="4">
        <v>1519.0</v>
      </c>
      <c r="G233" s="4">
        <v>1532.97</v>
      </c>
      <c r="H233" s="1" t="s">
        <v>2745</v>
      </c>
      <c r="I233" s="1" t="s">
        <v>2746</v>
      </c>
      <c r="J233" s="1" t="s">
        <v>2747</v>
      </c>
      <c r="K233" s="7">
        <v>-0.01209677419354833</v>
      </c>
      <c r="L233" s="7">
        <v>-0.0018180037222059538</v>
      </c>
      <c r="M233" s="8">
        <f t="shared" si="1"/>
        <v>8870660</v>
      </c>
    </row>
    <row r="234">
      <c r="A234" s="9">
        <v>45848.0</v>
      </c>
      <c r="B234" s="4">
        <v>1519.7</v>
      </c>
      <c r="C234" s="4">
        <v>1524.7</v>
      </c>
      <c r="D234" s="4">
        <v>1507.5</v>
      </c>
      <c r="E234" s="4">
        <v>1519.0</v>
      </c>
      <c r="F234" s="4">
        <v>1517.2</v>
      </c>
      <c r="G234" s="4">
        <v>1516.2</v>
      </c>
      <c r="H234" s="1" t="s">
        <v>2757</v>
      </c>
      <c r="I234" s="1" t="s">
        <v>2758</v>
      </c>
      <c r="J234" s="1" t="s">
        <v>2759</v>
      </c>
      <c r="K234" s="7">
        <v>-0.001184990125082261</v>
      </c>
      <c r="L234" s="7">
        <v>-0.004743661706462079</v>
      </c>
      <c r="M234" s="8">
        <f t="shared" si="1"/>
        <v>10047129</v>
      </c>
    </row>
    <row r="235">
      <c r="A235" s="9">
        <v>45849.0</v>
      </c>
      <c r="B235" s="4">
        <v>1512.0</v>
      </c>
      <c r="C235" s="4">
        <v>1515.0</v>
      </c>
      <c r="D235" s="4">
        <v>1490.3</v>
      </c>
      <c r="E235" s="4">
        <v>1517.2</v>
      </c>
      <c r="F235" s="4">
        <v>1495.2</v>
      </c>
      <c r="G235" s="4">
        <v>1496.06</v>
      </c>
      <c r="H235" s="1" t="s">
        <v>2770</v>
      </c>
      <c r="I235" s="1" t="s">
        <v>2772</v>
      </c>
      <c r="J235" s="1" t="s">
        <v>2776</v>
      </c>
      <c r="K235" s="7">
        <v>-0.014500395465330872</v>
      </c>
      <c r="L235" s="7">
        <v>-0.008100886404196426</v>
      </c>
      <c r="M235" s="8">
        <f t="shared" si="1"/>
        <v>7234991</v>
      </c>
    </row>
    <row r="236">
      <c r="A236" s="9">
        <v>45852.0</v>
      </c>
      <c r="B236" s="4">
        <v>1492.2</v>
      </c>
      <c r="C236" s="4">
        <v>1500.0</v>
      </c>
      <c r="D236" s="4">
        <v>1479.1</v>
      </c>
      <c r="E236" s="4">
        <v>1495.2</v>
      </c>
      <c r="F236" s="4">
        <v>1483.7</v>
      </c>
      <c r="G236" s="4">
        <v>1487.76</v>
      </c>
      <c r="H236" s="1" t="s">
        <v>2787</v>
      </c>
      <c r="I236" s="1" t="s">
        <v>2788</v>
      </c>
      <c r="J236" s="1" t="s">
        <v>2789</v>
      </c>
      <c r="K236" s="7">
        <v>-0.0076912787586944885</v>
      </c>
      <c r="L236" s="7">
        <v>-0.0026859007111374135</v>
      </c>
      <c r="M236" s="8">
        <f t="shared" si="1"/>
        <v>10311846</v>
      </c>
    </row>
    <row r="237">
      <c r="A237" s="9">
        <v>45853.0</v>
      </c>
      <c r="B237" s="4">
        <v>1486.2</v>
      </c>
      <c r="C237" s="4">
        <v>1496.5</v>
      </c>
      <c r="D237" s="4">
        <v>1482.4</v>
      </c>
      <c r="E237" s="4">
        <v>1483.7</v>
      </c>
      <c r="F237" s="4">
        <v>1485.4</v>
      </c>
      <c r="G237" s="4">
        <v>1487.92</v>
      </c>
      <c r="H237" s="1" t="s">
        <v>2796</v>
      </c>
      <c r="I237" s="1" t="s">
        <v>2800</v>
      </c>
      <c r="J237" s="1" t="s">
        <v>2807</v>
      </c>
      <c r="K237" s="7">
        <v>0.0011457841881782338</v>
      </c>
      <c r="L237" s="7">
        <v>0.004525103359739737</v>
      </c>
      <c r="M237" s="8">
        <f t="shared" si="1"/>
        <v>8132454</v>
      </c>
    </row>
    <row r="238">
      <c r="A238" s="9">
        <v>45854.0</v>
      </c>
      <c r="B238" s="4">
        <v>1473.0</v>
      </c>
      <c r="C238" s="4">
        <v>1491.0</v>
      </c>
      <c r="D238" s="4">
        <v>1471.5</v>
      </c>
      <c r="E238" s="4">
        <v>1485.4</v>
      </c>
      <c r="F238" s="4">
        <v>1485.6</v>
      </c>
      <c r="G238" s="4">
        <v>1481.43</v>
      </c>
      <c r="H238" s="1" t="s">
        <v>2814</v>
      </c>
      <c r="I238" s="1" t="s">
        <v>2816</v>
      </c>
      <c r="J238" s="1" t="s">
        <v>2818</v>
      </c>
      <c r="K238" s="7">
        <v>1.3464386697173696E-4</v>
      </c>
      <c r="L238" s="7">
        <v>6.449487613014868E-4</v>
      </c>
      <c r="M238" s="8">
        <f t="shared" si="1"/>
        <v>10409983</v>
      </c>
    </row>
    <row r="239">
      <c r="A239" s="9">
        <v>45855.0</v>
      </c>
      <c r="B239" s="4">
        <v>1487.4</v>
      </c>
      <c r="C239" s="4">
        <v>1489.6</v>
      </c>
      <c r="D239" s="4">
        <v>1473.9</v>
      </c>
      <c r="E239" s="4">
        <v>1485.6</v>
      </c>
      <c r="F239" s="4">
        <v>1476.4</v>
      </c>
      <c r="G239" s="4">
        <v>1479.78</v>
      </c>
      <c r="H239" s="1" t="s">
        <v>2830</v>
      </c>
      <c r="I239" s="1" t="s">
        <v>2832</v>
      </c>
      <c r="J239" s="1" t="s">
        <v>2834</v>
      </c>
      <c r="K239" s="7">
        <v>-0.00619278406031221</v>
      </c>
      <c r="L239" s="7">
        <v>-0.0039901555010401196</v>
      </c>
      <c r="M239" s="8">
        <f t="shared" si="1"/>
        <v>11854613</v>
      </c>
    </row>
    <row r="240">
      <c r="A240" s="9">
        <v>45856.0</v>
      </c>
      <c r="B240" s="4">
        <v>1484.8</v>
      </c>
      <c r="C240" s="4">
        <v>1484.8</v>
      </c>
      <c r="D240" s="4">
        <v>1469.1</v>
      </c>
      <c r="E240" s="4">
        <v>1476.4</v>
      </c>
      <c r="F240" s="4">
        <v>1476.0</v>
      </c>
      <c r="G240" s="4">
        <v>1475.2</v>
      </c>
      <c r="H240" s="1" t="s">
        <v>2843</v>
      </c>
      <c r="I240" s="1" t="s">
        <v>2845</v>
      </c>
      <c r="J240" s="1" t="s">
        <v>2846</v>
      </c>
      <c r="K240" s="7">
        <v>-2.709292874560356E-4</v>
      </c>
      <c r="L240" s="7">
        <v>-0.00569660453697414</v>
      </c>
      <c r="M240" s="8">
        <f t="shared" si="1"/>
        <v>10296318</v>
      </c>
    </row>
    <row r="241">
      <c r="A241" s="9">
        <v>45859.0</v>
      </c>
      <c r="B241" s="4">
        <v>1465.0</v>
      </c>
      <c r="C241" s="4">
        <v>1476.0</v>
      </c>
      <c r="D241" s="4">
        <v>1423.1</v>
      </c>
      <c r="E241" s="4">
        <v>1476.0</v>
      </c>
      <c r="F241" s="4">
        <v>1428.6</v>
      </c>
      <c r="G241" s="4">
        <v>1435.24</v>
      </c>
      <c r="H241" s="1" t="s">
        <v>2854</v>
      </c>
      <c r="I241" s="1" t="s">
        <v>2856</v>
      </c>
      <c r="J241" s="1" t="s">
        <v>2859</v>
      </c>
      <c r="K241" s="7">
        <v>-0.03211382113821144</v>
      </c>
      <c r="L241" s="7">
        <v>0.00489819131382064</v>
      </c>
      <c r="M241" s="8">
        <f t="shared" si="1"/>
        <v>22442744</v>
      </c>
    </row>
    <row r="242">
      <c r="A242" s="9">
        <v>45860.0</v>
      </c>
      <c r="B242" s="4">
        <v>1427.4</v>
      </c>
      <c r="C242" s="4">
        <v>1431.9</v>
      </c>
      <c r="D242" s="4">
        <v>1410.7</v>
      </c>
      <c r="E242" s="4">
        <v>1428.6</v>
      </c>
      <c r="F242" s="4">
        <v>1412.8</v>
      </c>
      <c r="G242" s="4">
        <v>1417.05</v>
      </c>
      <c r="H242" s="1" t="s">
        <v>2870</v>
      </c>
      <c r="I242" s="1" t="s">
        <v>2874</v>
      </c>
      <c r="J242" s="1" t="s">
        <v>2876</v>
      </c>
      <c r="K242" s="7">
        <v>-0.011059778804423881</v>
      </c>
      <c r="L242" s="7">
        <v>-0.0011876910568457346</v>
      </c>
      <c r="M242" s="8">
        <f t="shared" si="1"/>
        <v>20396320</v>
      </c>
    </row>
    <row r="243">
      <c r="A243" s="9">
        <v>45861.0</v>
      </c>
      <c r="B243" s="4">
        <v>1426.0</v>
      </c>
      <c r="C243" s="4">
        <v>1426.0</v>
      </c>
      <c r="D243" s="4">
        <v>1414.4</v>
      </c>
      <c r="E243" s="4">
        <v>1412.8</v>
      </c>
      <c r="F243" s="4">
        <v>1424.6</v>
      </c>
      <c r="G243" s="4">
        <v>1421.41</v>
      </c>
      <c r="H243" s="1" t="s">
        <v>2883</v>
      </c>
      <c r="I243" s="1" t="s">
        <v>2885</v>
      </c>
      <c r="J243" s="1" t="s">
        <v>2887</v>
      </c>
      <c r="K243" s="7">
        <v>0.00835220838052092</v>
      </c>
      <c r="L243" s="7">
        <v>0.006344544689137261</v>
      </c>
      <c r="M243" s="8">
        <f t="shared" si="1"/>
        <v>8354596</v>
      </c>
    </row>
    <row r="244">
      <c r="A244" s="9">
        <v>45862.0</v>
      </c>
      <c r="B244" s="4">
        <v>1419.2</v>
      </c>
      <c r="C244" s="4">
        <v>1423.0</v>
      </c>
      <c r="D244" s="4">
        <v>1396.0</v>
      </c>
      <c r="E244" s="4">
        <v>1424.6</v>
      </c>
      <c r="F244" s="4">
        <v>1402.9</v>
      </c>
      <c r="G244" s="4">
        <v>1407.06</v>
      </c>
      <c r="H244" s="1" t="s">
        <v>2895</v>
      </c>
      <c r="I244" s="1" t="s">
        <v>2897</v>
      </c>
      <c r="J244" s="1" t="s">
        <v>2900</v>
      </c>
      <c r="K244" s="7">
        <v>-0.015232345921662093</v>
      </c>
      <c r="L244" s="7">
        <v>-0.0062569637468825375</v>
      </c>
      <c r="M244" s="8">
        <f t="shared" si="1"/>
        <v>14740507</v>
      </c>
    </row>
    <row r="245">
      <c r="A245" s="9">
        <v>45863.0</v>
      </c>
      <c r="B245" s="4">
        <v>1398.9</v>
      </c>
      <c r="C245" s="4">
        <v>1401.0</v>
      </c>
      <c r="D245" s="4">
        <v>1384.1</v>
      </c>
      <c r="E245" s="4">
        <v>1402.9</v>
      </c>
      <c r="F245" s="4">
        <v>1391.7</v>
      </c>
      <c r="G245" s="4">
        <v>1394.22</v>
      </c>
      <c r="H245" s="1" t="s">
        <v>2910</v>
      </c>
      <c r="I245" s="1" t="s">
        <v>2911</v>
      </c>
      <c r="J245" s="1" t="s">
        <v>2912</v>
      </c>
      <c r="K245" s="7">
        <v>-0.007983462827001244</v>
      </c>
      <c r="L245" s="7">
        <v>-0.008981689483323367</v>
      </c>
      <c r="M245" s="8">
        <f t="shared" si="1"/>
        <v>11854722</v>
      </c>
    </row>
    <row r="246">
      <c r="A246" s="9">
        <v>45866.0</v>
      </c>
      <c r="B246" s="4">
        <v>1392.3</v>
      </c>
      <c r="C246" s="4">
        <v>1407.8</v>
      </c>
      <c r="D246" s="4">
        <v>1385.0</v>
      </c>
      <c r="E246" s="4">
        <v>1391.7</v>
      </c>
      <c r="F246" s="4">
        <v>1387.6</v>
      </c>
      <c r="G246" s="4">
        <v>1394.17</v>
      </c>
      <c r="H246" s="1" t="s">
        <v>2922</v>
      </c>
      <c r="I246" s="1" t="s">
        <v>2923</v>
      </c>
      <c r="J246" s="1" t="s">
        <v>2924</v>
      </c>
      <c r="K246" s="7">
        <v>-0.002946037220665471</v>
      </c>
      <c r="L246" s="7">
        <v>-0.006284978056931133</v>
      </c>
      <c r="M246" s="8">
        <f t="shared" si="1"/>
        <v>7748361</v>
      </c>
    </row>
    <row r="247">
      <c r="A247" s="9">
        <v>45867.0</v>
      </c>
      <c r="B247" s="4">
        <v>1383.0</v>
      </c>
      <c r="C247" s="4">
        <v>1420.2</v>
      </c>
      <c r="D247" s="4">
        <v>1383.0</v>
      </c>
      <c r="E247" s="4">
        <v>1387.6</v>
      </c>
      <c r="F247" s="4">
        <v>1417.1</v>
      </c>
      <c r="G247" s="4">
        <v>1402.99</v>
      </c>
      <c r="H247" s="1" t="s">
        <v>2943</v>
      </c>
      <c r="I247" s="1" t="s">
        <v>2944</v>
      </c>
      <c r="J247" s="1" t="s">
        <v>2946</v>
      </c>
      <c r="K247" s="7">
        <v>0.021259729028538486</v>
      </c>
      <c r="L247" s="7">
        <v>0.005680505978306993</v>
      </c>
      <c r="M247" s="8">
        <f t="shared" si="1"/>
        <v>10750072</v>
      </c>
    </row>
    <row r="248">
      <c r="A248" s="9">
        <v>45868.0</v>
      </c>
      <c r="B248" s="4">
        <v>1418.1</v>
      </c>
      <c r="C248" s="4">
        <v>1423.3</v>
      </c>
      <c r="D248" s="4">
        <v>1401.3</v>
      </c>
      <c r="E248" s="4">
        <v>1417.1</v>
      </c>
      <c r="F248" s="4">
        <v>1410.1</v>
      </c>
      <c r="G248" s="4">
        <v>1411.5</v>
      </c>
      <c r="H248" s="1" t="s">
        <v>2960</v>
      </c>
      <c r="I248" s="1" t="s">
        <v>2961</v>
      </c>
      <c r="J248" s="1" t="s">
        <v>2962</v>
      </c>
      <c r="K248" s="7">
        <v>-0.004939665514078047</v>
      </c>
      <c r="L248" s="7">
        <v>0.0013677878901418845</v>
      </c>
      <c r="M248" s="8">
        <f t="shared" si="1"/>
        <v>7209849</v>
      </c>
    </row>
    <row r="249">
      <c r="A249" s="9">
        <v>45869.0</v>
      </c>
      <c r="B249" s="4">
        <v>1388.1</v>
      </c>
      <c r="C249" s="4">
        <v>1402.6</v>
      </c>
      <c r="D249" s="4">
        <v>1382.2</v>
      </c>
      <c r="E249" s="4">
        <v>1410.1</v>
      </c>
      <c r="F249" s="4">
        <v>1390.2</v>
      </c>
      <c r="G249" s="4">
        <v>1392.63</v>
      </c>
      <c r="H249" s="1" t="s">
        <v>2971</v>
      </c>
      <c r="I249" s="1" t="s">
        <v>2972</v>
      </c>
      <c r="J249" s="1" t="s">
        <v>2973</v>
      </c>
      <c r="K249" s="7">
        <v>-0.014112474292603266</v>
      </c>
      <c r="L249" s="7">
        <v>-0.003488224726966984</v>
      </c>
      <c r="M249" s="8">
        <f t="shared" si="1"/>
        <v>17065827</v>
      </c>
    </row>
    <row r="250">
      <c r="A250" s="3">
        <v>45870.0</v>
      </c>
      <c r="B250" s="4">
        <v>1386.9</v>
      </c>
      <c r="C250" s="4">
        <v>1405.9</v>
      </c>
      <c r="D250" s="4">
        <v>1384.3</v>
      </c>
      <c r="E250" s="4">
        <v>1390.2</v>
      </c>
      <c r="F250" s="4">
        <v>1393.7</v>
      </c>
      <c r="G250" s="4">
        <v>1397.47</v>
      </c>
      <c r="H250" s="1" t="s">
        <v>2982</v>
      </c>
      <c r="I250" s="1" t="s">
        <v>2984</v>
      </c>
      <c r="J250" s="1" t="s">
        <v>2985</v>
      </c>
      <c r="K250" s="7">
        <v>0.0025176233635448137</v>
      </c>
      <c r="L250" s="7">
        <v>-0.008195943613522903</v>
      </c>
      <c r="M250" s="8">
        <f t="shared" si="1"/>
        <v>10321171</v>
      </c>
    </row>
    <row r="251">
      <c r="A251" s="3">
        <v>45873.0</v>
      </c>
      <c r="B251" s="4">
        <v>1395.1</v>
      </c>
      <c r="C251" s="4">
        <v>1416.1</v>
      </c>
      <c r="D251" s="4">
        <v>1391.7</v>
      </c>
      <c r="E251" s="4">
        <v>1393.7</v>
      </c>
      <c r="F251" s="4">
        <v>1411.5</v>
      </c>
      <c r="G251" s="4">
        <v>1410.61</v>
      </c>
      <c r="H251" s="1" t="s">
        <v>2992</v>
      </c>
      <c r="I251" s="1" t="s">
        <v>2993</v>
      </c>
      <c r="J251" s="1" t="s">
        <v>2996</v>
      </c>
      <c r="K251" s="7">
        <v>0.012771758628112187</v>
      </c>
      <c r="L251" s="7">
        <v>0.006407399039704359</v>
      </c>
      <c r="M251" s="8">
        <f t="shared" si="1"/>
        <v>6312820</v>
      </c>
    </row>
    <row r="252">
      <c r="A252" s="3">
        <v>45874.0</v>
      </c>
      <c r="B252" s="4">
        <v>1411.0</v>
      </c>
      <c r="C252" s="4">
        <v>1411.0</v>
      </c>
      <c r="D252" s="4">
        <v>1388.1</v>
      </c>
      <c r="E252" s="4">
        <v>1411.5</v>
      </c>
      <c r="F252" s="4">
        <v>1391.7</v>
      </c>
      <c r="G252" s="4">
        <v>1394.5</v>
      </c>
      <c r="H252" s="1" t="s">
        <v>3012</v>
      </c>
      <c r="I252" s="1" t="s">
        <v>3013</v>
      </c>
      <c r="J252" s="1" t="s">
        <v>3014</v>
      </c>
      <c r="K252" s="7">
        <v>-0.014027630180658841</v>
      </c>
      <c r="L252" s="7">
        <v>-0.002960835667553194</v>
      </c>
      <c r="M252" s="8">
        <f t="shared" si="1"/>
        <v>9315972</v>
      </c>
    </row>
    <row r="253">
      <c r="A253" s="3">
        <v>45875.0</v>
      </c>
      <c r="B253" s="4">
        <v>1391.9</v>
      </c>
      <c r="C253" s="4">
        <v>1395.9</v>
      </c>
      <c r="D253" s="4">
        <v>1383.3</v>
      </c>
      <c r="E253" s="4">
        <v>1391.7</v>
      </c>
      <c r="F253" s="4">
        <v>1392.8</v>
      </c>
      <c r="G253" s="4">
        <v>1390.57</v>
      </c>
      <c r="H253" s="1" t="s">
        <v>3023</v>
      </c>
      <c r="I253" s="1" t="s">
        <v>3024</v>
      </c>
      <c r="J253" s="1" t="s">
        <v>3026</v>
      </c>
      <c r="K253" s="7">
        <v>7.90400229934547E-4</v>
      </c>
      <c r="L253" s="7">
        <v>-0.0030568509364267723</v>
      </c>
      <c r="M253" s="8">
        <f t="shared" si="1"/>
        <v>5834312</v>
      </c>
    </row>
    <row r="254">
      <c r="A254" s="3">
        <v>45876.0</v>
      </c>
      <c r="B254" s="4">
        <v>1387.7</v>
      </c>
      <c r="C254" s="4">
        <v>1393.7</v>
      </c>
      <c r="D254" s="4">
        <v>1366.0</v>
      </c>
      <c r="E254" s="4">
        <v>1392.8</v>
      </c>
      <c r="F254" s="4">
        <v>1389.4</v>
      </c>
      <c r="G254" s="4">
        <v>1381.52</v>
      </c>
      <c r="H254" s="1" t="s">
        <v>3032</v>
      </c>
      <c r="I254" s="1" t="s">
        <v>3033</v>
      </c>
      <c r="J254" s="1" t="s">
        <v>3035</v>
      </c>
      <c r="K254" s="7">
        <v>-0.002441125789775893</v>
      </c>
      <c r="L254" s="7">
        <v>8.932132073475729E-4</v>
      </c>
      <c r="M254" s="8">
        <f t="shared" si="1"/>
        <v>9976705</v>
      </c>
    </row>
    <row r="255">
      <c r="A255" s="3">
        <v>45877.0</v>
      </c>
      <c r="B255" s="4">
        <v>1385.0</v>
      </c>
      <c r="C255" s="4">
        <v>1397.2</v>
      </c>
      <c r="D255" s="4">
        <v>1365.0</v>
      </c>
      <c r="E255" s="4">
        <v>1389.4</v>
      </c>
      <c r="F255" s="4">
        <v>1367.8</v>
      </c>
      <c r="G255" s="4">
        <v>1374.93</v>
      </c>
      <c r="H255" s="1" t="s">
        <v>3043</v>
      </c>
      <c r="I255" s="1" t="s">
        <v>3045</v>
      </c>
      <c r="J255" s="1" t="s">
        <v>3047</v>
      </c>
      <c r="K255" s="7">
        <v>-0.01554627896933938</v>
      </c>
      <c r="L255" s="7">
        <v>-0.009466928767307167</v>
      </c>
      <c r="M255" s="8">
        <f t="shared" si="1"/>
        <v>8793606</v>
      </c>
    </row>
    <row r="256">
      <c r="A256" s="9">
        <v>45880.0</v>
      </c>
      <c r="B256" s="4">
        <v>1370.0</v>
      </c>
      <c r="C256" s="4">
        <v>1388.0</v>
      </c>
      <c r="D256" s="4">
        <v>1361.2</v>
      </c>
      <c r="E256" s="4">
        <v>1367.8</v>
      </c>
      <c r="F256" s="4">
        <v>1386.2</v>
      </c>
      <c r="G256" s="4">
        <v>1375.78</v>
      </c>
      <c r="H256" s="1" t="s">
        <v>3055</v>
      </c>
      <c r="I256" s="1" t="s">
        <v>3056</v>
      </c>
      <c r="J256" s="1" t="s">
        <v>3057</v>
      </c>
      <c r="K256" s="7">
        <v>0.013452259102207991</v>
      </c>
      <c r="L256" s="7">
        <v>0.009101804763722484</v>
      </c>
      <c r="M256" s="8">
        <f t="shared" si="1"/>
        <v>9997486</v>
      </c>
    </row>
    <row r="257">
      <c r="A257" s="9">
        <v>45881.0</v>
      </c>
      <c r="B257" s="4">
        <v>1381.9</v>
      </c>
      <c r="C257" s="4">
        <v>1401.9</v>
      </c>
      <c r="D257" s="4">
        <v>1375.2</v>
      </c>
      <c r="E257" s="4">
        <v>1386.2</v>
      </c>
      <c r="F257" s="4">
        <v>1380.4</v>
      </c>
      <c r="G257" s="4">
        <v>1386.76</v>
      </c>
      <c r="H257" s="1" t="s">
        <v>3067</v>
      </c>
      <c r="I257" s="1" t="s">
        <v>3068</v>
      </c>
      <c r="J257" s="1" t="s">
        <v>3071</v>
      </c>
      <c r="K257" s="7">
        <v>-0.0041841004184100085</v>
      </c>
      <c r="L257" s="7">
        <v>-0.003971926028216246</v>
      </c>
      <c r="M257" s="8">
        <f t="shared" si="1"/>
        <v>12244664</v>
      </c>
    </row>
    <row r="258">
      <c r="A258" s="9">
        <v>45882.0</v>
      </c>
      <c r="B258" s="4">
        <v>1388.0</v>
      </c>
      <c r="C258" s="4">
        <v>1391.8</v>
      </c>
      <c r="D258" s="4">
        <v>1377.5</v>
      </c>
      <c r="E258" s="4">
        <v>1380.4</v>
      </c>
      <c r="F258" s="4">
        <v>1382.6</v>
      </c>
      <c r="G258" s="4">
        <v>1384.19</v>
      </c>
      <c r="H258" s="1" t="s">
        <v>3074</v>
      </c>
      <c r="I258" s="1" t="s">
        <v>3077</v>
      </c>
      <c r="J258" s="1" t="s">
        <v>3078</v>
      </c>
      <c r="K258" s="7">
        <v>0.0015937409446535916</v>
      </c>
      <c r="L258" s="7">
        <v>0.005388485506831966</v>
      </c>
      <c r="M258" s="8">
        <f t="shared" si="1"/>
        <v>7457021</v>
      </c>
    </row>
    <row r="259">
      <c r="A259" s="9">
        <v>45883.0</v>
      </c>
      <c r="B259" s="4">
        <v>1377.3</v>
      </c>
      <c r="C259" s="4">
        <v>1380.7</v>
      </c>
      <c r="D259" s="4">
        <v>1370.1</v>
      </c>
      <c r="E259" s="4">
        <v>1382.6</v>
      </c>
      <c r="F259" s="4">
        <v>1373.8</v>
      </c>
      <c r="G259" s="4">
        <v>1375.17</v>
      </c>
      <c r="H259" s="1" t="s">
        <v>3087</v>
      </c>
      <c r="I259" s="1" t="s">
        <v>3088</v>
      </c>
      <c r="J259" s="1" t="s">
        <v>2514</v>
      </c>
      <c r="K259" s="7">
        <v>-0.006364819904527669</v>
      </c>
      <c r="L259" s="7">
        <v>4.853905566150499E-4</v>
      </c>
      <c r="M259" s="8">
        <f t="shared" si="1"/>
        <v>7126128</v>
      </c>
    </row>
    <row r="260">
      <c r="A260" s="9">
        <v>45887.0</v>
      </c>
      <c r="B260" s="4">
        <v>1390.0</v>
      </c>
      <c r="C260" s="4">
        <v>1394.9</v>
      </c>
      <c r="D260" s="4">
        <v>1377.0</v>
      </c>
      <c r="E260" s="4">
        <v>1373.8</v>
      </c>
      <c r="F260" s="4">
        <v>1381.7</v>
      </c>
      <c r="G260" s="4">
        <v>1384.21</v>
      </c>
      <c r="H260" s="1" t="s">
        <v>3092</v>
      </c>
      <c r="I260" s="1" t="s">
        <v>3093</v>
      </c>
      <c r="J260" s="1" t="s">
        <v>3094</v>
      </c>
      <c r="K260" s="7">
        <v>0.005750473140195146</v>
      </c>
      <c r="L260" s="7">
        <v>0.009973083028504443</v>
      </c>
      <c r="M260" s="8">
        <f t="shared" si="1"/>
        <v>11785109</v>
      </c>
    </row>
    <row r="261">
      <c r="A261" s="9">
        <v>45888.0</v>
      </c>
      <c r="B261" s="4">
        <v>1390.0</v>
      </c>
      <c r="C261" s="4">
        <v>1421.0</v>
      </c>
      <c r="D261" s="4">
        <v>1389.1</v>
      </c>
      <c r="E261" s="4">
        <v>1381.7</v>
      </c>
      <c r="F261" s="4">
        <v>1420.1</v>
      </c>
      <c r="G261" s="4">
        <v>1413.6</v>
      </c>
      <c r="H261" s="1" t="s">
        <v>3098</v>
      </c>
      <c r="I261" s="1" t="s">
        <v>3099</v>
      </c>
      <c r="J261" s="1" t="s">
        <v>3100</v>
      </c>
      <c r="K261" s="7">
        <v>0.027791850618802825</v>
      </c>
      <c r="L261" s="7">
        <v>0.0041685174428537555</v>
      </c>
      <c r="M261" s="8">
        <f t="shared" si="1"/>
        <v>14384719</v>
      </c>
    </row>
    <row r="262">
      <c r="A262" s="9">
        <v>45889.0</v>
      </c>
      <c r="B262" s="4">
        <v>1413.0</v>
      </c>
      <c r="C262" s="4">
        <v>1424.9</v>
      </c>
      <c r="D262" s="4">
        <v>1410.0</v>
      </c>
      <c r="E262" s="4">
        <v>1420.1</v>
      </c>
      <c r="F262" s="4">
        <v>1413.0</v>
      </c>
      <c r="G262" s="4">
        <v>1418.58</v>
      </c>
      <c r="H262" s="1" t="s">
        <v>3110</v>
      </c>
      <c r="I262" s="1" t="s">
        <v>3111</v>
      </c>
      <c r="J262" s="1" t="s">
        <v>3112</v>
      </c>
      <c r="K262" s="7">
        <v>-0.004999647912118801</v>
      </c>
      <c r="L262" s="7">
        <v>0.0027981657803138756</v>
      </c>
      <c r="M262" s="8">
        <f t="shared" si="1"/>
        <v>8725641</v>
      </c>
    </row>
    <row r="263">
      <c r="A263" s="9">
        <v>45890.0</v>
      </c>
      <c r="B263" s="4">
        <v>1425.0</v>
      </c>
      <c r="C263" s="4">
        <v>1431.9</v>
      </c>
      <c r="D263" s="4">
        <v>1420.3</v>
      </c>
      <c r="E263" s="4">
        <v>1413.0</v>
      </c>
      <c r="F263" s="4">
        <v>1424.8</v>
      </c>
      <c r="G263" s="4">
        <v>1427.55</v>
      </c>
      <c r="H263" s="1" t="s">
        <v>3122</v>
      </c>
      <c r="I263" s="1" t="s">
        <v>3123</v>
      </c>
      <c r="J263" s="1" t="s">
        <v>3124</v>
      </c>
      <c r="K263" s="7">
        <v>0.008351026185421058</v>
      </c>
      <c r="L263" s="7">
        <v>0.0013253202025504721</v>
      </c>
      <c r="M263" s="8">
        <f t="shared" si="1"/>
        <v>11021323</v>
      </c>
    </row>
    <row r="264">
      <c r="A264" s="9">
        <v>45891.0</v>
      </c>
      <c r="B264" s="4">
        <v>1420.0</v>
      </c>
      <c r="C264" s="4">
        <v>1423.4</v>
      </c>
      <c r="D264" s="4">
        <v>1407.9</v>
      </c>
      <c r="E264" s="4">
        <v>1424.8</v>
      </c>
      <c r="F264" s="4">
        <v>1409.2</v>
      </c>
      <c r="G264" s="4">
        <v>1414.0</v>
      </c>
      <c r="H264" s="1" t="s">
        <v>3131</v>
      </c>
      <c r="I264" s="1" t="s">
        <v>3133</v>
      </c>
      <c r="J264" s="1" t="s">
        <v>3136</v>
      </c>
      <c r="K264" s="7">
        <v>-0.010948905109488987</v>
      </c>
      <c r="L264" s="7">
        <v>-0.008517466487267712</v>
      </c>
      <c r="M264" s="8">
        <f t="shared" si="1"/>
        <v>5818868</v>
      </c>
    </row>
    <row r="265">
      <c r="A265" s="9">
        <v>45894.0</v>
      </c>
      <c r="B265" s="4">
        <v>1414.7</v>
      </c>
      <c r="C265" s="4">
        <v>1419.5</v>
      </c>
      <c r="D265" s="4">
        <v>1405.7</v>
      </c>
      <c r="E265" s="4">
        <v>1409.2</v>
      </c>
      <c r="F265" s="4">
        <v>1412.6</v>
      </c>
      <c r="G265" s="4">
        <v>1412.48</v>
      </c>
      <c r="H265" s="1" t="s">
        <v>3146</v>
      </c>
      <c r="I265" s="1" t="s">
        <v>3148</v>
      </c>
      <c r="J265" s="1" t="s">
        <v>3150</v>
      </c>
      <c r="K265" s="7">
        <v>0.0024127164348565593</v>
      </c>
      <c r="L265" s="7">
        <v>0.003926401582623369</v>
      </c>
      <c r="M265" s="8">
        <f t="shared" si="1"/>
        <v>5979407</v>
      </c>
    </row>
    <row r="266">
      <c r="A266" s="9">
        <v>45895.0</v>
      </c>
      <c r="B266" s="4">
        <v>1408.0</v>
      </c>
      <c r="C266" s="4">
        <v>1410.0</v>
      </c>
      <c r="D266" s="4">
        <v>1381.6</v>
      </c>
      <c r="E266" s="4">
        <v>1412.6</v>
      </c>
      <c r="F266" s="4">
        <v>1384.9</v>
      </c>
      <c r="G266" s="4">
        <v>1390.78</v>
      </c>
      <c r="H266" s="1" t="s">
        <v>3158</v>
      </c>
      <c r="I266" s="1" t="s">
        <v>3159</v>
      </c>
      <c r="J266" s="1" t="s">
        <v>3160</v>
      </c>
      <c r="K266" s="7">
        <v>-0.019609231204870323</v>
      </c>
      <c r="L266" s="7">
        <v>-0.010241211162399524</v>
      </c>
      <c r="M266" s="8">
        <f t="shared" si="1"/>
        <v>12145259</v>
      </c>
    </row>
    <row r="267">
      <c r="A267" s="9">
        <v>45897.0</v>
      </c>
      <c r="B267" s="4">
        <v>1389.9</v>
      </c>
      <c r="C267" s="4">
        <v>1392.2</v>
      </c>
      <c r="D267" s="4">
        <v>1366.5</v>
      </c>
      <c r="E267" s="4">
        <v>1384.9</v>
      </c>
      <c r="F267" s="4">
        <v>1385.9</v>
      </c>
      <c r="G267" s="4">
        <v>1380.78</v>
      </c>
      <c r="H267" s="1" t="s">
        <v>3170</v>
      </c>
      <c r="I267" s="1" t="s">
        <v>3171</v>
      </c>
      <c r="J267" s="1" t="s">
        <v>3172</v>
      </c>
      <c r="K267" s="7">
        <v>7.220737959419452E-4</v>
      </c>
      <c r="L267" s="7">
        <v>-0.008544414566982416</v>
      </c>
      <c r="M267" s="8">
        <f t="shared" si="1"/>
        <v>13161813</v>
      </c>
    </row>
    <row r="268">
      <c r="A268" s="9">
        <v>45898.0</v>
      </c>
      <c r="B268" s="4">
        <v>1381.1</v>
      </c>
      <c r="C268" s="4">
        <v>1403.5</v>
      </c>
      <c r="D268" s="4">
        <v>1350.0</v>
      </c>
      <c r="E268" s="4">
        <v>1385.9</v>
      </c>
      <c r="F268" s="4">
        <v>1357.2</v>
      </c>
      <c r="G268" s="4">
        <v>1375.14</v>
      </c>
      <c r="H268" s="1" t="s">
        <v>3182</v>
      </c>
      <c r="I268" s="1" t="s">
        <v>3183</v>
      </c>
      <c r="J268" s="1" t="s">
        <v>3184</v>
      </c>
      <c r="K268" s="7">
        <v>-0.020708564831517458</v>
      </c>
      <c r="L268" s="7">
        <v>-0.0030223379549323866</v>
      </c>
      <c r="M268" s="8">
        <f t="shared" si="1"/>
        <v>18758842</v>
      </c>
    </row>
    <row r="269">
      <c r="A269" s="3">
        <v>45901.0</v>
      </c>
      <c r="B269" s="4">
        <v>1356.0</v>
      </c>
      <c r="C269" s="4">
        <v>1363.2</v>
      </c>
      <c r="D269" s="4">
        <v>1340.6</v>
      </c>
      <c r="E269" s="4">
        <v>1357.2</v>
      </c>
      <c r="F269" s="4">
        <v>1353.9</v>
      </c>
      <c r="G269" s="4">
        <v>1353.99</v>
      </c>
      <c r="H269" s="1" t="s">
        <v>3192</v>
      </c>
      <c r="I269" s="1" t="s">
        <v>3193</v>
      </c>
      <c r="J269" s="1" t="s">
        <v>3194</v>
      </c>
      <c r="K269" s="7">
        <v>-0.0024314765694075703</v>
      </c>
      <c r="L269" s="7">
        <v>0.008114022069976306</v>
      </c>
      <c r="M269" s="8">
        <f t="shared" si="1"/>
        <v>11232238</v>
      </c>
    </row>
    <row r="270">
      <c r="A270" s="3">
        <v>45902.0</v>
      </c>
      <c r="B270" s="4">
        <v>1354.8</v>
      </c>
      <c r="C270" s="4">
        <v>1384.5</v>
      </c>
      <c r="D270" s="4">
        <v>1354.5</v>
      </c>
      <c r="E270" s="4">
        <v>1353.9</v>
      </c>
      <c r="F270" s="4">
        <v>1366.5</v>
      </c>
      <c r="G270" s="4">
        <v>1374.28</v>
      </c>
      <c r="H270" s="1" t="s">
        <v>3201</v>
      </c>
      <c r="I270" s="1" t="s">
        <v>3202</v>
      </c>
      <c r="J270" s="1" t="s">
        <v>3203</v>
      </c>
      <c r="K270" s="7">
        <v>0.009306448038998381</v>
      </c>
      <c r="L270" s="7">
        <v>-0.001845681531611133</v>
      </c>
      <c r="M270" s="8">
        <f t="shared" si="1"/>
        <v>11517006</v>
      </c>
    </row>
    <row r="271">
      <c r="A271" s="3">
        <v>45903.0</v>
      </c>
      <c r="B271" s="4">
        <v>1369.7</v>
      </c>
      <c r="C271" s="4">
        <v>1376.5</v>
      </c>
      <c r="D271" s="4">
        <v>1360.5</v>
      </c>
      <c r="E271" s="4">
        <v>1366.5</v>
      </c>
      <c r="F271" s="4">
        <v>1372.6</v>
      </c>
      <c r="G271" s="4">
        <v>1368.85</v>
      </c>
      <c r="H271" s="1" t="s">
        <v>3213</v>
      </c>
      <c r="I271" s="1" t="s">
        <v>3214</v>
      </c>
      <c r="J271" s="1" t="s">
        <v>3216</v>
      </c>
      <c r="K271" s="7">
        <v>0.004463959019392542</v>
      </c>
      <c r="L271" s="7">
        <v>0.005510667382707641</v>
      </c>
      <c r="M271" s="8">
        <f t="shared" si="1"/>
        <v>7847563</v>
      </c>
    </row>
    <row r="272">
      <c r="A272" s="3">
        <v>45904.0</v>
      </c>
      <c r="B272" s="4">
        <v>1371.8</v>
      </c>
      <c r="C272" s="4">
        <v>1374.0</v>
      </c>
      <c r="D272" s="4">
        <v>1357.1</v>
      </c>
      <c r="E272" s="4">
        <v>1372.6</v>
      </c>
      <c r="F272" s="4">
        <v>1359.3</v>
      </c>
      <c r="G272" s="4">
        <v>1363.97</v>
      </c>
      <c r="H272" s="1" t="s">
        <v>3224</v>
      </c>
      <c r="I272" s="1" t="s">
        <v>3227</v>
      </c>
      <c r="J272" s="1" t="s">
        <v>3229</v>
      </c>
      <c r="K272" s="7">
        <v>-0.009689640099082002</v>
      </c>
      <c r="L272" s="7">
        <v>7.788776474253542E-4</v>
      </c>
      <c r="M272" s="8">
        <f t="shared" si="1"/>
        <v>13223177</v>
      </c>
    </row>
    <row r="273">
      <c r="A273" s="3">
        <v>45905.0</v>
      </c>
      <c r="B273" s="4">
        <v>1363.0</v>
      </c>
      <c r="C273" s="4">
        <v>1381.0</v>
      </c>
      <c r="D273" s="4">
        <v>1359.3</v>
      </c>
      <c r="E273" s="4">
        <v>1359.3</v>
      </c>
      <c r="F273" s="4">
        <v>1375.0</v>
      </c>
      <c r="G273" s="4">
        <v>1370.36</v>
      </c>
      <c r="H273" s="1" t="s">
        <v>3237</v>
      </c>
      <c r="I273" s="1" t="s">
        <v>3239</v>
      </c>
      <c r="J273" s="1" t="s">
        <v>3240</v>
      </c>
      <c r="K273" s="7">
        <v>0.011550062532185717</v>
      </c>
      <c r="L273" s="7">
        <v>2.708789009594259E-4</v>
      </c>
      <c r="M273" s="8">
        <f t="shared" si="1"/>
        <v>5777575</v>
      </c>
    </row>
    <row r="274">
      <c r="A274" s="3">
        <v>45908.0</v>
      </c>
      <c r="B274" s="4">
        <v>1380.0</v>
      </c>
      <c r="C274" s="4">
        <v>1386.0</v>
      </c>
      <c r="D274" s="4">
        <v>1372.4</v>
      </c>
      <c r="E274" s="4">
        <v>1375.0</v>
      </c>
      <c r="F274" s="4">
        <v>1378.5</v>
      </c>
      <c r="G274" s="4">
        <v>1379.43</v>
      </c>
      <c r="H274" s="1" t="s">
        <v>3247</v>
      </c>
      <c r="I274" s="1" t="s">
        <v>3248</v>
      </c>
      <c r="J274" s="1" t="s">
        <v>3249</v>
      </c>
      <c r="K274" s="7">
        <v>0.0025454545454545456</v>
      </c>
      <c r="L274" s="7">
        <v>0.0012994624307829698</v>
      </c>
      <c r="M274" s="8">
        <f t="shared" si="1"/>
        <v>6986720</v>
      </c>
    </row>
    <row r="275">
      <c r="A275" s="3">
        <v>45909.0</v>
      </c>
      <c r="B275" s="4">
        <v>1376.6</v>
      </c>
      <c r="C275" s="4">
        <v>1381.2</v>
      </c>
      <c r="D275" s="4">
        <v>1368.7</v>
      </c>
      <c r="E275" s="4">
        <v>1378.5</v>
      </c>
      <c r="F275" s="4">
        <v>1376.2</v>
      </c>
      <c r="G275" s="4">
        <v>1375.44</v>
      </c>
      <c r="H275" s="1" t="s">
        <v>3259</v>
      </c>
      <c r="I275" s="1" t="s">
        <v>3260</v>
      </c>
      <c r="J275" s="1" t="s">
        <v>3261</v>
      </c>
      <c r="K275" s="7">
        <v>-0.0016684802321363472</v>
      </c>
      <c r="L275" s="7">
        <v>0.0038529617751475722</v>
      </c>
      <c r="M275" s="8">
        <f t="shared" si="1"/>
        <v>9754452</v>
      </c>
    </row>
    <row r="276">
      <c r="A276" s="9">
        <v>45910.0</v>
      </c>
      <c r="B276" s="4">
        <v>1383.9</v>
      </c>
      <c r="C276" s="4">
        <v>1388.5</v>
      </c>
      <c r="D276" s="4">
        <v>1374.1</v>
      </c>
      <c r="E276" s="4">
        <v>1376.2</v>
      </c>
      <c r="F276" s="4">
        <v>1377.0</v>
      </c>
      <c r="G276" s="4">
        <v>1380.12</v>
      </c>
      <c r="H276" s="1" t="s">
        <v>3270</v>
      </c>
      <c r="I276" s="1" t="s">
        <v>3271</v>
      </c>
      <c r="J276" s="1" t="s">
        <v>3272</v>
      </c>
      <c r="K276" s="7">
        <v>5.813108559802023E-4</v>
      </c>
      <c r="L276" s="7">
        <v>0.004202086164882623</v>
      </c>
      <c r="M276" s="8">
        <f t="shared" si="1"/>
        <v>7790815</v>
      </c>
    </row>
    <row r="277">
      <c r="A277" s="9">
        <v>45911.0</v>
      </c>
      <c r="B277" s="4">
        <v>1376.0</v>
      </c>
      <c r="C277" s="4">
        <v>1385.5</v>
      </c>
      <c r="D277" s="4">
        <v>1375.0</v>
      </c>
      <c r="E277" s="4">
        <v>1377.0</v>
      </c>
      <c r="F277" s="4">
        <v>1383.3</v>
      </c>
      <c r="G277" s="4">
        <v>1382.49</v>
      </c>
      <c r="H277" s="1" t="s">
        <v>3282</v>
      </c>
      <c r="I277" s="1" t="s">
        <v>3283</v>
      </c>
      <c r="J277" s="1" t="s">
        <v>3284</v>
      </c>
      <c r="K277" s="7">
        <v>0.004575163398692778</v>
      </c>
      <c r="L277" s="7">
        <v>0.0012973959980940074</v>
      </c>
      <c r="M277" s="8">
        <f t="shared" si="1"/>
        <v>9766072</v>
      </c>
    </row>
    <row r="278">
      <c r="A278" s="9">
        <v>45912.0</v>
      </c>
      <c r="B278" s="4">
        <v>1383.3</v>
      </c>
      <c r="C278" s="4">
        <v>1396.3</v>
      </c>
      <c r="D278" s="4">
        <v>1380.5</v>
      </c>
      <c r="E278" s="4">
        <v>1383.3</v>
      </c>
      <c r="F278" s="4">
        <v>1395.0</v>
      </c>
      <c r="G278" s="4">
        <v>1392.69</v>
      </c>
      <c r="H278" s="1" t="s">
        <v>3288</v>
      </c>
      <c r="I278" s="1" t="s">
        <v>3289</v>
      </c>
      <c r="J278" s="1" t="s">
        <v>3291</v>
      </c>
      <c r="K278" s="7">
        <v>0.008458035133376741</v>
      </c>
      <c r="L278" s="7">
        <v>0.0043390454100097975</v>
      </c>
      <c r="M278" s="8">
        <f t="shared" si="1"/>
        <v>7403368</v>
      </c>
    </row>
    <row r="279">
      <c r="A279" s="9">
        <v>45915.0</v>
      </c>
      <c r="B279" s="4">
        <v>1393.0</v>
      </c>
      <c r="C279" s="4">
        <v>1400.8</v>
      </c>
      <c r="D279" s="4">
        <v>1388.6</v>
      </c>
      <c r="E279" s="4">
        <v>1395.0</v>
      </c>
      <c r="F279" s="4">
        <v>1399.3</v>
      </c>
      <c r="G279" s="4">
        <v>1395.97</v>
      </c>
      <c r="H279" s="1" t="s">
        <v>3299</v>
      </c>
      <c r="I279" s="1" t="s">
        <v>3300</v>
      </c>
      <c r="J279" s="1" t="s">
        <v>3301</v>
      </c>
      <c r="K279" s="7">
        <v>0.0030824372759856306</v>
      </c>
      <c r="L279" s="7">
        <v>-0.0017838655729871494</v>
      </c>
      <c r="M279" s="8">
        <f t="shared" si="1"/>
        <v>5396697</v>
      </c>
    </row>
    <row r="280">
      <c r="A280" s="9">
        <v>45916.0</v>
      </c>
      <c r="B280" s="4">
        <v>1404.7</v>
      </c>
      <c r="C280" s="4">
        <v>1408.0</v>
      </c>
      <c r="D280" s="4">
        <v>1398.2</v>
      </c>
      <c r="E280" s="4">
        <v>1399.3</v>
      </c>
      <c r="F280" s="4">
        <v>1405.3</v>
      </c>
      <c r="G280" s="4">
        <v>1404.0</v>
      </c>
      <c r="H280" s="1" t="s">
        <v>3308</v>
      </c>
      <c r="I280" s="1" t="s">
        <v>3309</v>
      </c>
      <c r="J280" s="1" t="s">
        <v>3311</v>
      </c>
      <c r="K280" s="7">
        <v>0.004287858214821696</v>
      </c>
      <c r="L280" s="7">
        <v>0.006777240598024581</v>
      </c>
      <c r="M280" s="8">
        <f t="shared" si="1"/>
        <v>8686961</v>
      </c>
    </row>
    <row r="281">
      <c r="A281" s="9">
        <v>45917.0</v>
      </c>
      <c r="B281" s="4">
        <v>1407.0</v>
      </c>
      <c r="C281" s="4">
        <v>1416.2</v>
      </c>
      <c r="D281" s="4">
        <v>1406.9</v>
      </c>
      <c r="E281" s="4">
        <v>1405.3</v>
      </c>
      <c r="F281" s="4">
        <v>1413.8</v>
      </c>
      <c r="G281" s="4">
        <v>1412.05</v>
      </c>
      <c r="H281" s="1" t="s">
        <v>3320</v>
      </c>
      <c r="I281" s="1" t="s">
        <v>3321</v>
      </c>
      <c r="J281" s="1" t="s">
        <v>3322</v>
      </c>
      <c r="K281" s="7">
        <v>0.006048530562869138</v>
      </c>
      <c r="L281" s="7">
        <v>0.0036114599965926465</v>
      </c>
      <c r="M281" s="8">
        <f t="shared" si="1"/>
        <v>7519417</v>
      </c>
    </row>
    <row r="282">
      <c r="A282" s="9">
        <v>45918.0</v>
      </c>
      <c r="B282" s="4">
        <v>1420.4</v>
      </c>
      <c r="C282" s="4">
        <v>1422.0</v>
      </c>
      <c r="D282" s="4">
        <v>1410.7</v>
      </c>
      <c r="E282" s="4">
        <v>1413.8</v>
      </c>
      <c r="F282" s="4">
        <v>1415.0</v>
      </c>
      <c r="G282" s="4">
        <v>1415.31</v>
      </c>
      <c r="H282" s="1" t="s">
        <v>3332</v>
      </c>
      <c r="I282" s="1" t="s">
        <v>3334</v>
      </c>
      <c r="J282" s="1" t="s">
        <v>3336</v>
      </c>
      <c r="K282" s="7">
        <v>8.487763474324837E-4</v>
      </c>
      <c r="L282" s="7">
        <v>0.003685316962919772</v>
      </c>
      <c r="M282" s="8">
        <f t="shared" si="1"/>
        <v>9332642</v>
      </c>
    </row>
    <row r="283">
      <c r="A283" s="9">
        <v>45919.0</v>
      </c>
      <c r="B283" s="4">
        <v>1414.9</v>
      </c>
      <c r="C283" s="4">
        <v>1417.0</v>
      </c>
      <c r="D283" s="4">
        <v>1403.6</v>
      </c>
      <c r="E283" s="4">
        <v>1415.0</v>
      </c>
      <c r="F283" s="4">
        <v>1407.4</v>
      </c>
      <c r="G283" s="4">
        <v>1408.43</v>
      </c>
      <c r="H283" s="1" t="s">
        <v>3347</v>
      </c>
      <c r="I283" s="1" t="s">
        <v>3348</v>
      </c>
      <c r="J283" s="1" t="s">
        <v>3350</v>
      </c>
      <c r="K283" s="7">
        <v>-0.005371024734982268</v>
      </c>
      <c r="L283" s="7">
        <v>-0.0037976525747730173</v>
      </c>
      <c r="M283" s="8">
        <f t="shared" si="1"/>
        <v>13461373</v>
      </c>
    </row>
    <row r="284">
      <c r="A284" s="9">
        <v>45922.0</v>
      </c>
      <c r="B284" s="4">
        <v>1403.9</v>
      </c>
      <c r="C284" s="4">
        <v>1410.7</v>
      </c>
      <c r="D284" s="4">
        <v>1388.0</v>
      </c>
      <c r="E284" s="4">
        <v>1407.4</v>
      </c>
      <c r="F284" s="4">
        <v>1390.6</v>
      </c>
      <c r="G284" s="4">
        <v>1400.91</v>
      </c>
      <c r="H284" s="1" t="s">
        <v>3362</v>
      </c>
      <c r="I284" s="1" t="s">
        <v>3363</v>
      </c>
      <c r="J284" s="1" t="s">
        <v>3364</v>
      </c>
      <c r="K284" s="7">
        <v>-0.011936904931078712</v>
      </c>
      <c r="L284" s="7">
        <v>-0.004923589600841816</v>
      </c>
      <c r="M284" s="8">
        <f t="shared" si="1"/>
        <v>7757970</v>
      </c>
    </row>
    <row r="285">
      <c r="A285" s="9">
        <v>45923.0</v>
      </c>
      <c r="B285" s="4">
        <v>1391.0</v>
      </c>
      <c r="C285" s="4">
        <v>1395.0</v>
      </c>
      <c r="D285" s="4">
        <v>1376.8</v>
      </c>
      <c r="E285" s="4">
        <v>1390.6</v>
      </c>
      <c r="F285" s="4">
        <v>1389.8</v>
      </c>
      <c r="G285" s="4">
        <v>1387.57</v>
      </c>
      <c r="H285" s="1" t="s">
        <v>3371</v>
      </c>
      <c r="I285" s="1" t="s">
        <v>3373</v>
      </c>
      <c r="J285" s="1" t="s">
        <v>3375</v>
      </c>
      <c r="K285" s="7">
        <v>-5.752912411908202E-4</v>
      </c>
      <c r="L285" s="7">
        <v>-0.0013034498766979488</v>
      </c>
      <c r="M285" s="8">
        <f t="shared" si="1"/>
        <v>14014702</v>
      </c>
    </row>
    <row r="286">
      <c r="A286" s="9">
        <v>45924.0</v>
      </c>
      <c r="B286" s="4">
        <v>1385.3</v>
      </c>
      <c r="C286" s="4">
        <v>1396.0</v>
      </c>
      <c r="D286" s="4">
        <v>1380.4</v>
      </c>
      <c r="E286" s="4">
        <v>1389.8</v>
      </c>
      <c r="F286" s="4">
        <v>1383.0</v>
      </c>
      <c r="G286" s="4">
        <v>1387.32</v>
      </c>
      <c r="H286" s="1" t="s">
        <v>3383</v>
      </c>
      <c r="I286" s="1" t="s">
        <v>3386</v>
      </c>
      <c r="J286" s="1" t="s">
        <v>3391</v>
      </c>
      <c r="K286" s="7">
        <v>-0.0048927903295437865</v>
      </c>
      <c r="L286" s="7">
        <v>-0.004473668527384276</v>
      </c>
      <c r="M286" s="8">
        <f t="shared" si="1"/>
        <v>5922759</v>
      </c>
    </row>
    <row r="287">
      <c r="A287" s="9">
        <v>45925.0</v>
      </c>
      <c r="B287" s="4">
        <v>1381.3</v>
      </c>
      <c r="C287" s="4">
        <v>1384.5</v>
      </c>
      <c r="D287" s="4">
        <v>1369.0</v>
      </c>
      <c r="E287" s="4">
        <v>1383.0</v>
      </c>
      <c r="F287" s="4">
        <v>1372.4</v>
      </c>
      <c r="G287" s="4">
        <v>1375.53</v>
      </c>
      <c r="H287" s="1" t="s">
        <v>3398</v>
      </c>
      <c r="I287" s="1" t="s">
        <v>3400</v>
      </c>
      <c r="J287" s="1" t="s">
        <v>3401</v>
      </c>
      <c r="K287" s="7">
        <v>-0.007664497469269638</v>
      </c>
      <c r="L287" s="7">
        <v>-0.006626917136597221</v>
      </c>
      <c r="M287" s="8">
        <f t="shared" si="1"/>
        <v>11411143</v>
      </c>
    </row>
    <row r="288">
      <c r="A288" s="9">
        <v>45926.0</v>
      </c>
      <c r="B288" s="4">
        <v>1372.0</v>
      </c>
      <c r="C288" s="4">
        <v>1382.7</v>
      </c>
      <c r="D288" s="4">
        <v>1366.0</v>
      </c>
      <c r="E288" s="4">
        <v>1372.4</v>
      </c>
      <c r="F288" s="4">
        <v>1377.6</v>
      </c>
      <c r="G288" s="4">
        <v>1376.37</v>
      </c>
      <c r="H288" s="1" t="s">
        <v>3410</v>
      </c>
      <c r="I288" s="1" t="s">
        <v>3412</v>
      </c>
      <c r="J288" s="1" t="s">
        <v>3413</v>
      </c>
      <c r="K288" s="7">
        <v>0.0037889828038471423</v>
      </c>
      <c r="L288" s="7">
        <v>-0.009487422084822247</v>
      </c>
      <c r="M288" s="8">
        <f t="shared" si="1"/>
        <v>9879109</v>
      </c>
    </row>
    <row r="289">
      <c r="A289" s="9">
        <v>45929.0</v>
      </c>
      <c r="B289" s="4">
        <v>1381.6</v>
      </c>
      <c r="C289" s="4">
        <v>1389.0</v>
      </c>
      <c r="D289" s="4">
        <v>1368.0</v>
      </c>
      <c r="E289" s="4">
        <v>1377.6</v>
      </c>
      <c r="F289" s="4">
        <v>1372.8</v>
      </c>
      <c r="G289" s="4">
        <v>1375.78</v>
      </c>
      <c r="H289" s="1" t="s">
        <v>3421</v>
      </c>
      <c r="I289" s="1" t="s">
        <v>3423</v>
      </c>
      <c r="J289" s="1" t="s">
        <v>3425</v>
      </c>
      <c r="K289" s="7">
        <v>-0.0034843205574912562</v>
      </c>
      <c r="L289" s="7">
        <v>-8.03092310999496E-4</v>
      </c>
      <c r="M289" s="8">
        <f t="shared" si="1"/>
        <v>14231999</v>
      </c>
    </row>
    <row r="290">
      <c r="A290" s="9">
        <v>45930.0</v>
      </c>
      <c r="B290" s="4">
        <v>1377.1</v>
      </c>
      <c r="C290" s="4">
        <v>1377.1</v>
      </c>
      <c r="D290" s="4">
        <v>1362.8</v>
      </c>
      <c r="E290" s="4">
        <v>1372.8</v>
      </c>
      <c r="F290" s="4">
        <v>1364.0</v>
      </c>
      <c r="G290" s="4">
        <v>1366.52</v>
      </c>
      <c r="H290" s="1" t="s">
        <v>3438</v>
      </c>
      <c r="I290" s="1" t="s">
        <v>3439</v>
      </c>
      <c r="J290" s="1" t="s">
        <v>3440</v>
      </c>
      <c r="K290" s="7">
        <v>-0.006410256410256377</v>
      </c>
      <c r="L290" s="7">
        <v>-9.661090566636321E-4</v>
      </c>
      <c r="M290" s="8">
        <f t="shared" si="1"/>
        <v>14604684</v>
      </c>
    </row>
    <row r="291">
      <c r="A291" s="3">
        <v>45931.0</v>
      </c>
      <c r="B291" s="4">
        <v>1367.0</v>
      </c>
      <c r="C291" s="4">
        <v>1378.6</v>
      </c>
      <c r="D291" s="4">
        <v>1362.7</v>
      </c>
      <c r="E291" s="4">
        <v>1364.0</v>
      </c>
      <c r="F291" s="4">
        <v>1368.7</v>
      </c>
      <c r="G291" s="4">
        <v>1369.56</v>
      </c>
      <c r="H291" s="1" t="s">
        <v>3450</v>
      </c>
      <c r="I291" s="1" t="s">
        <v>3451</v>
      </c>
      <c r="J291" s="1" t="s">
        <v>3452</v>
      </c>
      <c r="K291" s="7">
        <v>0.0034457478005865435</v>
      </c>
      <c r="L291" s="7">
        <v>0.009150342731531737</v>
      </c>
      <c r="M291" s="8">
        <f t="shared" si="1"/>
        <v>12045916</v>
      </c>
    </row>
    <row r="292">
      <c r="A292" s="3">
        <v>45933.0</v>
      </c>
      <c r="B292" s="4">
        <v>1363.2</v>
      </c>
      <c r="C292" s="4">
        <v>1371.6</v>
      </c>
      <c r="D292" s="4">
        <v>1356.9</v>
      </c>
      <c r="E292" s="4">
        <v>1368.7</v>
      </c>
      <c r="F292" s="4">
        <v>1363.4</v>
      </c>
      <c r="G292" s="4">
        <v>1362.13</v>
      </c>
      <c r="H292" s="1" t="s">
        <v>3460</v>
      </c>
      <c r="I292" s="1" t="s">
        <v>3462</v>
      </c>
      <c r="J292" s="1" t="s">
        <v>3463</v>
      </c>
      <c r="K292" s="7">
        <v>-0.003872287572148721</v>
      </c>
      <c r="L292" s="7">
        <v>0.002333278306350009</v>
      </c>
      <c r="M292" s="8">
        <f t="shared" si="1"/>
        <v>12842347</v>
      </c>
    </row>
    <row r="293">
      <c r="A293" s="3">
        <v>45936.0</v>
      </c>
      <c r="B293" s="4">
        <v>1360.0</v>
      </c>
      <c r="C293" s="4">
        <v>1377.4</v>
      </c>
      <c r="D293" s="4">
        <v>1359.0</v>
      </c>
      <c r="E293" s="4">
        <v>1363.4</v>
      </c>
      <c r="F293" s="4">
        <v>1375.0</v>
      </c>
      <c r="G293" s="4">
        <v>1367.85</v>
      </c>
      <c r="H293" s="1" t="s">
        <v>3470</v>
      </c>
      <c r="I293" s="1" t="s">
        <v>3471</v>
      </c>
      <c r="J293" s="1" t="s">
        <v>3474</v>
      </c>
      <c r="K293" s="7">
        <v>0.00850814141117787</v>
      </c>
      <c r="L293" s="7">
        <v>0.007367163099912689</v>
      </c>
      <c r="M293" s="8">
        <f t="shared" si="1"/>
        <v>12396580</v>
      </c>
    </row>
    <row r="294">
      <c r="A294" s="3">
        <v>45937.0</v>
      </c>
      <c r="B294" s="4">
        <v>1376.0</v>
      </c>
      <c r="C294" s="4">
        <v>1395.9</v>
      </c>
      <c r="D294" s="4">
        <v>1375.9</v>
      </c>
      <c r="E294" s="4">
        <v>1375.0</v>
      </c>
      <c r="F294" s="4">
        <v>1384.8</v>
      </c>
      <c r="G294" s="4">
        <v>1386.79</v>
      </c>
      <c r="H294" s="1" t="s">
        <v>3483</v>
      </c>
      <c r="I294" s="1" t="s">
        <v>3485</v>
      </c>
      <c r="J294" s="1" t="s">
        <v>3487</v>
      </c>
      <c r="K294" s="7">
        <v>0.007127272727272694</v>
      </c>
      <c r="L294" s="7">
        <v>0.0012222038348887482</v>
      </c>
      <c r="M294" s="8">
        <f t="shared" si="1"/>
        <v>11244040</v>
      </c>
    </row>
    <row r="295">
      <c r="A295" s="3">
        <v>45938.0</v>
      </c>
      <c r="B295" s="4">
        <v>1384.8</v>
      </c>
      <c r="C295" s="4">
        <v>1389.0</v>
      </c>
      <c r="D295" s="4">
        <v>1364.5</v>
      </c>
      <c r="E295" s="4">
        <v>1384.8</v>
      </c>
      <c r="F295" s="4">
        <v>1367.4</v>
      </c>
      <c r="G295" s="4">
        <v>1371.62</v>
      </c>
      <c r="H295" s="1" t="s">
        <v>3497</v>
      </c>
      <c r="I295" s="1" t="s">
        <v>3498</v>
      </c>
      <c r="J295" s="1" t="s">
        <v>3499</v>
      </c>
      <c r="K295" s="7">
        <v>-0.012564991334488637</v>
      </c>
      <c r="L295" s="7">
        <v>-0.0024752770996044264</v>
      </c>
      <c r="M295" s="8">
        <f t="shared" si="1"/>
        <v>8525081</v>
      </c>
    </row>
    <row r="296">
      <c r="A296" s="3">
        <v>45939.0</v>
      </c>
      <c r="B296" s="4">
        <v>1374.0</v>
      </c>
      <c r="C296" s="4">
        <v>1380.0</v>
      </c>
      <c r="D296" s="4">
        <v>1369.1</v>
      </c>
      <c r="E296" s="4">
        <v>1367.4</v>
      </c>
      <c r="F296" s="4">
        <v>1377.8</v>
      </c>
      <c r="G296" s="4">
        <v>1376.25</v>
      </c>
      <c r="H296" s="1" t="s">
        <v>3508</v>
      </c>
      <c r="I296" s="1" t="s">
        <v>3509</v>
      </c>
      <c r="J296" s="1" t="s">
        <v>3510</v>
      </c>
      <c r="K296" s="7">
        <v>0.0076056750036564745</v>
      </c>
      <c r="L296" s="7">
        <v>0.005416002060196789</v>
      </c>
      <c r="M296" s="8">
        <f t="shared" si="1"/>
        <v>8826633</v>
      </c>
    </row>
    <row r="297">
      <c r="A297" s="9">
        <v>45940.0</v>
      </c>
      <c r="B297" s="4">
        <v>1377.8</v>
      </c>
      <c r="C297" s="4">
        <v>1388.0</v>
      </c>
      <c r="D297" s="4">
        <v>1375.1</v>
      </c>
      <c r="E297" s="4">
        <v>1377.8</v>
      </c>
      <c r="F297" s="4">
        <v>1381.7</v>
      </c>
      <c r="G297" s="4">
        <v>1383.21</v>
      </c>
      <c r="H297" s="1" t="s">
        <v>3519</v>
      </c>
      <c r="I297" s="1" t="s">
        <v>3521</v>
      </c>
      <c r="J297" s="1" t="s">
        <v>3522</v>
      </c>
      <c r="K297" s="7">
        <v>0.0028305995064596395</v>
      </c>
      <c r="L297" s="7">
        <v>0.004112096831838839</v>
      </c>
      <c r="M297" s="8">
        <f t="shared" si="1"/>
        <v>6373084</v>
      </c>
    </row>
    <row r="298">
      <c r="A298" s="9">
        <v>45943.0</v>
      </c>
      <c r="B298" s="4">
        <v>1376.9</v>
      </c>
      <c r="C298" s="4">
        <v>1377.7</v>
      </c>
      <c r="D298" s="4">
        <v>1367.8</v>
      </c>
      <c r="E298" s="4">
        <v>1381.7</v>
      </c>
      <c r="F298" s="4">
        <v>1375.0</v>
      </c>
      <c r="G298" s="4">
        <v>1372.7</v>
      </c>
      <c r="H298" s="1" t="s">
        <v>3529</v>
      </c>
      <c r="I298" s="1" t="s">
        <v>3531</v>
      </c>
      <c r="J298" s="1" t="s">
        <v>3532</v>
      </c>
      <c r="K298" s="7">
        <v>-0.004849098936093251</v>
      </c>
      <c r="L298" s="7">
        <v>-0.002293818357270119</v>
      </c>
      <c r="M298" s="8">
        <f t="shared" si="1"/>
        <v>7600682</v>
      </c>
    </row>
    <row r="299">
      <c r="A299" s="9">
        <v>45944.0</v>
      </c>
      <c r="B299" s="4">
        <v>1380.0</v>
      </c>
      <c r="C299" s="4">
        <v>1388.0</v>
      </c>
      <c r="D299" s="4">
        <v>1370.1</v>
      </c>
      <c r="E299" s="4">
        <v>1375.0</v>
      </c>
      <c r="F299" s="4">
        <v>1375.9</v>
      </c>
      <c r="G299" s="4">
        <v>1377.47</v>
      </c>
      <c r="H299" s="1" t="s">
        <v>3541</v>
      </c>
      <c r="I299" s="1" t="s">
        <v>3542</v>
      </c>
      <c r="J299" s="1" t="s">
        <v>3543</v>
      </c>
      <c r="K299" s="7">
        <v>6.545454545455207E-4</v>
      </c>
      <c r="L299" s="7">
        <v>-0.003244494566412982</v>
      </c>
      <c r="M299" s="8">
        <f t="shared" si="1"/>
        <v>9768174</v>
      </c>
    </row>
    <row r="300">
      <c r="A300" s="9">
        <v>45945.0</v>
      </c>
      <c r="B300" s="4">
        <v>1383.0</v>
      </c>
      <c r="C300" s="4">
        <v>1384.0</v>
      </c>
      <c r="D300" s="4">
        <v>1372.7</v>
      </c>
      <c r="E300" s="4">
        <v>1375.9</v>
      </c>
      <c r="F300" s="4">
        <v>1374.3</v>
      </c>
      <c r="G300" s="4">
        <v>1377.15</v>
      </c>
      <c r="H300" s="1" t="s">
        <v>3552</v>
      </c>
      <c r="I300" s="1" t="s">
        <v>3553</v>
      </c>
      <c r="J300" s="1" t="s">
        <v>3555</v>
      </c>
      <c r="K300" s="7">
        <v>-0.001162875208954238</v>
      </c>
      <c r="L300" s="7">
        <v>0.007080789803344506</v>
      </c>
      <c r="M300" s="8">
        <f t="shared" si="1"/>
        <v>10882743</v>
      </c>
    </row>
    <row r="301">
      <c r="A301" s="9">
        <v>45946.0</v>
      </c>
      <c r="B301" s="4">
        <v>1375.1</v>
      </c>
      <c r="C301" s="4">
        <v>1400.5</v>
      </c>
      <c r="D301" s="4">
        <v>1375.0</v>
      </c>
      <c r="E301" s="4">
        <v>1374.3</v>
      </c>
      <c r="F301" s="4">
        <v>1398.3</v>
      </c>
      <c r="G301" s="4">
        <v>1387.2</v>
      </c>
      <c r="H301" s="1" t="s">
        <v>3564</v>
      </c>
      <c r="I301" s="1" t="s">
        <v>3566</v>
      </c>
      <c r="J301" s="1" t="s">
        <v>3568</v>
      </c>
      <c r="K301" s="7">
        <v>0.017463435931019428</v>
      </c>
      <c r="L301" s="7">
        <v>0.01033622853036008</v>
      </c>
      <c r="M301" s="8">
        <f t="shared" si="1"/>
        <v>12315932</v>
      </c>
    </row>
    <row r="302">
      <c r="A302" s="9">
        <v>45947.0</v>
      </c>
      <c r="B302" s="4">
        <v>1401.0</v>
      </c>
      <c r="C302" s="4">
        <v>1423.3</v>
      </c>
      <c r="D302" s="4">
        <v>1399.1</v>
      </c>
      <c r="E302" s="4">
        <v>1398.3</v>
      </c>
      <c r="F302" s="4">
        <v>1416.8</v>
      </c>
      <c r="G302" s="4">
        <v>1413.78</v>
      </c>
      <c r="H302" s="1" t="s">
        <v>3574</v>
      </c>
      <c r="I302" s="1" t="s">
        <v>3577</v>
      </c>
      <c r="J302" s="1" t="s">
        <v>3578</v>
      </c>
      <c r="K302" s="7">
        <v>0.013230351140670815</v>
      </c>
      <c r="L302" s="7">
        <v>0.004868029688922908</v>
      </c>
      <c r="M302" s="8">
        <f t="shared" si="1"/>
        <v>19335561</v>
      </c>
    </row>
    <row r="303">
      <c r="A303" s="9">
        <v>45950.0</v>
      </c>
      <c r="B303" s="4">
        <v>1440.0</v>
      </c>
      <c r="C303" s="4">
        <v>1473.8</v>
      </c>
      <c r="D303" s="4">
        <v>1433.3</v>
      </c>
      <c r="E303" s="4">
        <v>1416.8</v>
      </c>
      <c r="F303" s="4">
        <v>1466.8</v>
      </c>
      <c r="G303" s="4">
        <v>1461.76</v>
      </c>
      <c r="H303" s="1" t="s">
        <v>3587</v>
      </c>
      <c r="I303" s="1" t="s">
        <v>3588</v>
      </c>
      <c r="J303" s="1" t="s">
        <v>3589</v>
      </c>
      <c r="K303" s="7">
        <v>0.035290796160361376</v>
      </c>
      <c r="L303" s="7">
        <v>0.0051847832640020425</v>
      </c>
      <c r="M303" s="8">
        <f t="shared" si="1"/>
        <v>24721978</v>
      </c>
    </row>
    <row r="304">
      <c r="A304" s="9">
        <v>45951.0</v>
      </c>
      <c r="B304" s="4">
        <v>1468.0</v>
      </c>
      <c r="C304" s="4">
        <v>1474.0</v>
      </c>
      <c r="D304" s="4">
        <v>1460.0</v>
      </c>
      <c r="E304" s="4">
        <v>1466.8</v>
      </c>
      <c r="F304" s="4">
        <v>1465.2</v>
      </c>
      <c r="G304" s="4">
        <v>1467.87</v>
      </c>
      <c r="H304" s="1" t="s">
        <v>3598</v>
      </c>
      <c r="I304" s="1" t="s">
        <v>3600</v>
      </c>
      <c r="J304" s="11">
        <v>86819.0</v>
      </c>
      <c r="K304" s="7">
        <v>-0.001090809926370268</v>
      </c>
      <c r="L304" s="7">
        <v>9.847870712353984E-4</v>
      </c>
      <c r="M304" s="8">
        <f t="shared" si="1"/>
        <v>2066169</v>
      </c>
    </row>
    <row r="305">
      <c r="A305" s="9">
        <v>45953.0</v>
      </c>
      <c r="B305" s="4">
        <v>1475.0</v>
      </c>
      <c r="C305" s="4">
        <v>1482.9</v>
      </c>
      <c r="D305" s="4">
        <v>1444.6</v>
      </c>
      <c r="E305" s="4">
        <v>1465.2</v>
      </c>
      <c r="F305" s="4">
        <v>1448.4</v>
      </c>
      <c r="G305" s="4">
        <v>1464.71</v>
      </c>
      <c r="H305" s="1" t="s">
        <v>3607</v>
      </c>
      <c r="I305" s="1" t="s">
        <v>3608</v>
      </c>
      <c r="J305" s="1" t="s">
        <v>3609</v>
      </c>
      <c r="K305" s="7">
        <v>-0.011466011466011434</v>
      </c>
      <c r="L305" s="7">
        <v>8.813774228216027E-4</v>
      </c>
      <c r="M305" s="8">
        <f t="shared" si="1"/>
        <v>18707090</v>
      </c>
    </row>
    <row r="306">
      <c r="A306" s="9">
        <v>45954.0</v>
      </c>
      <c r="B306" s="4">
        <v>1450.0</v>
      </c>
      <c r="C306" s="4">
        <v>1459.8</v>
      </c>
      <c r="D306" s="4">
        <v>1441.0</v>
      </c>
      <c r="E306" s="4">
        <v>1448.4</v>
      </c>
      <c r="F306" s="4">
        <v>1451.6</v>
      </c>
      <c r="G306" s="4">
        <v>1450.25</v>
      </c>
      <c r="H306" s="1" t="s">
        <v>3619</v>
      </c>
      <c r="I306" s="1" t="s">
        <v>3620</v>
      </c>
      <c r="J306" s="1" t="s">
        <v>3621</v>
      </c>
      <c r="K306" s="7">
        <v>0.0022093344380004266</v>
      </c>
      <c r="L306" s="7">
        <v>-0.003717450582046548</v>
      </c>
      <c r="M306" s="8">
        <f t="shared" si="1"/>
        <v>9700837</v>
      </c>
    </row>
    <row r="307">
      <c r="A307" s="9">
        <v>45957.0</v>
      </c>
      <c r="B307" s="4">
        <v>1463.0</v>
      </c>
      <c r="C307" s="4">
        <v>1485.0</v>
      </c>
      <c r="D307" s="4">
        <v>1458.0</v>
      </c>
      <c r="E307" s="4">
        <v>1451.6</v>
      </c>
      <c r="F307" s="4">
        <v>1484.1</v>
      </c>
      <c r="G307" s="4">
        <v>1480.24</v>
      </c>
      <c r="H307" s="1" t="s">
        <v>3629</v>
      </c>
      <c r="I307" s="1" t="s">
        <v>3632</v>
      </c>
      <c r="J307" s="1" t="s">
        <v>3633</v>
      </c>
      <c r="K307" s="7">
        <v>0.022389087903003584</v>
      </c>
      <c r="L307" s="7">
        <v>0.0066252764570083065</v>
      </c>
      <c r="M307" s="8">
        <f t="shared" si="1"/>
        <v>14113867</v>
      </c>
    </row>
    <row r="308">
      <c r="A308" s="9">
        <v>45958.0</v>
      </c>
      <c r="B308" s="4">
        <v>1484.1</v>
      </c>
      <c r="C308" s="4">
        <v>1492.0</v>
      </c>
      <c r="D308" s="4">
        <v>1477.6</v>
      </c>
      <c r="E308" s="4">
        <v>1484.1</v>
      </c>
      <c r="F308" s="4">
        <v>1486.9</v>
      </c>
      <c r="G308" s="4">
        <v>1484.96</v>
      </c>
      <c r="H308" s="1" t="s">
        <v>3637</v>
      </c>
      <c r="I308" s="1" t="s">
        <v>3638</v>
      </c>
      <c r="J308" s="1" t="s">
        <v>3639</v>
      </c>
      <c r="K308" s="7">
        <v>0.0018866653190487044</v>
      </c>
      <c r="L308" s="7">
        <v>-0.0011495780066663411</v>
      </c>
      <c r="M308" s="8">
        <f t="shared" si="1"/>
        <v>17631577</v>
      </c>
    </row>
    <row r="309">
      <c r="A309" s="9">
        <v>45959.0</v>
      </c>
      <c r="B309" s="4">
        <v>1490.0</v>
      </c>
      <c r="C309" s="4">
        <v>1508.3</v>
      </c>
      <c r="D309" s="4">
        <v>1488.1</v>
      </c>
      <c r="E309" s="4">
        <v>1486.9</v>
      </c>
      <c r="F309" s="4">
        <v>1504.2</v>
      </c>
      <c r="G309" s="4">
        <v>1502.67</v>
      </c>
      <c r="H309" s="1" t="s">
        <v>3649</v>
      </c>
      <c r="I309" s="1" t="s">
        <v>3650</v>
      </c>
      <c r="J309" s="1" t="s">
        <v>3651</v>
      </c>
      <c r="K309" s="7">
        <v>0.01163494518797495</v>
      </c>
      <c r="L309" s="7">
        <v>0.004538058774994052</v>
      </c>
      <c r="M309" s="8">
        <f t="shared" si="1"/>
        <v>11884745</v>
      </c>
    </row>
    <row r="310">
      <c r="A310" s="9">
        <v>45960.0</v>
      </c>
      <c r="B310" s="4">
        <v>1500.0</v>
      </c>
      <c r="C310" s="4">
        <v>1503.1</v>
      </c>
      <c r="D310" s="4">
        <v>1484.0</v>
      </c>
      <c r="E310" s="4">
        <v>1504.2</v>
      </c>
      <c r="F310" s="4">
        <v>1488.5</v>
      </c>
      <c r="G310" s="4">
        <v>1492.27</v>
      </c>
      <c r="H310" s="1" t="s">
        <v>3658</v>
      </c>
      <c r="I310" s="1" t="s">
        <v>3659</v>
      </c>
      <c r="J310" s="1" t="s">
        <v>3661</v>
      </c>
      <c r="K310" s="7">
        <v>-0.010437441829543974</v>
      </c>
      <c r="L310" s="7">
        <v>-0.006757145763206388</v>
      </c>
      <c r="M310" s="8">
        <f t="shared" si="1"/>
        <v>9318663</v>
      </c>
    </row>
    <row r="311">
      <c r="A311" s="9">
        <v>45961.0</v>
      </c>
      <c r="B311" s="4">
        <v>1490.4</v>
      </c>
      <c r="C311" s="4">
        <v>1497.5</v>
      </c>
      <c r="D311" s="4">
        <v>1482.3</v>
      </c>
      <c r="E311" s="4">
        <v>1488.5</v>
      </c>
      <c r="F311" s="4">
        <v>1486.4</v>
      </c>
      <c r="G311" s="4">
        <v>1487.8</v>
      </c>
      <c r="H311" s="1" t="s">
        <v>3666</v>
      </c>
      <c r="I311" s="1" t="s">
        <v>3669</v>
      </c>
      <c r="J311" s="1" t="s">
        <v>3671</v>
      </c>
      <c r="K311" s="7">
        <v>-0.001410816257977769</v>
      </c>
      <c r="L311" s="7">
        <v>-0.006018660746545792</v>
      </c>
      <c r="M311" s="8">
        <f t="shared" si="1"/>
        <v>8758053</v>
      </c>
    </row>
    <row r="312">
      <c r="A312" s="3">
        <v>45964.0</v>
      </c>
      <c r="B312" s="4">
        <v>1486.0</v>
      </c>
      <c r="C312" s="4">
        <v>1495.0</v>
      </c>
      <c r="D312" s="4">
        <v>1479.3</v>
      </c>
      <c r="E312" s="4">
        <v>1486.4</v>
      </c>
      <c r="F312" s="4">
        <v>1484.7</v>
      </c>
      <c r="G312" s="4">
        <v>1488.29</v>
      </c>
      <c r="H312" s="1" t="s">
        <v>3675</v>
      </c>
      <c r="I312" s="1" t="s">
        <v>3676</v>
      </c>
      <c r="J312" s="1" t="s">
        <v>3677</v>
      </c>
      <c r="K312" s="7">
        <v>-0.0011437029063509454</v>
      </c>
      <c r="L312" s="7">
        <v>0.0016036793263380518</v>
      </c>
      <c r="M312" s="8">
        <f t="shared" si="1"/>
        <v>8452085</v>
      </c>
    </row>
    <row r="313">
      <c r="A313" s="3">
        <v>45965.0</v>
      </c>
      <c r="B313" s="4">
        <v>1483.9</v>
      </c>
      <c r="C313" s="4">
        <v>1492.8</v>
      </c>
      <c r="D313" s="4">
        <v>1470.1</v>
      </c>
      <c r="E313" s="4">
        <v>1484.7</v>
      </c>
      <c r="F313" s="4">
        <v>1473.1</v>
      </c>
      <c r="G313" s="4">
        <v>1480.96</v>
      </c>
      <c r="H313" s="1" t="s">
        <v>3684</v>
      </c>
      <c r="I313" s="1" t="s">
        <v>3685</v>
      </c>
      <c r="J313" s="1" t="s">
        <v>3686</v>
      </c>
      <c r="K313" s="7">
        <v>-0.007813026200579333</v>
      </c>
      <c r="L313" s="7">
        <v>-0.006431617006328645</v>
      </c>
      <c r="M313" s="8">
        <f t="shared" si="1"/>
        <v>10007806</v>
      </c>
    </row>
    <row r="314">
      <c r="A314" s="3">
        <v>45967.0</v>
      </c>
      <c r="B314" s="4">
        <v>1484.0</v>
      </c>
      <c r="C314" s="4">
        <v>1501.6</v>
      </c>
      <c r="D314" s="4">
        <v>1476.2</v>
      </c>
      <c r="E314" s="4">
        <v>1473.1</v>
      </c>
      <c r="F314" s="4">
        <v>1496.1</v>
      </c>
      <c r="G314" s="4">
        <v>1494.08</v>
      </c>
      <c r="H314" s="1" t="s">
        <v>3693</v>
      </c>
      <c r="I314" s="1" t="s">
        <v>3694</v>
      </c>
      <c r="J314" s="1" t="s">
        <v>3695</v>
      </c>
      <c r="K314" s="7">
        <v>0.015613332428212614</v>
      </c>
      <c r="L314" s="7">
        <v>-0.003435862276419934</v>
      </c>
      <c r="M314" s="8">
        <f t="shared" si="1"/>
        <v>16772678</v>
      </c>
    </row>
    <row r="315">
      <c r="A315" s="3">
        <v>45968.0</v>
      </c>
      <c r="B315" s="4">
        <v>1494.6</v>
      </c>
      <c r="C315" s="4">
        <v>1498.4</v>
      </c>
      <c r="D315" s="4">
        <v>1475.9</v>
      </c>
      <c r="E315" s="4">
        <v>1496.1</v>
      </c>
      <c r="F315" s="4">
        <v>1478.0</v>
      </c>
      <c r="G315" s="4">
        <v>1486.71</v>
      </c>
      <c r="H315" s="1" t="s">
        <v>3698</v>
      </c>
      <c r="I315" s="1" t="s">
        <v>3701</v>
      </c>
      <c r="J315" s="1" t="s">
        <v>3702</v>
      </c>
      <c r="K315" s="7">
        <v>-0.012098121783303195</v>
      </c>
      <c r="L315" s="7">
        <v>-6.820934781671856E-4</v>
      </c>
      <c r="M315" s="8">
        <f t="shared" si="1"/>
        <v>7821765</v>
      </c>
    </row>
    <row r="316">
      <c r="A316" s="9">
        <v>45971.0</v>
      </c>
      <c r="B316" s="4">
        <v>1477.9</v>
      </c>
      <c r="C316" s="4">
        <v>1501.0</v>
      </c>
      <c r="D316" s="4">
        <v>1475.5</v>
      </c>
      <c r="E316" s="4">
        <v>1478.0</v>
      </c>
      <c r="F316" s="4">
        <v>1489.3</v>
      </c>
      <c r="G316" s="4">
        <v>1492.69</v>
      </c>
      <c r="H316" s="1" t="s">
        <v>3707</v>
      </c>
      <c r="I316" s="1" t="s">
        <v>3709</v>
      </c>
      <c r="J316" s="1" t="s">
        <v>3711</v>
      </c>
      <c r="K316" s="7">
        <v>0.007645466847090632</v>
      </c>
      <c r="L316" s="7">
        <v>0.003218618955527719</v>
      </c>
      <c r="M316" s="8">
        <f t="shared" si="1"/>
        <v>7068438</v>
      </c>
    </row>
    <row r="317">
      <c r="A317" s="9">
        <v>45972.0</v>
      </c>
      <c r="B317" s="4">
        <v>1497.0</v>
      </c>
      <c r="C317" s="4">
        <v>1498.8</v>
      </c>
      <c r="D317" s="4">
        <v>1480.2</v>
      </c>
      <c r="E317" s="4">
        <v>1489.3</v>
      </c>
      <c r="F317" s="4">
        <v>1493.4</v>
      </c>
      <c r="G317" s="4">
        <v>1489.58</v>
      </c>
      <c r="H317" s="1" t="s">
        <v>3718</v>
      </c>
      <c r="I317" s="1" t="s">
        <v>3720</v>
      </c>
      <c r="J317" s="1" t="s">
        <v>3721</v>
      </c>
      <c r="K317" s="7">
        <v>0.0027529711945210077</v>
      </c>
      <c r="L317" s="7">
        <v>0.004715662372650808</v>
      </c>
      <c r="M317" s="8">
        <f t="shared" si="1"/>
        <v>7127506</v>
      </c>
    </row>
    <row r="318">
      <c r="A318" s="9">
        <v>45973.0</v>
      </c>
      <c r="B318" s="4">
        <v>1505.0</v>
      </c>
      <c r="C318" s="4">
        <v>1524.7</v>
      </c>
      <c r="D318" s="4">
        <v>1500.0</v>
      </c>
      <c r="E318" s="4">
        <v>1493.4</v>
      </c>
      <c r="F318" s="4">
        <v>1511.5</v>
      </c>
      <c r="G318" s="4">
        <v>1515.0</v>
      </c>
      <c r="H318" s="1" t="s">
        <v>3728</v>
      </c>
      <c r="I318" s="1" t="s">
        <v>3729</v>
      </c>
      <c r="J318" s="1" t="s">
        <v>3730</v>
      </c>
      <c r="K318" s="7">
        <v>0.01211999464309623</v>
      </c>
      <c r="L318" s="7">
        <v>0.007038348002233845</v>
      </c>
      <c r="M318" s="8">
        <f t="shared" si="1"/>
        <v>12384459</v>
      </c>
    </row>
    <row r="319">
      <c r="A319" s="9">
        <v>45974.0</v>
      </c>
      <c r="B319" s="4">
        <v>1515.0</v>
      </c>
      <c r="C319" s="4">
        <v>1522.1</v>
      </c>
      <c r="D319" s="4">
        <v>1506.8</v>
      </c>
      <c r="E319" s="4">
        <v>1511.5</v>
      </c>
      <c r="F319" s="4">
        <v>1510.9</v>
      </c>
      <c r="G319" s="4">
        <v>1514.35</v>
      </c>
      <c r="H319" s="1" t="s">
        <v>3737</v>
      </c>
      <c r="I319" s="1" t="s">
        <v>3738</v>
      </c>
      <c r="J319" s="1" t="s">
        <v>3740</v>
      </c>
      <c r="K319" s="7">
        <v>-3.9695666556394907E-4</v>
      </c>
      <c r="L319" s="7">
        <v>1.2946459626377477E-4</v>
      </c>
      <c r="M319" s="8">
        <f t="shared" si="1"/>
        <v>7196443</v>
      </c>
    </row>
    <row r="320">
      <c r="A320" s="9">
        <v>45975.0</v>
      </c>
      <c r="B320" s="4">
        <v>1505.5</v>
      </c>
      <c r="C320" s="4">
        <v>1520.9</v>
      </c>
      <c r="D320" s="4">
        <v>1505.5</v>
      </c>
      <c r="E320" s="4">
        <v>1510.9</v>
      </c>
      <c r="F320" s="4">
        <v>1518.9</v>
      </c>
      <c r="G320" s="4">
        <v>1516.51</v>
      </c>
      <c r="H320" s="1" t="s">
        <v>3746</v>
      </c>
      <c r="I320" s="1" t="s">
        <v>3747</v>
      </c>
      <c r="J320" s="1" t="s">
        <v>3748</v>
      </c>
      <c r="K320" s="7">
        <v>0.005294857369779601</v>
      </c>
      <c r="L320" s="7">
        <v>0.001194011395273717</v>
      </c>
      <c r="M320" s="8">
        <f t="shared" si="1"/>
        <v>7682823</v>
      </c>
    </row>
    <row r="321">
      <c r="A321" s="9">
        <v>45978.0</v>
      </c>
      <c r="B321" s="4">
        <v>1520.9</v>
      </c>
      <c r="C321" s="4">
        <v>1523.7</v>
      </c>
      <c r="D321" s="4">
        <v>1511.5</v>
      </c>
      <c r="E321" s="4">
        <v>1518.9</v>
      </c>
      <c r="F321" s="4">
        <v>1518.3</v>
      </c>
      <c r="G321" s="4">
        <v>1516.89</v>
      </c>
      <c r="H321" s="1" t="s">
        <v>3757</v>
      </c>
      <c r="I321" s="1" t="s">
        <v>3759</v>
      </c>
      <c r="J321" s="1" t="s">
        <v>3760</v>
      </c>
      <c r="K321" s="7">
        <v>-3.9502271380613364E-4</v>
      </c>
      <c r="L321" s="7">
        <v>0.003990729465979474</v>
      </c>
      <c r="M321" s="8">
        <f t="shared" si="1"/>
        <v>5871416</v>
      </c>
    </row>
    <row r="322">
      <c r="A322" s="9">
        <v>45979.0</v>
      </c>
      <c r="B322" s="4">
        <v>1521.7</v>
      </c>
      <c r="C322" s="4">
        <v>1527.8</v>
      </c>
      <c r="D322" s="4">
        <v>1510.5</v>
      </c>
      <c r="E322" s="4">
        <v>1518.3</v>
      </c>
      <c r="F322" s="4">
        <v>1519.4</v>
      </c>
      <c r="G322" s="4">
        <v>1520.18</v>
      </c>
      <c r="H322" s="1" t="s">
        <v>3763</v>
      </c>
      <c r="I322" s="1" t="s">
        <v>3766</v>
      </c>
      <c r="J322" s="1" t="s">
        <v>3768</v>
      </c>
      <c r="K322" s="7">
        <v>7.244945004282003E-4</v>
      </c>
      <c r="L322" s="7">
        <v>-0.003974866847726905</v>
      </c>
      <c r="M322" s="8">
        <f t="shared" si="1"/>
        <v>11045042</v>
      </c>
    </row>
    <row r="323">
      <c r="A323" s="9">
        <v>45980.0</v>
      </c>
      <c r="B323" s="4">
        <v>1517.4</v>
      </c>
      <c r="C323" s="4">
        <v>1522.3</v>
      </c>
      <c r="D323" s="4">
        <v>1512.0</v>
      </c>
      <c r="E323" s="4">
        <v>1519.4</v>
      </c>
      <c r="F323" s="4">
        <v>1518.9</v>
      </c>
      <c r="G323" s="4">
        <v>1518.64</v>
      </c>
      <c r="H323" s="1" t="s">
        <v>3774</v>
      </c>
      <c r="I323" s="1" t="s">
        <v>3779</v>
      </c>
      <c r="J323" s="1" t="s">
        <v>3781</v>
      </c>
      <c r="K323" s="7">
        <v>-3.29077267342372E-4</v>
      </c>
      <c r="L323" s="7">
        <v>0.005503655917298584</v>
      </c>
      <c r="M323" s="8">
        <f t="shared" si="1"/>
        <v>5692366</v>
      </c>
    </row>
    <row r="324">
      <c r="A324" s="9">
        <v>45981.0</v>
      </c>
      <c r="B324" s="4">
        <v>1530.0</v>
      </c>
      <c r="C324" s="4">
        <v>1550.9</v>
      </c>
      <c r="D324" s="4">
        <v>1526.7</v>
      </c>
      <c r="E324" s="4">
        <v>1518.9</v>
      </c>
      <c r="F324" s="4">
        <v>1549.1</v>
      </c>
      <c r="G324" s="4">
        <v>1543.57</v>
      </c>
      <c r="H324" s="1" t="s">
        <v>3786</v>
      </c>
      <c r="I324" s="1" t="s">
        <v>3788</v>
      </c>
      <c r="J324" s="1" t="s">
        <v>3791</v>
      </c>
      <c r="K324" s="7">
        <v>0.01988280992823742</v>
      </c>
      <c r="L324" s="7">
        <v>0.00535454166850589</v>
      </c>
      <c r="M324" s="8">
        <f t="shared" si="1"/>
        <v>18171724</v>
      </c>
    </row>
    <row r="325">
      <c r="A325" s="9">
        <v>45982.0</v>
      </c>
      <c r="B325" s="4">
        <v>1541.0</v>
      </c>
      <c r="C325" s="4">
        <v>1557.8</v>
      </c>
      <c r="D325" s="4">
        <v>1540.1</v>
      </c>
      <c r="E325" s="4">
        <v>1549.1</v>
      </c>
      <c r="F325" s="4">
        <v>1546.6</v>
      </c>
      <c r="G325" s="4">
        <v>1549.35</v>
      </c>
      <c r="H325" s="1" t="s">
        <v>3795</v>
      </c>
      <c r="I325" s="1" t="s">
        <v>3798</v>
      </c>
      <c r="J325" s="1" t="s">
        <v>3801</v>
      </c>
      <c r="K325" s="7">
        <v>-0.0016138402943644697</v>
      </c>
      <c r="L325" s="7">
        <v>-0.004734242893385995</v>
      </c>
      <c r="M325" s="8">
        <f t="shared" si="1"/>
        <v>9615271</v>
      </c>
    </row>
    <row r="326">
      <c r="A326" s="9">
        <v>45985.0</v>
      </c>
      <c r="B326" s="4">
        <v>1550.0</v>
      </c>
      <c r="C326" s="4">
        <v>1550.0</v>
      </c>
      <c r="D326" s="4">
        <v>1531.8</v>
      </c>
      <c r="E326" s="4">
        <v>1546.6</v>
      </c>
      <c r="F326" s="4">
        <v>1535.9</v>
      </c>
      <c r="G326" s="4">
        <v>1537.26</v>
      </c>
      <c r="H326" s="1" t="s">
        <v>3806</v>
      </c>
      <c r="I326" s="1" t="s">
        <v>3807</v>
      </c>
      <c r="J326" s="1" t="s">
        <v>3808</v>
      </c>
      <c r="K326" s="7">
        <v>-0.0069184016552436434</v>
      </c>
      <c r="L326" s="7">
        <v>-0.004167921390662607</v>
      </c>
      <c r="M326" s="8">
        <f t="shared" si="1"/>
        <v>18433951</v>
      </c>
    </row>
    <row r="327">
      <c r="A327" s="9">
        <v>45986.0</v>
      </c>
      <c r="B327" s="4">
        <v>1535.9</v>
      </c>
      <c r="C327" s="4">
        <v>1559.6</v>
      </c>
      <c r="D327" s="4">
        <v>1525.1</v>
      </c>
      <c r="E327" s="4">
        <v>1535.9</v>
      </c>
      <c r="F327" s="4">
        <v>1539.7</v>
      </c>
      <c r="G327" s="4">
        <v>1546.34</v>
      </c>
      <c r="H327" s="1" t="s">
        <v>3818</v>
      </c>
      <c r="I327" s="1" t="s">
        <v>3819</v>
      </c>
      <c r="J327" s="1" t="s">
        <v>3821</v>
      </c>
      <c r="K327" s="7">
        <v>0.0024741194088156483</v>
      </c>
      <c r="L327" s="7">
        <v>-0.0028775592750245856</v>
      </c>
      <c r="M327" s="8">
        <f t="shared" si="1"/>
        <v>15033482</v>
      </c>
    </row>
    <row r="328">
      <c r="A328" s="9">
        <v>45987.0</v>
      </c>
      <c r="B328" s="4">
        <v>1542.3</v>
      </c>
      <c r="C328" s="4">
        <v>1571.6</v>
      </c>
      <c r="D328" s="4">
        <v>1540.5</v>
      </c>
      <c r="E328" s="4">
        <v>1539.7</v>
      </c>
      <c r="F328" s="4">
        <v>1569.9</v>
      </c>
      <c r="G328" s="4">
        <v>1562.98</v>
      </c>
      <c r="H328" s="1" t="s">
        <v>3827</v>
      </c>
      <c r="I328" s="1" t="s">
        <v>3829</v>
      </c>
      <c r="J328" s="1" t="s">
        <v>3831</v>
      </c>
      <c r="K328" s="7">
        <v>0.019614210560498828</v>
      </c>
      <c r="L328" s="7">
        <v>0.012381783904067252</v>
      </c>
      <c r="M328" s="8">
        <f t="shared" si="1"/>
        <v>14054299</v>
      </c>
    </row>
    <row r="329">
      <c r="A329" s="9">
        <v>45988.0</v>
      </c>
      <c r="B329" s="4">
        <v>1575.0</v>
      </c>
      <c r="C329" s="4">
        <v>1575.5</v>
      </c>
      <c r="D329" s="4">
        <v>1556.0</v>
      </c>
      <c r="E329" s="4">
        <v>1569.9</v>
      </c>
      <c r="F329" s="4">
        <v>1563.4</v>
      </c>
      <c r="G329" s="4">
        <v>1563.68</v>
      </c>
      <c r="H329" s="1" t="s">
        <v>3839</v>
      </c>
      <c r="I329" s="1" t="s">
        <v>3840</v>
      </c>
      <c r="J329" s="1" t="s">
        <v>3842</v>
      </c>
      <c r="K329" s="7">
        <v>-0.004140391107713867</v>
      </c>
      <c r="L329" s="7">
        <v>3.9114224985022116E-4</v>
      </c>
      <c r="M329" s="8">
        <f t="shared" si="1"/>
        <v>9794643</v>
      </c>
    </row>
    <row r="330">
      <c r="A330" s="9">
        <v>45989.0</v>
      </c>
      <c r="B330" s="4">
        <v>1568.0</v>
      </c>
      <c r="C330" s="4">
        <v>1581.3</v>
      </c>
      <c r="D330" s="4">
        <v>1563.0</v>
      </c>
      <c r="E330" s="4">
        <v>1563.4</v>
      </c>
      <c r="F330" s="4">
        <v>1567.5</v>
      </c>
      <c r="G330" s="4">
        <v>1571.94</v>
      </c>
      <c r="H330" s="1" t="s">
        <v>3852</v>
      </c>
      <c r="I330" s="1" t="s">
        <v>3854</v>
      </c>
      <c r="J330" s="1" t="s">
        <v>3856</v>
      </c>
      <c r="K330" s="7">
        <v>0.002622489446079</v>
      </c>
      <c r="L330" s="7">
        <v>-4.806307706684981E-4</v>
      </c>
      <c r="M330" s="8">
        <f t="shared" si="1"/>
        <v>8959508</v>
      </c>
    </row>
    <row r="331">
      <c r="A331" s="3">
        <v>45992.0</v>
      </c>
      <c r="B331" s="4">
        <v>1575.0</v>
      </c>
      <c r="C331" s="4">
        <v>1577.5</v>
      </c>
      <c r="D331" s="4">
        <v>1563.6</v>
      </c>
      <c r="E331" s="4">
        <v>1567.5</v>
      </c>
      <c r="F331" s="4">
        <v>1566.1</v>
      </c>
      <c r="G331" s="4">
        <v>1571.31</v>
      </c>
      <c r="H331" s="1" t="s">
        <v>3860</v>
      </c>
      <c r="I331" s="1" t="s">
        <v>3863</v>
      </c>
      <c r="J331" s="1" t="s">
        <v>3865</v>
      </c>
      <c r="K331" s="7">
        <v>-8.931419457735828E-4</v>
      </c>
      <c r="L331" s="7">
        <v>-0.001038051059136499</v>
      </c>
      <c r="M331" s="8">
        <f t="shared" si="1"/>
        <v>8920233</v>
      </c>
    </row>
    <row r="332">
      <c r="A332" s="3">
        <v>45993.0</v>
      </c>
      <c r="B332" s="4">
        <v>1561.1</v>
      </c>
      <c r="C332" s="4">
        <v>1567.5</v>
      </c>
      <c r="D332" s="4">
        <v>1542.0</v>
      </c>
      <c r="E332" s="4">
        <v>1566.1</v>
      </c>
      <c r="F332" s="4">
        <v>1546.3</v>
      </c>
      <c r="G332" s="4">
        <v>1550.62</v>
      </c>
      <c r="H332" s="1" t="s">
        <v>3873</v>
      </c>
      <c r="I332" s="1" t="s">
        <v>3875</v>
      </c>
      <c r="J332" s="1" t="s">
        <v>3877</v>
      </c>
      <c r="K332" s="7">
        <v>-0.012642870825617748</v>
      </c>
      <c r="L332" s="7">
        <v>-0.005484083550614568</v>
      </c>
      <c r="M332" s="8">
        <f t="shared" si="1"/>
        <v>11389150</v>
      </c>
    </row>
    <row r="333">
      <c r="A333" s="3">
        <v>45994.0</v>
      </c>
      <c r="B333" s="4">
        <v>1545.2</v>
      </c>
      <c r="C333" s="4">
        <v>1552.4</v>
      </c>
      <c r="D333" s="4">
        <v>1533.0</v>
      </c>
      <c r="E333" s="4">
        <v>1546.3</v>
      </c>
      <c r="F333" s="4">
        <v>1538.8</v>
      </c>
      <c r="G333" s="4">
        <v>1539.45</v>
      </c>
      <c r="H333" s="1" t="s">
        <v>3886</v>
      </c>
      <c r="I333" s="1" t="s">
        <v>3888</v>
      </c>
      <c r="J333" s="1" t="s">
        <v>3889</v>
      </c>
      <c r="K333" s="7">
        <v>-0.004850287783741835</v>
      </c>
      <c r="L333" s="7">
        <v>-0.00177472514808586</v>
      </c>
      <c r="M333" s="8">
        <f t="shared" si="1"/>
        <v>6090883</v>
      </c>
    </row>
    <row r="334">
      <c r="A334" s="3">
        <v>45995.0</v>
      </c>
      <c r="B334" s="4">
        <v>1536.0</v>
      </c>
      <c r="C334" s="4">
        <v>1560.5</v>
      </c>
      <c r="D334" s="4">
        <v>1517.6</v>
      </c>
      <c r="E334" s="4">
        <v>1538.8</v>
      </c>
      <c r="F334" s="4">
        <v>1535.6</v>
      </c>
      <c r="G334" s="4">
        <v>1543.73</v>
      </c>
      <c r="H334" s="1" t="s">
        <v>3893</v>
      </c>
      <c r="I334" s="1" t="s">
        <v>3895</v>
      </c>
      <c r="J334" s="1" t="s">
        <v>3897</v>
      </c>
      <c r="K334" s="7">
        <v>-0.0020795425006498868</v>
      </c>
      <c r="L334" s="7">
        <v>0.0018375278996382667</v>
      </c>
      <c r="M334" s="8">
        <f t="shared" si="1"/>
        <v>11867930</v>
      </c>
    </row>
    <row r="335">
      <c r="A335" s="3">
        <v>45996.0</v>
      </c>
      <c r="B335" s="4">
        <v>1530.4</v>
      </c>
      <c r="C335" s="4">
        <v>1545.8</v>
      </c>
      <c r="D335" s="4">
        <v>1520.6</v>
      </c>
      <c r="E335" s="4">
        <v>1535.6</v>
      </c>
      <c r="F335" s="4">
        <v>1540.6</v>
      </c>
      <c r="G335" s="4">
        <v>1534.8</v>
      </c>
      <c r="H335" s="1" t="s">
        <v>3903</v>
      </c>
      <c r="I335" s="1" t="s">
        <v>3905</v>
      </c>
      <c r="J335" s="1" t="s">
        <v>3906</v>
      </c>
      <c r="K335" s="7">
        <v>0.0032560562646522535</v>
      </c>
      <c r="L335" s="7">
        <v>0.005865463100782666</v>
      </c>
      <c r="M335" s="8">
        <f t="shared" si="1"/>
        <v>10183266</v>
      </c>
    </row>
    <row r="336">
      <c r="A336" s="3">
        <v>45999.0</v>
      </c>
      <c r="B336" s="4">
        <v>1539.2</v>
      </c>
      <c r="C336" s="4">
        <v>1551.0</v>
      </c>
      <c r="D336" s="4">
        <v>1535.0</v>
      </c>
      <c r="E336" s="4">
        <v>1540.6</v>
      </c>
      <c r="F336" s="4">
        <v>1543.0</v>
      </c>
      <c r="G336" s="4">
        <v>1540.71</v>
      </c>
      <c r="H336" s="1" t="s">
        <v>3916</v>
      </c>
      <c r="I336" s="1" t="s">
        <v>3918</v>
      </c>
      <c r="J336" s="1" t="s">
        <v>3920</v>
      </c>
      <c r="K336" s="7">
        <v>0.0015578346098923089</v>
      </c>
      <c r="L336" s="7">
        <v>-0.0086265988707901</v>
      </c>
      <c r="M336" s="8">
        <f t="shared" si="1"/>
        <v>11301491</v>
      </c>
    </row>
    <row r="337">
      <c r="A337" s="3">
        <v>46000.0</v>
      </c>
      <c r="B337" s="4">
        <v>1540.3</v>
      </c>
      <c r="C337" s="4">
        <v>1542.5</v>
      </c>
      <c r="D337" s="4">
        <v>1520.1</v>
      </c>
      <c r="E337" s="4">
        <v>1543.0</v>
      </c>
      <c r="F337" s="4">
        <v>1529.4</v>
      </c>
      <c r="G337" s="4">
        <v>1530.0</v>
      </c>
      <c r="H337" s="1" t="s">
        <v>3926</v>
      </c>
      <c r="I337" s="1" t="s">
        <v>3929</v>
      </c>
      <c r="J337" s="1" t="s">
        <v>3930</v>
      </c>
      <c r="K337" s="7">
        <v>-0.00881399870382366</v>
      </c>
      <c r="L337" s="7">
        <v>-0.0046570662023723616</v>
      </c>
      <c r="M337" s="8">
        <f t="shared" si="1"/>
        <v>11503971</v>
      </c>
    </row>
    <row r="338">
      <c r="A338" s="9">
        <v>46001.0</v>
      </c>
      <c r="B338" s="4">
        <v>1534.0</v>
      </c>
      <c r="C338" s="4">
        <v>1547.5</v>
      </c>
      <c r="D338" s="4">
        <v>1531.4</v>
      </c>
      <c r="E338" s="4">
        <v>1529.4</v>
      </c>
      <c r="F338" s="4">
        <v>1536.9</v>
      </c>
      <c r="G338" s="4">
        <v>1539.72</v>
      </c>
      <c r="H338" s="1" t="s">
        <v>3940</v>
      </c>
      <c r="I338" s="1" t="s">
        <v>3941</v>
      </c>
      <c r="J338" s="1" t="s">
        <v>3942</v>
      </c>
      <c r="K338" s="7">
        <v>0.004903883876029815</v>
      </c>
      <c r="L338" s="7">
        <v>-0.003159872521493188</v>
      </c>
      <c r="M338" s="8">
        <f t="shared" si="1"/>
        <v>7991629</v>
      </c>
    </row>
    <row r="339">
      <c r="A339" s="9">
        <v>46002.0</v>
      </c>
      <c r="B339" s="4">
        <v>1536.9</v>
      </c>
      <c r="C339" s="4">
        <v>1550.0</v>
      </c>
      <c r="D339" s="4">
        <v>1524.0</v>
      </c>
      <c r="E339" s="4">
        <v>1536.9</v>
      </c>
      <c r="F339" s="4">
        <v>1545.0</v>
      </c>
      <c r="G339" s="4">
        <v>1540.61</v>
      </c>
      <c r="H339" s="1" t="s">
        <v>3949</v>
      </c>
      <c r="I339" s="1" t="s">
        <v>3950</v>
      </c>
      <c r="J339" s="1" t="s">
        <v>3951</v>
      </c>
      <c r="K339" s="7">
        <v>0.005270349404645656</v>
      </c>
      <c r="L339" s="7">
        <v>0.0054565571861169065</v>
      </c>
      <c r="M339" s="8">
        <f t="shared" si="1"/>
        <v>4706197</v>
      </c>
    </row>
    <row r="340">
      <c r="A340" s="9">
        <v>46003.0</v>
      </c>
      <c r="B340" s="4">
        <v>1550.8</v>
      </c>
      <c r="C340" s="4">
        <v>1559.8</v>
      </c>
      <c r="D340" s="4">
        <v>1546.1</v>
      </c>
      <c r="E340" s="4">
        <v>1545.0</v>
      </c>
      <c r="F340" s="4">
        <v>1556.5</v>
      </c>
      <c r="G340" s="4">
        <v>1555.21</v>
      </c>
      <c r="H340" s="1" t="s">
        <v>3961</v>
      </c>
      <c r="I340" s="1" t="s">
        <v>3962</v>
      </c>
      <c r="J340" s="1" t="s">
        <v>3965</v>
      </c>
      <c r="K340" s="7">
        <v>0.00744336569579288</v>
      </c>
      <c r="L340" s="7">
        <v>0.005730050524064145</v>
      </c>
      <c r="M340" s="8">
        <f t="shared" si="1"/>
        <v>5106655</v>
      </c>
    </row>
    <row r="341">
      <c r="A341" s="9">
        <v>46006.0</v>
      </c>
      <c r="B341" s="4">
        <v>1551.2</v>
      </c>
      <c r="C341" s="4">
        <v>1558.6</v>
      </c>
      <c r="D341" s="4">
        <v>1546.5</v>
      </c>
      <c r="E341" s="4">
        <v>1556.5</v>
      </c>
      <c r="F341" s="4">
        <v>1556.2</v>
      </c>
      <c r="G341" s="4">
        <v>1553.69</v>
      </c>
      <c r="H341" s="1" t="s">
        <v>3976</v>
      </c>
      <c r="I341" s="1" t="s">
        <v>3977</v>
      </c>
      <c r="J341" s="1" t="s">
        <v>3978</v>
      </c>
      <c r="K341" s="7">
        <v>-1.9274012206871476E-4</v>
      </c>
      <c r="L341" s="7">
        <v>-7.544069459188679E-4</v>
      </c>
      <c r="M341" s="8">
        <f t="shared" si="1"/>
        <v>5774543</v>
      </c>
    </row>
    <row r="342">
      <c r="A342" s="9">
        <v>46007.0</v>
      </c>
      <c r="B342" s="4">
        <v>1545.0</v>
      </c>
      <c r="C342" s="4">
        <v>1551.7</v>
      </c>
      <c r="D342" s="4">
        <v>1538.8</v>
      </c>
      <c r="E342" s="4">
        <v>1556.2</v>
      </c>
      <c r="F342" s="4">
        <v>1542.3</v>
      </c>
      <c r="G342" s="4">
        <v>1544.3</v>
      </c>
      <c r="H342" s="1" t="s">
        <v>3987</v>
      </c>
      <c r="I342" s="1" t="s">
        <v>3989</v>
      </c>
      <c r="J342" s="1" t="s">
        <v>3990</v>
      </c>
      <c r="K342" s="7">
        <v>-0.008932013879964073</v>
      </c>
      <c r="L342" s="7">
        <v>-0.006424024005563417</v>
      </c>
      <c r="M342" s="8">
        <f t="shared" si="1"/>
        <v>11731856</v>
      </c>
    </row>
    <row r="343">
      <c r="A343" s="9">
        <v>46008.0</v>
      </c>
      <c r="B343" s="4">
        <v>1550.0</v>
      </c>
      <c r="C343" s="4">
        <v>1550.0</v>
      </c>
      <c r="D343" s="4">
        <v>1539.3</v>
      </c>
      <c r="E343" s="4">
        <v>1542.3</v>
      </c>
      <c r="F343" s="4">
        <v>1544.4</v>
      </c>
      <c r="G343" s="4">
        <v>1544.14</v>
      </c>
      <c r="H343" s="1" t="s">
        <v>3998</v>
      </c>
      <c r="I343" s="1" t="s">
        <v>4000</v>
      </c>
      <c r="J343" s="1" t="s">
        <v>4002</v>
      </c>
      <c r="K343" s="7">
        <v>0.0013616028010115648</v>
      </c>
      <c r="L343" s="7">
        <v>-0.0016067223251263248</v>
      </c>
      <c r="M343" s="8">
        <f t="shared" si="1"/>
        <v>7116649</v>
      </c>
    </row>
    <row r="344">
      <c r="A344" s="9">
        <v>46009.0</v>
      </c>
      <c r="B344" s="4">
        <v>1535.2</v>
      </c>
      <c r="C344" s="4">
        <v>1551.5</v>
      </c>
      <c r="D344" s="4">
        <v>1535.2</v>
      </c>
      <c r="E344" s="4">
        <v>1544.4</v>
      </c>
      <c r="F344" s="4">
        <v>1544.4</v>
      </c>
      <c r="G344" s="4">
        <v>1545.3</v>
      </c>
      <c r="H344" s="1" t="s">
        <v>4009</v>
      </c>
      <c r="I344" s="1" t="s">
        <v>4011</v>
      </c>
      <c r="J344" s="1" t="s">
        <v>4014</v>
      </c>
      <c r="K344" s="7">
        <v>0.0</v>
      </c>
      <c r="L344" s="7">
        <v>-1.1619552608492731E-4</v>
      </c>
      <c r="M344" s="8">
        <f t="shared" si="1"/>
        <v>6580829</v>
      </c>
    </row>
    <row r="345">
      <c r="A345" s="9">
        <v>46010.0</v>
      </c>
      <c r="B345" s="4">
        <v>1554.4</v>
      </c>
      <c r="C345" s="4">
        <v>1574.2</v>
      </c>
      <c r="D345" s="4">
        <v>1551.0</v>
      </c>
      <c r="E345" s="4">
        <v>1544.4</v>
      </c>
      <c r="F345" s="4">
        <v>1565.1</v>
      </c>
      <c r="G345" s="4">
        <v>1566.6</v>
      </c>
      <c r="H345" s="1" t="s">
        <v>4030</v>
      </c>
      <c r="I345" s="1" t="s">
        <v>4031</v>
      </c>
      <c r="J345" s="1" t="s">
        <v>4034</v>
      </c>
      <c r="K345" s="7">
        <v>0.013403263403263284</v>
      </c>
      <c r="L345" s="7">
        <v>0.005843377344275143</v>
      </c>
      <c r="M345" s="8">
        <f t="shared" si="1"/>
        <v>13937275</v>
      </c>
    </row>
    <row r="346">
      <c r="A346" s="9">
        <v>46013.0</v>
      </c>
      <c r="B346" s="4">
        <v>1573.5</v>
      </c>
      <c r="C346" s="4">
        <v>1577.5</v>
      </c>
      <c r="D346" s="4">
        <v>1565.3</v>
      </c>
      <c r="E346" s="4">
        <v>1565.1</v>
      </c>
      <c r="F346" s="4">
        <v>1575.4</v>
      </c>
      <c r="G346" s="4">
        <v>1571.96</v>
      </c>
      <c r="H346" s="1" t="s">
        <v>4043</v>
      </c>
      <c r="I346" s="1" t="s">
        <v>4045</v>
      </c>
      <c r="J346" s="1" t="s">
        <v>4047</v>
      </c>
      <c r="K346" s="7">
        <v>0.00658104913424074</v>
      </c>
      <c r="L346" s="7">
        <v>0.007933329225460594</v>
      </c>
      <c r="M346" s="8">
        <f t="shared" si="1"/>
        <v>10184852</v>
      </c>
    </row>
    <row r="347">
      <c r="A347" s="9">
        <v>46014.0</v>
      </c>
      <c r="B347" s="4">
        <v>1580.9</v>
      </c>
      <c r="C347" s="4">
        <v>1580.9</v>
      </c>
      <c r="D347" s="4">
        <v>1568.1</v>
      </c>
      <c r="E347" s="4">
        <v>1575.4</v>
      </c>
      <c r="F347" s="4">
        <v>1570.7</v>
      </c>
      <c r="G347" s="4">
        <v>1573.01</v>
      </c>
      <c r="H347" s="1" t="s">
        <v>4057</v>
      </c>
      <c r="I347" s="1" t="s">
        <v>4058</v>
      </c>
      <c r="J347" s="1" t="s">
        <v>4062</v>
      </c>
      <c r="K347" s="7">
        <v>-0.002983369303034179</v>
      </c>
      <c r="L347" s="7">
        <v>1.8148889670034082E-4</v>
      </c>
      <c r="M347" s="8">
        <f t="shared" si="1"/>
        <v>7506564</v>
      </c>
    </row>
    <row r="348">
      <c r="A348" s="9">
        <v>46015.0</v>
      </c>
      <c r="B348" s="4">
        <v>1572.7</v>
      </c>
      <c r="C348" s="4">
        <v>1575.7</v>
      </c>
      <c r="D348" s="4">
        <v>1553.6</v>
      </c>
      <c r="E348" s="4">
        <v>1570.7</v>
      </c>
      <c r="F348" s="4">
        <v>1558.2</v>
      </c>
      <c r="G348" s="4">
        <v>1559.55</v>
      </c>
      <c r="H348" s="1" t="s">
        <v>4070</v>
      </c>
      <c r="I348" s="1" t="s">
        <v>4075</v>
      </c>
      <c r="J348" s="1" t="s">
        <v>4079</v>
      </c>
      <c r="K348" s="7">
        <v>-0.007958235181766091</v>
      </c>
      <c r="L348" s="7">
        <v>-0.0013389540114184665</v>
      </c>
      <c r="M348" s="8">
        <f t="shared" si="1"/>
        <v>8815745</v>
      </c>
    </row>
    <row r="349">
      <c r="A349" s="9">
        <v>46017.0</v>
      </c>
      <c r="B349" s="4">
        <v>1554.7</v>
      </c>
      <c r="C349" s="4">
        <v>1561.0</v>
      </c>
      <c r="D349" s="4">
        <v>1554.3</v>
      </c>
      <c r="E349" s="4">
        <v>1558.2</v>
      </c>
      <c r="F349" s="4">
        <v>1559.2</v>
      </c>
      <c r="G349" s="4">
        <v>1558.05</v>
      </c>
      <c r="H349" s="1" t="s">
        <v>4086</v>
      </c>
      <c r="I349" s="1" t="s">
        <v>4089</v>
      </c>
      <c r="J349" s="11">
        <v>81976.0</v>
      </c>
      <c r="K349" s="7">
        <v>6.417661404184315E-4</v>
      </c>
      <c r="L349" s="7">
        <v>-0.003817596903079679</v>
      </c>
      <c r="M349" s="8">
        <f t="shared" si="1"/>
        <v>2311495</v>
      </c>
    </row>
    <row r="350">
      <c r="A350" s="9">
        <v>46020.0</v>
      </c>
      <c r="B350" s="4">
        <v>1554.9</v>
      </c>
      <c r="C350" s="4">
        <v>1558.1</v>
      </c>
      <c r="D350" s="4">
        <v>1543.6</v>
      </c>
      <c r="E350" s="4">
        <v>1559.2</v>
      </c>
      <c r="F350" s="4">
        <v>1545.6</v>
      </c>
      <c r="G350" s="4">
        <v>1547.8</v>
      </c>
      <c r="H350" s="1" t="s">
        <v>4098</v>
      </c>
      <c r="I350" s="1" t="s">
        <v>4100</v>
      </c>
      <c r="J350" s="1" t="s">
        <v>4102</v>
      </c>
      <c r="K350" s="7">
        <v>-0.00872242175474611</v>
      </c>
      <c r="L350" s="7">
        <v>-0.003847586426698131</v>
      </c>
      <c r="M350" s="8">
        <f t="shared" si="1"/>
        <v>5972105</v>
      </c>
    </row>
    <row r="351">
      <c r="A351" s="9">
        <v>46021.0</v>
      </c>
      <c r="B351" s="4">
        <v>1547.0</v>
      </c>
      <c r="C351" s="4">
        <v>1553.6</v>
      </c>
      <c r="D351" s="4">
        <v>1537.8</v>
      </c>
      <c r="E351" s="4">
        <v>1545.6</v>
      </c>
      <c r="F351" s="4">
        <v>1539.8</v>
      </c>
      <c r="G351" s="4">
        <v>1543.21</v>
      </c>
      <c r="H351" s="1" t="s">
        <v>4116</v>
      </c>
      <c r="I351" s="1" t="s">
        <v>4117</v>
      </c>
      <c r="J351" s="1" t="s">
        <v>4119</v>
      </c>
      <c r="K351" s="7">
        <v>-0.0037525879917183974</v>
      </c>
      <c r="L351" s="7">
        <v>-1.252789866664611E-4</v>
      </c>
      <c r="M351" s="8">
        <f t="shared" si="1"/>
        <v>8815884</v>
      </c>
    </row>
    <row r="352">
      <c r="A352" s="9">
        <v>46022.0</v>
      </c>
      <c r="B352" s="4">
        <v>1541.0</v>
      </c>
      <c r="C352" s="4">
        <v>1577.0</v>
      </c>
      <c r="D352" s="4">
        <v>1541.0</v>
      </c>
      <c r="E352" s="4">
        <v>1539.8</v>
      </c>
      <c r="F352" s="4">
        <v>1570.4</v>
      </c>
      <c r="G352" s="4">
        <v>1566.86</v>
      </c>
      <c r="H352" s="1" t="s">
        <v>4129</v>
      </c>
      <c r="I352" s="1" t="s">
        <v>4131</v>
      </c>
      <c r="J352" s="1" t="s">
        <v>4133</v>
      </c>
      <c r="K352" s="7">
        <v>0.01987271074165485</v>
      </c>
      <c r="L352" s="7">
        <v>0.007353834113694324</v>
      </c>
      <c r="M352" s="8">
        <f t="shared" si="1"/>
        <v>5771830</v>
      </c>
    </row>
    <row r="353">
      <c r="A353" s="3">
        <v>46023.0</v>
      </c>
      <c r="B353" s="4">
        <v>1573.7</v>
      </c>
      <c r="C353" s="4">
        <v>1592.5</v>
      </c>
      <c r="D353" s="4">
        <v>1571.1</v>
      </c>
      <c r="E353" s="4">
        <v>1570.4</v>
      </c>
      <c r="F353" s="4">
        <v>1575.6</v>
      </c>
      <c r="G353" s="4">
        <v>1578.67</v>
      </c>
      <c r="H353" s="1" t="s">
        <v>4143</v>
      </c>
      <c r="I353" s="1" t="s">
        <v>4144</v>
      </c>
      <c r="J353" s="1" t="s">
        <v>4146</v>
      </c>
      <c r="K353" s="7">
        <v>0.003311258278145579</v>
      </c>
      <c r="L353" s="7">
        <v>6.486896087196409E-4</v>
      </c>
      <c r="M353" s="8">
        <f t="shared" si="1"/>
        <v>6408128</v>
      </c>
    </row>
    <row r="354">
      <c r="A354" s="3">
        <v>46024.0</v>
      </c>
      <c r="B354" s="4">
        <v>1580.0</v>
      </c>
      <c r="C354" s="4">
        <v>1594.6</v>
      </c>
      <c r="D354" s="4">
        <v>1578.2</v>
      </c>
      <c r="E354" s="4">
        <v>1575.6</v>
      </c>
      <c r="F354" s="4">
        <v>1592.3</v>
      </c>
      <c r="G354" s="4">
        <v>1589.16</v>
      </c>
      <c r="H354" s="1" t="s">
        <v>4156</v>
      </c>
      <c r="I354" s="1" t="s">
        <v>4159</v>
      </c>
      <c r="J354" s="1" t="s">
        <v>4160</v>
      </c>
      <c r="K354" s="7">
        <v>0.010599136836760628</v>
      </c>
      <c r="L354" s="7">
        <v>0.006960765378223896</v>
      </c>
      <c r="M354" s="8">
        <f t="shared" si="1"/>
        <v>6602230</v>
      </c>
    </row>
    <row r="355">
      <c r="A355" s="3">
        <v>46027.0</v>
      </c>
      <c r="B355" s="4">
        <v>1593.0</v>
      </c>
      <c r="C355" s="4">
        <v>1611.8</v>
      </c>
      <c r="D355" s="4">
        <v>1575.3</v>
      </c>
      <c r="E355" s="4">
        <v>1592.3</v>
      </c>
      <c r="F355" s="4">
        <v>1578.1</v>
      </c>
      <c r="G355" s="4">
        <v>1589.36</v>
      </c>
      <c r="H355" s="1" t="s">
        <v>4166</v>
      </c>
      <c r="I355" s="1" t="s">
        <v>4169</v>
      </c>
      <c r="J355" s="1" t="s">
        <v>4171</v>
      </c>
      <c r="K355" s="7">
        <v>-0.00891791747786224</v>
      </c>
      <c r="L355" s="7">
        <v>-0.0029720588486642826</v>
      </c>
      <c r="M355" s="8">
        <f t="shared" si="1"/>
        <v>8704973</v>
      </c>
    </row>
    <row r="356">
      <c r="A356" s="3">
        <v>46028.0</v>
      </c>
      <c r="B356" s="4">
        <v>1569.0</v>
      </c>
      <c r="C356" s="4">
        <v>1569.0</v>
      </c>
      <c r="D356" s="4">
        <v>1496.3</v>
      </c>
      <c r="E356" s="4">
        <v>1578.1</v>
      </c>
      <c r="F356" s="4">
        <v>1507.6</v>
      </c>
      <c r="G356" s="4">
        <v>1516.17</v>
      </c>
      <c r="H356" s="1" t="s">
        <v>4178</v>
      </c>
      <c r="I356" s="1" t="s">
        <v>4181</v>
      </c>
      <c r="J356" s="1" t="s">
        <v>4183</v>
      </c>
      <c r="K356" s="7">
        <v>-0.04467397503326786</v>
      </c>
      <c r="L356" s="7">
        <v>-0.002727587875186133</v>
      </c>
      <c r="M356" s="8">
        <f t="shared" si="1"/>
        <v>27417125</v>
      </c>
    </row>
    <row r="357">
      <c r="A357" s="3">
        <v>46029.0</v>
      </c>
      <c r="B357" s="4">
        <v>1510.0</v>
      </c>
      <c r="C357" s="4">
        <v>1520.0</v>
      </c>
      <c r="D357" s="4">
        <v>1498.0</v>
      </c>
      <c r="E357" s="4">
        <v>1507.6</v>
      </c>
      <c r="F357" s="4">
        <v>1504.2</v>
      </c>
      <c r="G357" s="4">
        <v>1506.81</v>
      </c>
      <c r="H357" s="1" t="s">
        <v>4191</v>
      </c>
      <c r="I357" s="1" t="s">
        <v>4193</v>
      </c>
      <c r="J357" s="1" t="s">
        <v>4195</v>
      </c>
      <c r="K357" s="7">
        <v>-0.002255240116741751</v>
      </c>
      <c r="L357" s="7">
        <v>-0.0014496518161711898</v>
      </c>
      <c r="M357" s="8">
        <f t="shared" si="1"/>
        <v>11199340</v>
      </c>
    </row>
    <row r="358">
      <c r="A358" s="3">
        <v>46030.0</v>
      </c>
      <c r="B358" s="4">
        <v>1500.0</v>
      </c>
      <c r="C358" s="4">
        <v>1503.9</v>
      </c>
      <c r="D358" s="4">
        <v>1468.8</v>
      </c>
      <c r="E358" s="4">
        <v>1504.2</v>
      </c>
      <c r="F358" s="4">
        <v>1470.6</v>
      </c>
      <c r="G358" s="4">
        <v>1477.72</v>
      </c>
      <c r="H358" s="1" t="s">
        <v>4204</v>
      </c>
      <c r="I358" s="1" t="s">
        <v>4206</v>
      </c>
      <c r="J358" s="1" t="s">
        <v>4207</v>
      </c>
      <c r="K358" s="7">
        <v>-0.022337455125648276</v>
      </c>
      <c r="L358" s="7">
        <v>-0.01009534921530566</v>
      </c>
      <c r="M358" s="8">
        <f t="shared" si="1"/>
        <v>16518684</v>
      </c>
    </row>
    <row r="359">
      <c r="A359" s="3">
        <v>46031.0</v>
      </c>
      <c r="B359" s="4">
        <v>1465.0</v>
      </c>
      <c r="C359" s="4">
        <v>1479.9</v>
      </c>
      <c r="D359" s="4">
        <v>1465.0</v>
      </c>
      <c r="E359" s="4">
        <v>1470.6</v>
      </c>
      <c r="F359" s="4">
        <v>1475.3</v>
      </c>
      <c r="G359" s="4">
        <v>1472.13</v>
      </c>
      <c r="H359" s="1" t="s">
        <v>4219</v>
      </c>
      <c r="I359" s="1" t="s">
        <v>4221</v>
      </c>
      <c r="J359" s="1" t="s">
        <v>4222</v>
      </c>
      <c r="K359" s="7">
        <v>0.0031959744322045736</v>
      </c>
      <c r="L359" s="7">
        <v>-0.007479658459201923</v>
      </c>
      <c r="M359" s="8">
        <f t="shared" si="1"/>
        <v>8335311</v>
      </c>
    </row>
    <row r="360">
      <c r="A360" s="9">
        <v>46034.0</v>
      </c>
      <c r="B360" s="4">
        <v>1475.3</v>
      </c>
      <c r="C360" s="4">
        <v>1485.3</v>
      </c>
      <c r="D360" s="4">
        <v>1451.0</v>
      </c>
      <c r="E360" s="4">
        <v>1475.3</v>
      </c>
      <c r="F360" s="4">
        <v>1483.2</v>
      </c>
      <c r="G360" s="4">
        <v>1469.79</v>
      </c>
      <c r="H360" s="1" t="s">
        <v>4231</v>
      </c>
      <c r="I360" s="1" t="s">
        <v>4234</v>
      </c>
      <c r="J360" s="1" t="s">
        <v>4236</v>
      </c>
      <c r="K360" s="7">
        <v>0.00535484308276289</v>
      </c>
      <c r="L360" s="7">
        <v>0.0041641845090000405</v>
      </c>
      <c r="M360" s="8">
        <f t="shared" si="1"/>
        <v>8883745</v>
      </c>
    </row>
    <row r="361">
      <c r="A361" s="9">
        <v>46035.0</v>
      </c>
      <c r="B361" s="4">
        <v>1485.0</v>
      </c>
      <c r="C361" s="4">
        <v>1485.8</v>
      </c>
      <c r="D361" s="4">
        <v>1444.7</v>
      </c>
      <c r="E361" s="4">
        <v>1483.2</v>
      </c>
      <c r="F361" s="4">
        <v>1452.8</v>
      </c>
      <c r="G361" s="4">
        <v>1457.67</v>
      </c>
      <c r="H361" s="1" t="s">
        <v>4243</v>
      </c>
      <c r="I361" s="1" t="s">
        <v>4244</v>
      </c>
      <c r="J361" s="1" t="s">
        <v>4246</v>
      </c>
      <c r="K361" s="7">
        <v>-0.020496224379719586</v>
      </c>
      <c r="L361" s="7">
        <v>-0.002246973177848246</v>
      </c>
      <c r="M361" s="8">
        <f t="shared" si="1"/>
        <v>13499760</v>
      </c>
    </row>
    <row r="362">
      <c r="A362" s="9">
        <v>46036.0</v>
      </c>
      <c r="B362" s="4">
        <v>1444.0</v>
      </c>
      <c r="C362" s="4">
        <v>1467.0</v>
      </c>
      <c r="D362" s="4">
        <v>1440.2</v>
      </c>
      <c r="E362" s="4">
        <v>1452.8</v>
      </c>
      <c r="F362" s="4">
        <v>1458.8</v>
      </c>
      <c r="G362" s="4">
        <v>1458.22</v>
      </c>
      <c r="H362" s="1" t="s">
        <v>4256</v>
      </c>
      <c r="I362" s="1" t="s">
        <v>4259</v>
      </c>
      <c r="J362" s="1" t="s">
        <v>4262</v>
      </c>
      <c r="K362" s="7">
        <v>0.004129955947136564</v>
      </c>
      <c r="L362" s="7">
        <v>-0.002592072997749938</v>
      </c>
      <c r="M362" s="8">
        <f t="shared" si="1"/>
        <v>8321764</v>
      </c>
    </row>
    <row r="363">
      <c r="A363" s="9">
        <v>46038.0</v>
      </c>
      <c r="B363" s="4">
        <v>1458.8</v>
      </c>
      <c r="C363" s="4">
        <v>1480.0</v>
      </c>
      <c r="D363" s="4">
        <v>1455.1</v>
      </c>
      <c r="E363" s="4">
        <v>1458.8</v>
      </c>
      <c r="F363" s="4">
        <v>1457.9</v>
      </c>
      <c r="G363" s="4">
        <v>1464.15</v>
      </c>
      <c r="H363" s="1" t="s">
        <v>4268</v>
      </c>
      <c r="I363" s="1" t="s">
        <v>4270</v>
      </c>
      <c r="J363" s="1" t="s">
        <v>4274</v>
      </c>
      <c r="K363" s="7">
        <v>-6.169454346036904E-4</v>
      </c>
      <c r="L363" s="7">
        <v>0.0011201764229162772</v>
      </c>
      <c r="M363" s="8">
        <f t="shared" si="1"/>
        <v>17167161</v>
      </c>
    </row>
    <row r="364">
      <c r="A364" s="9">
        <v>46041.0</v>
      </c>
      <c r="B364" s="4">
        <v>1450.6</v>
      </c>
      <c r="C364" s="4">
        <v>1450.6</v>
      </c>
      <c r="D364" s="4">
        <v>1403.3</v>
      </c>
      <c r="E364" s="4">
        <v>1457.9</v>
      </c>
      <c r="F364" s="4">
        <v>1413.6</v>
      </c>
      <c r="G364" s="4">
        <v>1415.36</v>
      </c>
      <c r="H364" s="1" t="s">
        <v>4281</v>
      </c>
      <c r="I364" s="1" t="s">
        <v>4284</v>
      </c>
      <c r="J364" s="1" t="s">
        <v>4286</v>
      </c>
      <c r="K364" s="7">
        <v>-0.030386171891076327</v>
      </c>
      <c r="L364" s="7">
        <v>-0.004236339895735777</v>
      </c>
      <c r="M364" s="8">
        <f t="shared" si="1"/>
        <v>20392765</v>
      </c>
    </row>
    <row r="365">
      <c r="A365" s="9">
        <v>46042.0</v>
      </c>
      <c r="B365" s="4">
        <v>1410.7</v>
      </c>
      <c r="C365" s="4">
        <v>1416.0</v>
      </c>
      <c r="D365" s="4">
        <v>1390.0</v>
      </c>
      <c r="E365" s="4">
        <v>1413.6</v>
      </c>
      <c r="F365" s="4">
        <v>1394.0</v>
      </c>
      <c r="G365" s="4">
        <v>1401.05</v>
      </c>
      <c r="H365" s="1" t="s">
        <v>4295</v>
      </c>
      <c r="I365" s="1" t="s">
        <v>4298</v>
      </c>
      <c r="J365" s="1" t="s">
        <v>4299</v>
      </c>
      <c r="K365" s="7">
        <v>-0.013865308432371187</v>
      </c>
      <c r="L365" s="7">
        <v>-0.013796877137441129</v>
      </c>
      <c r="M365" s="8">
        <f t="shared" si="1"/>
        <v>13189498</v>
      </c>
    </row>
    <row r="366">
      <c r="A366" s="9">
        <v>46043.0</v>
      </c>
      <c r="B366" s="4">
        <v>1389.5</v>
      </c>
      <c r="C366" s="4">
        <v>1412.9</v>
      </c>
      <c r="D366" s="4">
        <v>1373.0</v>
      </c>
      <c r="E366" s="4">
        <v>1394.0</v>
      </c>
      <c r="F366" s="4">
        <v>1404.6</v>
      </c>
      <c r="G366" s="4">
        <v>1399.14</v>
      </c>
      <c r="H366" s="1" t="s">
        <v>4307</v>
      </c>
      <c r="I366" s="1" t="s">
        <v>4309</v>
      </c>
      <c r="J366" s="1" t="s">
        <v>4311</v>
      </c>
      <c r="K366" s="7">
        <v>0.007604017216642689</v>
      </c>
      <c r="L366" s="7">
        <v>-0.002972357079163777</v>
      </c>
      <c r="M366" s="8">
        <f t="shared" si="1"/>
        <v>17352720</v>
      </c>
    </row>
    <row r="367">
      <c r="A367" s="9">
        <v>46044.0</v>
      </c>
      <c r="B367" s="4">
        <v>1410.1</v>
      </c>
      <c r="C367" s="4">
        <v>1419.5</v>
      </c>
      <c r="D367" s="4">
        <v>1395.0</v>
      </c>
      <c r="E367" s="4">
        <v>1404.6</v>
      </c>
      <c r="F367" s="4">
        <v>1402.5</v>
      </c>
      <c r="G367" s="4">
        <v>1403.8</v>
      </c>
      <c r="H367" s="1" t="s">
        <v>4319</v>
      </c>
      <c r="I367" s="1" t="s">
        <v>4321</v>
      </c>
      <c r="J367" s="1" t="s">
        <v>4323</v>
      </c>
      <c r="K367" s="7">
        <v>-0.0014950875694147154</v>
      </c>
      <c r="L367" s="7">
        <v>0.005262844082281683</v>
      </c>
      <c r="M367" s="8">
        <f t="shared" si="1"/>
        <v>15721693</v>
      </c>
    </row>
    <row r="368">
      <c r="A368" s="9">
        <v>46045.0</v>
      </c>
      <c r="B368" s="4">
        <v>1401.8</v>
      </c>
      <c r="C368" s="4">
        <v>1407.0</v>
      </c>
      <c r="D368" s="4">
        <v>1381.0</v>
      </c>
      <c r="E368" s="4">
        <v>1402.5</v>
      </c>
      <c r="F368" s="4">
        <v>1386.1</v>
      </c>
      <c r="G368" s="4">
        <v>1391.32</v>
      </c>
      <c r="H368" s="1" t="s">
        <v>4335</v>
      </c>
      <c r="I368" s="1" t="s">
        <v>4337</v>
      </c>
      <c r="J368" s="1" t="s">
        <v>4338</v>
      </c>
      <c r="K368" s="7">
        <v>-0.01169340463458117</v>
      </c>
      <c r="L368" s="7">
        <v>-0.009539381334050351</v>
      </c>
      <c r="M368" s="8">
        <f t="shared" si="1"/>
        <v>9837802</v>
      </c>
    </row>
    <row r="369">
      <c r="A369" s="9">
        <v>46049.0</v>
      </c>
      <c r="B369" s="4">
        <v>1380.0</v>
      </c>
      <c r="C369" s="4">
        <v>1391.6</v>
      </c>
      <c r="D369" s="4">
        <v>1368.0</v>
      </c>
      <c r="E369" s="4">
        <v>1386.1</v>
      </c>
      <c r="F369" s="4">
        <v>1380.5</v>
      </c>
      <c r="G369" s="4">
        <v>1381.87</v>
      </c>
      <c r="H369" s="1" t="s">
        <v>4346</v>
      </c>
      <c r="I369" s="1" t="s">
        <v>4348</v>
      </c>
      <c r="J369" s="1" t="s">
        <v>4350</v>
      </c>
      <c r="K369" s="7">
        <v>-0.004040112545992287</v>
      </c>
      <c r="L369" s="7">
        <v>0.00506015294237414</v>
      </c>
      <c r="M369" s="8">
        <f t="shared" si="1"/>
        <v>26302396</v>
      </c>
    </row>
    <row r="370">
      <c r="A370" s="9">
        <v>46050.0</v>
      </c>
      <c r="B370" s="4">
        <v>1385.0</v>
      </c>
      <c r="C370" s="4">
        <v>1409.9</v>
      </c>
      <c r="D370" s="4">
        <v>1384.9</v>
      </c>
      <c r="E370" s="4">
        <v>1380.5</v>
      </c>
      <c r="F370" s="4">
        <v>1396.7</v>
      </c>
      <c r="G370" s="4">
        <v>1396.85</v>
      </c>
      <c r="H370" s="1" t="s">
        <v>4358</v>
      </c>
      <c r="I370" s="1" t="s">
        <v>4360</v>
      </c>
      <c r="J370" s="1" t="s">
        <v>4363</v>
      </c>
      <c r="K370" s="7">
        <v>0.011734878667149616</v>
      </c>
      <c r="L370" s="7">
        <v>0.0066473621074540435</v>
      </c>
      <c r="M370" s="8">
        <f t="shared" si="1"/>
        <v>11121657</v>
      </c>
    </row>
    <row r="371">
      <c r="A371" s="9">
        <v>46051.0</v>
      </c>
      <c r="B371" s="4">
        <v>1402.9</v>
      </c>
      <c r="C371" s="4">
        <v>1402.9</v>
      </c>
      <c r="D371" s="4">
        <v>1384.0</v>
      </c>
      <c r="E371" s="4">
        <v>1396.7</v>
      </c>
      <c r="F371" s="4">
        <v>1391.0</v>
      </c>
      <c r="G371" s="4">
        <v>1393.55</v>
      </c>
      <c r="H371" s="1" t="s">
        <v>4369</v>
      </c>
      <c r="I371" s="1" t="s">
        <v>4370</v>
      </c>
      <c r="J371" s="1" t="s">
        <v>4371</v>
      </c>
      <c r="K371" s="7">
        <v>-0.00408104818500755</v>
      </c>
      <c r="L371" s="7">
        <v>0.003004804135305026</v>
      </c>
      <c r="M371" s="8">
        <f t="shared" si="1"/>
        <v>20846683</v>
      </c>
    </row>
    <row r="372">
      <c r="A372" s="9">
        <v>46052.0</v>
      </c>
      <c r="B372" s="4">
        <v>1382.6</v>
      </c>
      <c r="C372" s="4">
        <v>1398.0</v>
      </c>
      <c r="D372" s="4">
        <v>1378.5</v>
      </c>
      <c r="E372" s="4">
        <v>1391.0</v>
      </c>
      <c r="F372" s="4">
        <v>1395.4</v>
      </c>
      <c r="G372" s="4">
        <v>1391.25</v>
      </c>
      <c r="H372" s="1" t="s">
        <v>4380</v>
      </c>
      <c r="I372" s="1" t="s">
        <v>4381</v>
      </c>
      <c r="J372" s="1" t="s">
        <v>4382</v>
      </c>
      <c r="K372" s="7">
        <v>0.0031631919482387424</v>
      </c>
      <c r="L372" s="7">
        <v>-0.0038652341368037167</v>
      </c>
      <c r="M372" s="8">
        <f t="shared" si="1"/>
        <v>11239835</v>
      </c>
    </row>
    <row r="373">
      <c r="A373" s="3">
        <v>46054.0</v>
      </c>
      <c r="B373" s="4">
        <v>1396.0</v>
      </c>
      <c r="C373" s="4">
        <v>1411.0</v>
      </c>
      <c r="D373" s="4">
        <v>1335.0</v>
      </c>
      <c r="E373" s="4">
        <v>1395.4</v>
      </c>
      <c r="F373" s="4">
        <v>1347.0</v>
      </c>
      <c r="G373" s="4">
        <v>1377.13</v>
      </c>
      <c r="H373" s="1" t="s">
        <v>4392</v>
      </c>
      <c r="I373" s="1" t="s">
        <v>4393</v>
      </c>
      <c r="J373" s="1" t="s">
        <v>4394</v>
      </c>
      <c r="K373" s="7">
        <v>-0.03468539486885487</v>
      </c>
      <c r="L373" s="7">
        <v>-0.019557159867538972</v>
      </c>
      <c r="M373" s="8">
        <f t="shared" si="1"/>
        <v>9714528</v>
      </c>
    </row>
    <row r="374">
      <c r="A374" s="3">
        <v>46055.0</v>
      </c>
      <c r="B374" s="4">
        <v>1340.0</v>
      </c>
      <c r="C374" s="4">
        <v>1392.9</v>
      </c>
      <c r="D374" s="4">
        <v>1335.5</v>
      </c>
      <c r="E374" s="4">
        <v>1347.0</v>
      </c>
      <c r="F374" s="4">
        <v>1390.4</v>
      </c>
      <c r="G374" s="4">
        <v>1373.27</v>
      </c>
      <c r="H374" s="1" t="s">
        <v>4401</v>
      </c>
      <c r="I374" s="1" t="s">
        <v>4403</v>
      </c>
      <c r="J374" s="1" t="s">
        <v>4405</v>
      </c>
      <c r="K374" s="7">
        <v>0.03221974758723095</v>
      </c>
      <c r="L374" s="7">
        <v>0.010591953015957443</v>
      </c>
      <c r="M374" s="8">
        <f t="shared" si="1"/>
        <v>15711165</v>
      </c>
    </row>
    <row r="375">
      <c r="A375" s="3">
        <v>46056.0</v>
      </c>
      <c r="B375" s="4">
        <v>1473.9</v>
      </c>
      <c r="C375" s="4">
        <v>1489.5</v>
      </c>
      <c r="D375" s="4">
        <v>1430.2</v>
      </c>
      <c r="E375" s="4">
        <v>1390.4</v>
      </c>
      <c r="F375" s="4">
        <v>1437.1</v>
      </c>
      <c r="G375" s="4">
        <v>1445.7</v>
      </c>
      <c r="H375" s="1" t="s">
        <v>4416</v>
      </c>
      <c r="I375" s="1" t="s">
        <v>4418</v>
      </c>
      <c r="J375" s="1" t="s">
        <v>4420</v>
      </c>
      <c r="K375" s="7">
        <v>0.033587456846950386</v>
      </c>
      <c r="L375" s="7">
        <v>0.025475917156932995</v>
      </c>
      <c r="M375" s="8">
        <f t="shared" si="1"/>
        <v>25456171</v>
      </c>
    </row>
    <row r="376">
      <c r="A376" s="3">
        <v>46057.0</v>
      </c>
      <c r="B376" s="4">
        <v>1444.0</v>
      </c>
      <c r="C376" s="4">
        <v>1464.0</v>
      </c>
      <c r="D376" s="4">
        <v>1440.3</v>
      </c>
      <c r="E376" s="4">
        <v>1437.1</v>
      </c>
      <c r="F376" s="4">
        <v>1456.8</v>
      </c>
      <c r="G376" s="4">
        <v>1455.35</v>
      </c>
      <c r="H376" s="1" t="s">
        <v>4429</v>
      </c>
      <c r="I376" s="1" t="s">
        <v>4431</v>
      </c>
      <c r="J376" s="1" t="s">
        <v>4433</v>
      </c>
      <c r="K376" s="7">
        <v>0.013708162271240725</v>
      </c>
      <c r="L376" s="7">
        <v>0.0018831952517826506</v>
      </c>
      <c r="M376" s="8">
        <f t="shared" si="1"/>
        <v>8333387</v>
      </c>
    </row>
    <row r="377">
      <c r="A377" s="3">
        <v>46058.0</v>
      </c>
      <c r="B377" s="4">
        <v>1457.0</v>
      </c>
      <c r="C377" s="4">
        <v>1461.5</v>
      </c>
      <c r="D377" s="4">
        <v>1439.5</v>
      </c>
      <c r="E377" s="4">
        <v>1456.8</v>
      </c>
      <c r="F377" s="4">
        <v>1443.4</v>
      </c>
      <c r="G377" s="4">
        <v>1444.91</v>
      </c>
      <c r="H377" s="1" t="s">
        <v>4434</v>
      </c>
      <c r="I377" s="1" t="s">
        <v>4437</v>
      </c>
      <c r="J377" s="1" t="s">
        <v>4440</v>
      </c>
      <c r="K377" s="7">
        <v>-0.00919824272377805</v>
      </c>
      <c r="L377" s="7">
        <v>-0.005167597765363157</v>
      </c>
      <c r="M377" s="8">
        <f t="shared" si="1"/>
        <v>11763658</v>
      </c>
    </row>
    <row r="378">
      <c r="A378" s="3">
        <v>46059.0</v>
      </c>
      <c r="B378" s="4">
        <v>1441.5</v>
      </c>
      <c r="C378" s="4">
        <v>1452.8</v>
      </c>
      <c r="D378" s="4">
        <v>1433.5</v>
      </c>
      <c r="E378" s="4">
        <v>1443.4</v>
      </c>
      <c r="F378" s="4">
        <v>1450.8</v>
      </c>
      <c r="G378" s="4">
        <v>1442.78</v>
      </c>
      <c r="H378" s="1" t="s">
        <v>4446</v>
      </c>
      <c r="I378" s="1" t="s">
        <v>4447</v>
      </c>
      <c r="J378" s="1" t="s">
        <v>4448</v>
      </c>
      <c r="K378" s="7">
        <v>0.005126783982264004</v>
      </c>
      <c r="L378" s="7">
        <v>0.001984962640585328</v>
      </c>
      <c r="M378" s="8">
        <f t="shared" si="1"/>
        <v>8277304</v>
      </c>
    </row>
    <row r="379">
      <c r="A379" s="3">
        <v>46062.0</v>
      </c>
      <c r="B379" s="4">
        <v>1458.0</v>
      </c>
      <c r="C379" s="4">
        <v>1465.9</v>
      </c>
      <c r="D379" s="4">
        <v>1453.0</v>
      </c>
      <c r="E379" s="4">
        <v>1450.8</v>
      </c>
      <c r="F379" s="4">
        <v>1461.6</v>
      </c>
      <c r="G379" s="4">
        <v>1462.26</v>
      </c>
      <c r="H379" s="1" t="s">
        <v>4458</v>
      </c>
      <c r="I379" s="1" t="s">
        <v>4461</v>
      </c>
      <c r="J379" s="1" t="s">
        <v>4464</v>
      </c>
      <c r="K379" s="7">
        <v>0.007444168734491284</v>
      </c>
      <c r="L379" s="7">
        <v>0.00675652008079796</v>
      </c>
      <c r="M379" s="8">
        <f t="shared" si="1"/>
        <v>5775864</v>
      </c>
    </row>
    <row r="380">
      <c r="A380" s="9">
        <v>46063.0</v>
      </c>
      <c r="B380" s="4">
        <v>1471.0</v>
      </c>
      <c r="C380" s="4">
        <v>1471.0</v>
      </c>
      <c r="D380" s="4">
        <v>1452.2</v>
      </c>
      <c r="E380" s="4">
        <v>1461.6</v>
      </c>
      <c r="F380" s="4">
        <v>1458.5</v>
      </c>
      <c r="G380" s="4">
        <v>1459.23</v>
      </c>
      <c r="H380" s="1" t="s">
        <v>4473</v>
      </c>
      <c r="I380" s="1" t="s">
        <v>4475</v>
      </c>
      <c r="J380" s="1" t="s">
        <v>4478</v>
      </c>
      <c r="K380" s="7">
        <v>-0.0021209633278598174</v>
      </c>
      <c r="L380" s="7">
        <v>0.0026230027873029725</v>
      </c>
      <c r="M380" s="8">
        <f t="shared" si="1"/>
        <v>10259630</v>
      </c>
    </row>
    <row r="381">
      <c r="A381" s="9">
        <v>46064.0</v>
      </c>
      <c r="B381" s="4">
        <v>1459.6</v>
      </c>
      <c r="C381" s="4">
        <v>1470.0</v>
      </c>
      <c r="D381" s="4">
        <v>1453.6</v>
      </c>
      <c r="E381" s="4">
        <v>1458.5</v>
      </c>
      <c r="F381" s="4">
        <v>1468.7</v>
      </c>
      <c r="G381" s="4">
        <v>1465.14</v>
      </c>
      <c r="H381" s="1" t="s">
        <v>4491</v>
      </c>
      <c r="I381" s="1" t="s">
        <v>4492</v>
      </c>
      <c r="J381" s="1" t="s">
        <v>4493</v>
      </c>
      <c r="K381" s="7">
        <v>0.006993486458690467</v>
      </c>
      <c r="L381" s="7">
        <v>7.210291824029199E-4</v>
      </c>
      <c r="M381" s="8">
        <f t="shared" si="1"/>
        <v>7106877</v>
      </c>
    </row>
    <row r="382">
      <c r="A382" s="9">
        <v>46065.0</v>
      </c>
      <c r="B382" s="4">
        <v>1470.0</v>
      </c>
      <c r="C382" s="4">
        <v>1473.0</v>
      </c>
      <c r="D382" s="4">
        <v>1445.5</v>
      </c>
      <c r="E382" s="4">
        <v>1468.7</v>
      </c>
      <c r="F382" s="4">
        <v>1448.9</v>
      </c>
      <c r="G382" s="4">
        <v>1453.64</v>
      </c>
      <c r="H382" s="1" t="s">
        <v>4503</v>
      </c>
      <c r="I382" s="1" t="s">
        <v>4504</v>
      </c>
      <c r="J382" s="1" t="s">
        <v>4506</v>
      </c>
      <c r="K382" s="7">
        <v>-0.013481310002042592</v>
      </c>
      <c r="L382" s="7">
        <v>-0.005650414100412764</v>
      </c>
      <c r="M382" s="8">
        <f t="shared" si="1"/>
        <v>11135399</v>
      </c>
    </row>
    <row r="383">
      <c r="A383" s="9">
        <v>46066.0</v>
      </c>
      <c r="B383" s="4">
        <v>1445.5</v>
      </c>
      <c r="C383" s="4">
        <v>1450.7</v>
      </c>
      <c r="D383" s="4">
        <v>1416.3</v>
      </c>
      <c r="E383" s="4">
        <v>1448.9</v>
      </c>
      <c r="F383" s="4">
        <v>1419.6</v>
      </c>
      <c r="G383" s="4">
        <v>1423.73</v>
      </c>
      <c r="H383" s="1" t="s">
        <v>4516</v>
      </c>
      <c r="I383" s="1" t="s">
        <v>4518</v>
      </c>
      <c r="J383" s="1" t="s">
        <v>4520</v>
      </c>
      <c r="K383" s="7">
        <v>-0.020222237559528042</v>
      </c>
      <c r="L383" s="7">
        <v>-0.013023497318577845</v>
      </c>
      <c r="M383" s="8">
        <f t="shared" si="1"/>
        <v>10755693</v>
      </c>
    </row>
    <row r="384">
      <c r="A384" s="9">
        <v>46069.0</v>
      </c>
      <c r="B384" s="4">
        <v>1420.1</v>
      </c>
      <c r="C384" s="4">
        <v>1439.6</v>
      </c>
      <c r="D384" s="4">
        <v>1409.3</v>
      </c>
      <c r="E384" s="4">
        <v>1419.6</v>
      </c>
      <c r="F384" s="4">
        <v>1437.1</v>
      </c>
      <c r="G384" s="4">
        <v>1426.07</v>
      </c>
      <c r="H384" s="1" t="s">
        <v>4530</v>
      </c>
      <c r="I384" s="1" t="s">
        <v>4531</v>
      </c>
      <c r="J384" s="1" t="s">
        <v>4532</v>
      </c>
      <c r="K384" s="7">
        <v>0.01232741617357002</v>
      </c>
      <c r="L384" s="7">
        <v>0.008309417339651662</v>
      </c>
      <c r="M384" s="8">
        <f t="shared" si="1"/>
        <v>5896514</v>
      </c>
    </row>
    <row r="385">
      <c r="A385" s="9">
        <v>46070.0</v>
      </c>
      <c r="B385" s="4">
        <v>1431.1</v>
      </c>
      <c r="C385" s="4">
        <v>1431.8</v>
      </c>
      <c r="D385" s="4">
        <v>1418.6</v>
      </c>
      <c r="E385" s="4">
        <v>1437.1</v>
      </c>
      <c r="F385" s="4">
        <v>1423.0</v>
      </c>
      <c r="G385" s="4">
        <v>1423.1</v>
      </c>
      <c r="H385" s="1" t="s">
        <v>4539</v>
      </c>
      <c r="I385" s="1" t="s">
        <v>4540</v>
      </c>
      <c r="J385" s="1" t="s">
        <v>4541</v>
      </c>
      <c r="K385" s="7">
        <v>-0.009811425788045306</v>
      </c>
      <c r="L385" s="7">
        <v>0.0016606477110123119</v>
      </c>
      <c r="M385" s="8">
        <f t="shared" si="1"/>
        <v>10731630</v>
      </c>
    </row>
    <row r="386">
      <c r="A386" s="9">
        <v>46071.0</v>
      </c>
      <c r="B386" s="4">
        <v>1427.0</v>
      </c>
      <c r="C386" s="4">
        <v>1442.1</v>
      </c>
      <c r="D386" s="4">
        <v>1419.2</v>
      </c>
      <c r="E386" s="4">
        <v>1423.0</v>
      </c>
      <c r="F386" s="4">
        <v>1441.3</v>
      </c>
      <c r="G386" s="4">
        <v>1432.14</v>
      </c>
      <c r="H386" s="1" t="s">
        <v>4550</v>
      </c>
      <c r="I386" s="1" t="s">
        <v>4551</v>
      </c>
      <c r="J386" s="1" t="s">
        <v>4552</v>
      </c>
      <c r="K386" s="7">
        <v>0.012860154602951479</v>
      </c>
      <c r="L386" s="7">
        <v>0.003652032621455724</v>
      </c>
      <c r="M386" s="8">
        <f t="shared" si="1"/>
        <v>5521096</v>
      </c>
    </row>
    <row r="387">
      <c r="A387" s="9">
        <v>46072.0</v>
      </c>
      <c r="B387" s="4">
        <v>1443.0</v>
      </c>
      <c r="C387" s="4">
        <v>1443.0</v>
      </c>
      <c r="D387" s="4">
        <v>1400.0</v>
      </c>
      <c r="E387" s="4">
        <v>1441.3</v>
      </c>
      <c r="F387" s="4">
        <v>1409.5</v>
      </c>
      <c r="G387" s="4">
        <v>1415.94</v>
      </c>
      <c r="H387" s="1" t="s">
        <v>4560</v>
      </c>
      <c r="I387" s="1" t="s">
        <v>4561</v>
      </c>
      <c r="J387" s="1" t="s">
        <v>4563</v>
      </c>
      <c r="K387" s="7">
        <v>-0.022063414972594154</v>
      </c>
      <c r="L387" s="7">
        <v>-0.014136684308474071</v>
      </c>
      <c r="M387" s="8">
        <f t="shared" si="1"/>
        <v>11884664</v>
      </c>
    </row>
    <row r="388">
      <c r="A388" s="9">
        <v>46073.0</v>
      </c>
      <c r="B388" s="4">
        <v>1409.5</v>
      </c>
      <c r="C388" s="4">
        <v>1427.4</v>
      </c>
      <c r="D388" s="4">
        <v>1406.1</v>
      </c>
      <c r="E388" s="4">
        <v>1409.5</v>
      </c>
      <c r="F388" s="4">
        <v>1419.4</v>
      </c>
      <c r="G388" s="4">
        <v>1420.0</v>
      </c>
      <c r="H388" s="1" t="s">
        <v>4572</v>
      </c>
      <c r="I388" s="1" t="s">
        <v>4575</v>
      </c>
      <c r="J388" s="1" t="s">
        <v>4578</v>
      </c>
      <c r="K388" s="7">
        <v>0.007023767293366507</v>
      </c>
      <c r="L388" s="7">
        <v>0.004592535264110121</v>
      </c>
      <c r="M388" s="8">
        <f t="shared" si="1"/>
        <v>8177670</v>
      </c>
    </row>
    <row r="389">
      <c r="A389" s="9">
        <v>46076.0</v>
      </c>
      <c r="B389" s="4">
        <v>1425.0</v>
      </c>
      <c r="C389" s="4">
        <v>1434.9</v>
      </c>
      <c r="D389" s="4">
        <v>1418.3</v>
      </c>
      <c r="E389" s="4">
        <v>1419.4</v>
      </c>
      <c r="F389" s="4">
        <v>1428.0</v>
      </c>
      <c r="G389" s="4">
        <v>1425.5</v>
      </c>
      <c r="H389" s="1" t="s">
        <v>4587</v>
      </c>
      <c r="I389" s="1" t="s">
        <v>4589</v>
      </c>
      <c r="J389" s="1" t="s">
        <v>4591</v>
      </c>
      <c r="K389" s="7">
        <v>0.006058898125968655</v>
      </c>
      <c r="L389" s="7">
        <v>0.005543334799824021</v>
      </c>
      <c r="M389" s="8">
        <f t="shared" si="1"/>
        <v>7758856</v>
      </c>
    </row>
    <row r="390">
      <c r="A390" s="9">
        <v>46077.0</v>
      </c>
      <c r="B390" s="4">
        <v>1425.3</v>
      </c>
      <c r="C390" s="4">
        <v>1433.3</v>
      </c>
      <c r="D390" s="4">
        <v>1415.0</v>
      </c>
      <c r="E390" s="4">
        <v>1428.0</v>
      </c>
      <c r="F390" s="4">
        <v>1428.8</v>
      </c>
      <c r="G390" s="4">
        <v>1424.96</v>
      </c>
      <c r="H390" s="1" t="s">
        <v>4599</v>
      </c>
      <c r="I390" s="1" t="s">
        <v>4602</v>
      </c>
      <c r="J390" s="1" t="s">
        <v>4605</v>
      </c>
      <c r="K390" s="7">
        <v>5.602240896358225E-4</v>
      </c>
      <c r="L390" s="7">
        <v>-0.011214171819702039</v>
      </c>
      <c r="M390" s="8">
        <f t="shared" si="1"/>
        <v>12529409</v>
      </c>
    </row>
    <row r="391">
      <c r="A391" s="9">
        <v>46078.0</v>
      </c>
      <c r="B391" s="4">
        <v>1435.0</v>
      </c>
      <c r="C391" s="4">
        <v>1440.5</v>
      </c>
      <c r="D391" s="4">
        <v>1393.5</v>
      </c>
      <c r="E391" s="4">
        <v>1428.8</v>
      </c>
      <c r="F391" s="4">
        <v>1398.5</v>
      </c>
      <c r="G391" s="4">
        <v>1414.07</v>
      </c>
      <c r="H391" s="1" t="s">
        <v>4614</v>
      </c>
      <c r="I391" s="1" t="s">
        <v>4616</v>
      </c>
      <c r="J391" s="1" t="s">
        <v>4619</v>
      </c>
      <c r="K391" s="7">
        <v>-0.021206606942889106</v>
      </c>
      <c r="L391" s="7">
        <v>0.002275350889786036</v>
      </c>
      <c r="M391" s="8">
        <f t="shared" si="1"/>
        <v>10728792</v>
      </c>
    </row>
    <row r="392">
      <c r="A392" s="9">
        <v>46079.0</v>
      </c>
      <c r="B392" s="4">
        <v>1398.5</v>
      </c>
      <c r="C392" s="4">
        <v>1412.9</v>
      </c>
      <c r="D392" s="4">
        <v>1391.9</v>
      </c>
      <c r="E392" s="4">
        <v>1398.5</v>
      </c>
      <c r="F392" s="4">
        <v>1406.8</v>
      </c>
      <c r="G392" s="4">
        <v>1404.01</v>
      </c>
      <c r="H392" s="1" t="s">
        <v>4626</v>
      </c>
      <c r="I392" s="1" t="s">
        <v>4630</v>
      </c>
      <c r="J392" s="1" t="s">
        <v>4634</v>
      </c>
      <c r="K392" s="7">
        <v>0.005934930282445444</v>
      </c>
      <c r="L392" s="7">
        <v>5.51358775630306E-4</v>
      </c>
      <c r="M392" s="8">
        <f t="shared" si="1"/>
        <v>16683858</v>
      </c>
    </row>
    <row r="393">
      <c r="A393" s="9">
        <v>46080.0</v>
      </c>
      <c r="B393" s="4">
        <v>1398.0</v>
      </c>
      <c r="C393" s="4">
        <v>1410.4</v>
      </c>
      <c r="D393" s="4">
        <v>1388.1</v>
      </c>
      <c r="E393" s="4">
        <v>1406.8</v>
      </c>
      <c r="F393" s="4">
        <v>1393.9</v>
      </c>
      <c r="G393" s="4">
        <v>1397.46</v>
      </c>
      <c r="H393" s="1" t="s">
        <v>4641</v>
      </c>
      <c r="I393" s="1" t="s">
        <v>4643</v>
      </c>
      <c r="J393" s="1" t="s">
        <v>4645</v>
      </c>
      <c r="K393" s="7">
        <v>-0.009169746943417588</v>
      </c>
      <c r="L393" s="7">
        <v>-0.012468353561560204</v>
      </c>
      <c r="M393" s="8">
        <f t="shared" si="1"/>
        <v>12031440</v>
      </c>
    </row>
    <row r="394">
      <c r="A394" s="3">
        <v>46083.0</v>
      </c>
      <c r="B394" s="4">
        <v>1375.5</v>
      </c>
      <c r="C394" s="4">
        <v>1378.6</v>
      </c>
      <c r="D394" s="4">
        <v>1341.5</v>
      </c>
      <c r="E394" s="4">
        <v>1393.9</v>
      </c>
      <c r="F394" s="4">
        <v>1358.0</v>
      </c>
      <c r="G394" s="4">
        <v>1358.19</v>
      </c>
      <c r="H394" s="1" t="s">
        <v>4655</v>
      </c>
      <c r="I394" s="1" t="s">
        <v>4658</v>
      </c>
      <c r="J394" s="1" t="s">
        <v>4661</v>
      </c>
      <c r="K394" s="7">
        <v>-0.02575507568692165</v>
      </c>
      <c r="L394" s="7">
        <v>-0.012429181072059094</v>
      </c>
      <c r="M394" s="8">
        <f t="shared" si="1"/>
        <v>23728722</v>
      </c>
    </row>
    <row r="395">
      <c r="A395" s="3">
        <v>46085.0</v>
      </c>
      <c r="B395" s="4">
        <v>1330.0</v>
      </c>
      <c r="C395" s="4">
        <v>1352.8</v>
      </c>
      <c r="D395" s="4">
        <v>1307.0</v>
      </c>
      <c r="E395" s="4">
        <v>1358.0</v>
      </c>
      <c r="F395" s="4">
        <v>1345.0</v>
      </c>
      <c r="G395" s="4">
        <v>1334.6</v>
      </c>
      <c r="H395" s="1" t="s">
        <v>4673</v>
      </c>
      <c r="I395" s="1" t="s">
        <v>4674</v>
      </c>
      <c r="J395" s="1" t="s">
        <v>4675</v>
      </c>
      <c r="K395" s="7">
        <v>-0.009572901325478646</v>
      </c>
      <c r="L395" s="7">
        <v>-0.015491218827541581</v>
      </c>
      <c r="M395" s="8">
        <f t="shared" si="1"/>
        <v>32495007</v>
      </c>
    </row>
    <row r="396">
      <c r="A396" s="3">
        <v>46086.0</v>
      </c>
      <c r="B396" s="4">
        <v>1353.1</v>
      </c>
      <c r="C396" s="4">
        <v>1399.0</v>
      </c>
      <c r="D396" s="4">
        <v>1353.1</v>
      </c>
      <c r="E396" s="4">
        <v>1345.0</v>
      </c>
      <c r="F396" s="4">
        <v>1389.4</v>
      </c>
      <c r="G396" s="4">
        <v>1383.03</v>
      </c>
      <c r="H396" s="1" t="s">
        <v>4685</v>
      </c>
      <c r="I396" s="1" t="s">
        <v>4686</v>
      </c>
      <c r="J396" s="1" t="s">
        <v>4688</v>
      </c>
      <c r="K396" s="7">
        <v>0.033011152416356944</v>
      </c>
      <c r="L396" s="7">
        <v>0.011658258613998957</v>
      </c>
      <c r="M396" s="8">
        <f t="shared" si="1"/>
        <v>25957532</v>
      </c>
    </row>
    <row r="397">
      <c r="A397" s="3">
        <v>46087.0</v>
      </c>
      <c r="B397" s="4">
        <v>1396.5</v>
      </c>
      <c r="C397" s="4">
        <v>1424.3</v>
      </c>
      <c r="D397" s="4">
        <v>1390.3</v>
      </c>
      <c r="E397" s="4">
        <v>1389.4</v>
      </c>
      <c r="F397" s="4">
        <v>1404.8</v>
      </c>
      <c r="G397" s="4">
        <v>1412.87</v>
      </c>
      <c r="H397" s="1" t="s">
        <v>4698</v>
      </c>
      <c r="I397" s="1" t="s">
        <v>4700</v>
      </c>
      <c r="J397" s="1" t="s">
        <v>4703</v>
      </c>
      <c r="K397" s="7">
        <v>0.011083921117028835</v>
      </c>
      <c r="L397" s="7">
        <v>-0.01273727181325939</v>
      </c>
      <c r="M397" s="8">
        <f t="shared" si="1"/>
        <v>19311971</v>
      </c>
    </row>
    <row r="398">
      <c r="A398" s="3">
        <v>46090.0</v>
      </c>
      <c r="B398" s="4">
        <v>1375.0</v>
      </c>
      <c r="C398" s="4">
        <v>1429.4</v>
      </c>
      <c r="D398" s="4">
        <v>1370.0</v>
      </c>
      <c r="E398" s="4">
        <v>1404.8</v>
      </c>
      <c r="F398" s="4">
        <v>1424.0</v>
      </c>
      <c r="G398" s="4">
        <v>1404.08</v>
      </c>
      <c r="H398" s="1" t="s">
        <v>4713</v>
      </c>
      <c r="I398" s="1" t="s">
        <v>4715</v>
      </c>
      <c r="J398" s="1" t="s">
        <v>4716</v>
      </c>
      <c r="K398" s="7">
        <v>0.013667425968109373</v>
      </c>
      <c r="L398" s="7">
        <v>-0.017275755660938814</v>
      </c>
      <c r="M398" s="8">
        <f t="shared" si="1"/>
        <v>24870822</v>
      </c>
    </row>
    <row r="399">
      <c r="A399" s="9">
        <v>46091.0</v>
      </c>
      <c r="B399" s="4">
        <v>1430.6</v>
      </c>
      <c r="C399" s="4">
        <v>1431.5</v>
      </c>
      <c r="D399" s="4">
        <v>1400.6</v>
      </c>
      <c r="E399" s="4">
        <v>1424.0</v>
      </c>
      <c r="F399" s="4">
        <v>1408.8</v>
      </c>
      <c r="G399" s="4">
        <v>1410.92</v>
      </c>
      <c r="H399" s="1" t="s">
        <v>4723</v>
      </c>
      <c r="I399" s="1" t="s">
        <v>4727</v>
      </c>
      <c r="J399" s="1" t="s">
        <v>4730</v>
      </c>
      <c r="K399" s="7">
        <v>-0.010674157303370818</v>
      </c>
      <c r="L399" s="7">
        <v>0.009719889878704235</v>
      </c>
      <c r="M399" s="8">
        <f t="shared" si="1"/>
        <v>18071259</v>
      </c>
    </row>
    <row r="400">
      <c r="A400" s="9">
        <v>46092.0</v>
      </c>
      <c r="B400" s="4">
        <v>1424.9</v>
      </c>
      <c r="C400" s="4">
        <v>1434.0</v>
      </c>
      <c r="D400" s="4">
        <v>1383.6</v>
      </c>
      <c r="E400" s="4">
        <v>1408.8</v>
      </c>
      <c r="F400" s="4">
        <v>1390.2</v>
      </c>
      <c r="G400" s="4">
        <v>1402.95</v>
      </c>
      <c r="H400" s="1" t="s">
        <v>4736</v>
      </c>
      <c r="I400" s="1" t="s">
        <v>4737</v>
      </c>
      <c r="J400" s="1" t="s">
        <v>4738</v>
      </c>
      <c r="K400" s="7">
        <v>-0.013202725724020379</v>
      </c>
      <c r="L400" s="7">
        <v>-0.016270567481122433</v>
      </c>
      <c r="M400" s="8">
        <f t="shared" si="1"/>
        <v>21848087</v>
      </c>
    </row>
    <row r="401">
      <c r="A401" s="9">
        <v>46093.0</v>
      </c>
      <c r="B401" s="4">
        <v>1390.0</v>
      </c>
      <c r="C401" s="4">
        <v>1410.9</v>
      </c>
      <c r="D401" s="4">
        <v>1381.1</v>
      </c>
      <c r="E401" s="4">
        <v>1390.2</v>
      </c>
      <c r="F401" s="4">
        <v>1392.2</v>
      </c>
      <c r="G401" s="4">
        <v>1397.56</v>
      </c>
      <c r="H401" s="1" t="s">
        <v>4747</v>
      </c>
      <c r="I401" s="1" t="s">
        <v>4749</v>
      </c>
      <c r="J401" s="1" t="s">
        <v>4751</v>
      </c>
      <c r="K401" s="7">
        <v>0.0014386419220256078</v>
      </c>
      <c r="L401" s="7">
        <v>-0.00954042950787377</v>
      </c>
      <c r="M401" s="8">
        <f t="shared" si="1"/>
        <v>20939959</v>
      </c>
    </row>
    <row r="402">
      <c r="A402" s="9">
        <v>46094.0</v>
      </c>
      <c r="B402" s="4">
        <v>1385.2</v>
      </c>
      <c r="C402" s="4">
        <v>1400.8</v>
      </c>
      <c r="D402" s="4">
        <v>1378.4</v>
      </c>
      <c r="E402" s="4">
        <v>1392.2</v>
      </c>
      <c r="F402" s="4">
        <v>1380.7</v>
      </c>
      <c r="G402" s="4">
        <v>1388.25</v>
      </c>
      <c r="H402" s="1" t="s">
        <v>4761</v>
      </c>
      <c r="I402" s="1" t="s">
        <v>4762</v>
      </c>
      <c r="J402" s="1" t="s">
        <v>4763</v>
      </c>
      <c r="K402" s="7">
        <v>-0.008260307427093808</v>
      </c>
      <c r="L402" s="7">
        <v>-0.02064583540440341</v>
      </c>
      <c r="M402" s="8">
        <f t="shared" si="1"/>
        <v>17265090</v>
      </c>
    </row>
    <row r="403">
      <c r="A403" s="9">
        <v>46097.0</v>
      </c>
      <c r="B403" s="4">
        <v>1380.0</v>
      </c>
      <c r="C403" s="4">
        <v>1397.3</v>
      </c>
      <c r="D403" s="4">
        <v>1363.5</v>
      </c>
      <c r="E403" s="4">
        <v>1380.7</v>
      </c>
      <c r="F403" s="4">
        <v>1395.1</v>
      </c>
      <c r="G403" s="4">
        <v>1384.52</v>
      </c>
      <c r="H403" s="1" t="s">
        <v>4776</v>
      </c>
      <c r="I403" s="1" t="s">
        <v>4777</v>
      </c>
      <c r="J403" s="1" t="s">
        <v>4778</v>
      </c>
      <c r="K403" s="7">
        <v>0.01042949228652123</v>
      </c>
      <c r="L403" s="7">
        <v>0.01113122054675591</v>
      </c>
      <c r="M403" s="8">
        <f t="shared" si="1"/>
        <v>22837802</v>
      </c>
    </row>
    <row r="404">
      <c r="A404" s="9">
        <v>46098.0</v>
      </c>
      <c r="B404" s="4">
        <v>1399.0</v>
      </c>
      <c r="C404" s="4">
        <v>1405.9</v>
      </c>
      <c r="D404" s="4">
        <v>1388.2</v>
      </c>
      <c r="E404" s="4">
        <v>1395.1</v>
      </c>
      <c r="F404" s="4">
        <v>1397.6</v>
      </c>
      <c r="G404" s="4">
        <v>1398.21</v>
      </c>
      <c r="H404" s="1" t="s">
        <v>4788</v>
      </c>
      <c r="I404" s="1" t="s">
        <v>4789</v>
      </c>
      <c r="J404" s="1" t="s">
        <v>4791</v>
      </c>
      <c r="K404" s="7">
        <v>0.0017919862375456958</v>
      </c>
      <c r="L404" s="7">
        <v>0.00736261576842906</v>
      </c>
      <c r="M404" s="8">
        <f t="shared" si="1"/>
        <v>19007744</v>
      </c>
    </row>
    <row r="405">
      <c r="A405" s="9">
        <v>46099.0</v>
      </c>
      <c r="B405" s="4">
        <v>1397.2</v>
      </c>
      <c r="C405" s="4">
        <v>1412.9</v>
      </c>
      <c r="D405" s="4">
        <v>1397.2</v>
      </c>
      <c r="E405" s="4">
        <v>1397.6</v>
      </c>
      <c r="F405" s="4">
        <v>1408.1</v>
      </c>
      <c r="G405" s="4">
        <v>1408.59</v>
      </c>
      <c r="H405" s="1" t="s">
        <v>4800</v>
      </c>
      <c r="I405" s="1" t="s">
        <v>4802</v>
      </c>
      <c r="J405" s="1" t="s">
        <v>4804</v>
      </c>
      <c r="K405" s="7">
        <v>0.007512879221522611</v>
      </c>
      <c r="L405" s="7">
        <v>0.00833928794821278</v>
      </c>
      <c r="M405" s="8">
        <f t="shared" si="1"/>
        <v>9559327</v>
      </c>
    </row>
    <row r="406">
      <c r="A406" s="9">
        <v>46100.0</v>
      </c>
      <c r="B406" s="4">
        <v>1388.0</v>
      </c>
      <c r="C406" s="4">
        <v>1415.7</v>
      </c>
      <c r="D406" s="4">
        <v>1376.1</v>
      </c>
      <c r="E406" s="4">
        <v>1408.1</v>
      </c>
      <c r="F406" s="4">
        <v>1384.8</v>
      </c>
      <c r="G406" s="4">
        <v>1394.72</v>
      </c>
      <c r="H406" s="1" t="s">
        <v>4813</v>
      </c>
      <c r="I406" s="1" t="s">
        <v>4818</v>
      </c>
      <c r="J406" s="1" t="s">
        <v>4821</v>
      </c>
      <c r="K406" s="7">
        <v>-0.01654712023293797</v>
      </c>
      <c r="L406" s="7">
        <v>-0.032620763905828035</v>
      </c>
      <c r="M406" s="8">
        <f t="shared" si="1"/>
        <v>16498373</v>
      </c>
    </row>
    <row r="407">
      <c r="A407" s="9">
        <v>46101.0</v>
      </c>
      <c r="B407" s="4">
        <v>1398.0</v>
      </c>
      <c r="C407" s="4">
        <v>1430.0</v>
      </c>
      <c r="D407" s="4">
        <v>1396.1</v>
      </c>
      <c r="E407" s="4">
        <v>1384.8</v>
      </c>
      <c r="F407" s="4">
        <v>1414.4</v>
      </c>
      <c r="G407" s="4">
        <v>1418.94</v>
      </c>
      <c r="H407" s="1" t="s">
        <v>4829</v>
      </c>
      <c r="I407" s="1" t="s">
        <v>4830</v>
      </c>
      <c r="J407" s="1" t="s">
        <v>4832</v>
      </c>
      <c r="K407" s="7">
        <v>0.021374927787406222</v>
      </c>
      <c r="L407" s="7">
        <v>0.004884326030392748</v>
      </c>
      <c r="M407" s="8">
        <f t="shared" si="1"/>
        <v>22994918</v>
      </c>
    </row>
    <row r="408">
      <c r="A408" s="9">
        <v>46104.0</v>
      </c>
      <c r="B408" s="4">
        <v>1400.0</v>
      </c>
      <c r="C408" s="4">
        <v>1415.6</v>
      </c>
      <c r="D408" s="4">
        <v>1391.0</v>
      </c>
      <c r="E408" s="4">
        <v>1414.4</v>
      </c>
      <c r="F408" s="4">
        <v>1407.8</v>
      </c>
      <c r="G408" s="4">
        <v>1404.46</v>
      </c>
      <c r="H408" s="1" t="s">
        <v>4841</v>
      </c>
      <c r="I408" s="1" t="s">
        <v>4842</v>
      </c>
      <c r="J408" s="1" t="s">
        <v>4844</v>
      </c>
      <c r="K408" s="7">
        <v>-0.004666289592760277</v>
      </c>
      <c r="L408" s="7">
        <v>-0.02603776850029196</v>
      </c>
      <c r="M408" s="8">
        <f t="shared" si="1"/>
        <v>18979554</v>
      </c>
    </row>
    <row r="409">
      <c r="A409" s="9">
        <v>46105.0</v>
      </c>
      <c r="B409" s="4">
        <v>1420.0</v>
      </c>
      <c r="C409" s="4">
        <v>1422.4</v>
      </c>
      <c r="D409" s="4">
        <v>1406.6</v>
      </c>
      <c r="E409" s="4">
        <v>1407.8</v>
      </c>
      <c r="F409" s="4">
        <v>1411.8</v>
      </c>
      <c r="G409" s="4">
        <v>1413.2</v>
      </c>
      <c r="H409" s="1" t="s">
        <v>4853</v>
      </c>
      <c r="I409" s="1" t="s">
        <v>4854</v>
      </c>
      <c r="J409" s="1" t="s">
        <v>4855</v>
      </c>
      <c r="K409" s="7">
        <v>0.0028413126864611452</v>
      </c>
      <c r="L409" s="7">
        <v>0.017756683464629885</v>
      </c>
      <c r="M409" s="8">
        <f t="shared" si="1"/>
        <v>18620893</v>
      </c>
    </row>
    <row r="410">
      <c r="A410" s="9">
        <v>46106.0</v>
      </c>
      <c r="B410" s="4">
        <v>1420.0</v>
      </c>
      <c r="C410" s="4">
        <v>1430.5</v>
      </c>
      <c r="D410" s="4">
        <v>1408.4</v>
      </c>
      <c r="E410" s="4">
        <v>1411.8</v>
      </c>
      <c r="F410" s="4">
        <v>1413.1</v>
      </c>
      <c r="G410" s="4">
        <v>1418.75</v>
      </c>
      <c r="H410" s="1" t="s">
        <v>4867</v>
      </c>
      <c r="I410" s="1" t="s">
        <v>4869</v>
      </c>
      <c r="J410" s="1" t="s">
        <v>4870</v>
      </c>
      <c r="K410" s="7">
        <v>9.208103130754743E-4</v>
      </c>
      <c r="L410" s="7">
        <v>0.017198111066496713</v>
      </c>
      <c r="M410" s="8">
        <f t="shared" si="1"/>
        <v>19041331</v>
      </c>
    </row>
    <row r="411">
      <c r="A411" s="9">
        <v>46108.0</v>
      </c>
      <c r="B411" s="4">
        <v>1401.0</v>
      </c>
      <c r="C411" s="4">
        <v>1404.7</v>
      </c>
      <c r="D411" s="4">
        <v>1345.0</v>
      </c>
      <c r="E411" s="4">
        <v>1413.1</v>
      </c>
      <c r="F411" s="4">
        <v>1348.1</v>
      </c>
      <c r="G411" s="4">
        <v>1359.97</v>
      </c>
      <c r="H411" s="1" t="s">
        <v>4876</v>
      </c>
      <c r="I411" s="1" t="s">
        <v>4879</v>
      </c>
      <c r="J411" s="1" t="s">
        <v>4882</v>
      </c>
      <c r="K411" s="7">
        <v>-0.04599816007359706</v>
      </c>
      <c r="L411" s="7">
        <v>-0.020889067189554914</v>
      </c>
      <c r="M411" s="8">
        <f t="shared" si="1"/>
        <v>23266517</v>
      </c>
    </row>
    <row r="412">
      <c r="A412" s="9">
        <v>46111.0</v>
      </c>
      <c r="B412" s="4">
        <v>1335.0</v>
      </c>
      <c r="C412" s="4">
        <v>1365.0</v>
      </c>
      <c r="D412" s="4">
        <v>1334.1</v>
      </c>
      <c r="E412" s="4">
        <v>1348.1</v>
      </c>
      <c r="F412" s="4">
        <v>1343.9</v>
      </c>
      <c r="G412" s="4">
        <v>1347.25</v>
      </c>
      <c r="H412" s="1" t="s">
        <v>4886</v>
      </c>
      <c r="I412" s="1" t="s">
        <v>4889</v>
      </c>
      <c r="J412" s="1" t="s">
        <v>4893</v>
      </c>
      <c r="K412" s="7">
        <v>-0.003115495883094591</v>
      </c>
      <c r="L412" s="7">
        <v>-0.02139388946344358</v>
      </c>
      <c r="M412" s="8">
        <f t="shared" si="1"/>
        <v>24393861</v>
      </c>
    </row>
    <row r="413">
      <c r="A413" s="3">
        <v>46113.0</v>
      </c>
      <c r="B413" s="4">
        <v>1384.2</v>
      </c>
      <c r="C413" s="4">
        <v>1384.4</v>
      </c>
      <c r="D413" s="4">
        <v>1362.9</v>
      </c>
      <c r="E413" s="4">
        <v>1343.9</v>
      </c>
      <c r="F413" s="4">
        <v>1369.2</v>
      </c>
      <c r="G413" s="4">
        <v>1372.02</v>
      </c>
      <c r="H413" s="1" t="s">
        <v>4900</v>
      </c>
      <c r="I413" s="1" t="s">
        <v>4903</v>
      </c>
      <c r="J413" s="1" t="s">
        <v>4905</v>
      </c>
      <c r="K413" s="7">
        <v>0.018825805491479986</v>
      </c>
      <c r="L413" s="7">
        <v>0.015583438566323651</v>
      </c>
      <c r="M413" s="8">
        <f t="shared" si="1"/>
        <v>14404619</v>
      </c>
    </row>
    <row r="414">
      <c r="A414" s="3">
        <v>46114.0</v>
      </c>
      <c r="B414" s="4">
        <v>1357.0</v>
      </c>
      <c r="C414" s="4">
        <v>1358.2</v>
      </c>
      <c r="D414" s="4">
        <v>1328.0</v>
      </c>
      <c r="E414" s="4">
        <v>1369.2</v>
      </c>
      <c r="F414" s="4">
        <v>1350.5</v>
      </c>
      <c r="G414" s="4">
        <v>1346.65</v>
      </c>
      <c r="H414" s="1" t="s">
        <v>4914</v>
      </c>
      <c r="I414" s="1" t="s">
        <v>4916</v>
      </c>
      <c r="J414" s="1" t="s">
        <v>4917</v>
      </c>
      <c r="K414" s="7">
        <v>-0.013657610283377187</v>
      </c>
      <c r="L414" s="7">
        <v>0.001485929962873669</v>
      </c>
      <c r="M414" s="8">
        <f t="shared" si="1"/>
        <v>21280051</v>
      </c>
    </row>
    <row r="415">
      <c r="A415" s="3">
        <v>46118.0</v>
      </c>
      <c r="B415" s="4">
        <v>1359.0</v>
      </c>
      <c r="C415" s="4">
        <v>1359.0</v>
      </c>
      <c r="D415" s="4">
        <v>1290.0</v>
      </c>
      <c r="E415" s="4">
        <v>1350.5</v>
      </c>
      <c r="F415" s="4">
        <v>1304.7</v>
      </c>
      <c r="G415" s="4">
        <v>1306.37</v>
      </c>
      <c r="H415" s="1" t="s">
        <v>4927</v>
      </c>
      <c r="I415" s="1" t="s">
        <v>4928</v>
      </c>
      <c r="J415" s="1" t="s">
        <v>4929</v>
      </c>
      <c r="K415" s="7">
        <v>-0.033913365420214704</v>
      </c>
      <c r="L415" s="7">
        <v>0.011233605276250334</v>
      </c>
      <c r="M415" s="8">
        <f t="shared" si="1"/>
        <v>29274881</v>
      </c>
    </row>
    <row r="416">
      <c r="A416" s="3">
        <v>46119.0</v>
      </c>
      <c r="B416" s="4">
        <v>1295.0</v>
      </c>
      <c r="C416" s="4">
        <v>1308.3</v>
      </c>
      <c r="D416" s="4">
        <v>1291.0</v>
      </c>
      <c r="E416" s="4">
        <v>1304.7</v>
      </c>
      <c r="F416" s="4">
        <v>1304.6</v>
      </c>
      <c r="G416" s="4">
        <v>1298.73</v>
      </c>
      <c r="H416" s="1" t="s">
        <v>4939</v>
      </c>
      <c r="I416" s="1" t="s">
        <v>4940</v>
      </c>
      <c r="J416" s="1" t="s">
        <v>4941</v>
      </c>
      <c r="K416" s="7">
        <v>-7.664597225426261E-5</v>
      </c>
      <c r="L416" s="7">
        <v>0.0067658615697757316</v>
      </c>
      <c r="M416" s="8">
        <f t="shared" si="1"/>
        <v>28388922</v>
      </c>
    </row>
    <row r="417">
      <c r="A417" s="3">
        <v>46120.0</v>
      </c>
      <c r="B417" s="4">
        <v>1349.0</v>
      </c>
      <c r="C417" s="4">
        <v>1350.6</v>
      </c>
      <c r="D417" s="4">
        <v>1326.2</v>
      </c>
      <c r="E417" s="4">
        <v>1304.6</v>
      </c>
      <c r="F417" s="4">
        <v>1347.8</v>
      </c>
      <c r="G417" s="4">
        <v>1343.02</v>
      </c>
      <c r="H417" s="1" t="s">
        <v>4949</v>
      </c>
      <c r="I417" s="1" t="s">
        <v>4951</v>
      </c>
      <c r="J417" s="1" t="s">
        <v>4953</v>
      </c>
      <c r="K417" s="7">
        <v>0.033113598037712744</v>
      </c>
      <c r="L417" s="7">
        <v>0.037783827380192876</v>
      </c>
      <c r="M417" s="8">
        <f t="shared" si="1"/>
        <v>21817543</v>
      </c>
    </row>
    <row r="418">
      <c r="A418" s="3">
        <v>46121.0</v>
      </c>
      <c r="B418" s="4">
        <v>1346.0</v>
      </c>
      <c r="C418" s="4">
        <v>1350.0</v>
      </c>
      <c r="D418" s="4">
        <v>1326.3</v>
      </c>
      <c r="E418" s="4">
        <v>1347.8</v>
      </c>
      <c r="F418" s="4">
        <v>1330.0</v>
      </c>
      <c r="G418" s="4">
        <v>1333.26</v>
      </c>
      <c r="H418" s="1" t="s">
        <v>4958</v>
      </c>
      <c r="I418" s="1" t="s">
        <v>4960</v>
      </c>
      <c r="J418" s="1" t="s">
        <v>4961</v>
      </c>
      <c r="K418" s="7">
        <v>-0.013206707226591449</v>
      </c>
      <c r="L418" s="7">
        <v>-0.009261439283920933</v>
      </c>
      <c r="M418" s="8">
        <f t="shared" si="1"/>
        <v>20725390</v>
      </c>
    </row>
    <row r="419">
      <c r="A419" s="9">
        <v>46122.0</v>
      </c>
      <c r="B419" s="4">
        <v>1337.0</v>
      </c>
      <c r="C419" s="4">
        <v>1352.3</v>
      </c>
      <c r="D419" s="4">
        <v>1331.5</v>
      </c>
      <c r="E419" s="4">
        <v>1330.0</v>
      </c>
      <c r="F419" s="4">
        <v>1350.2</v>
      </c>
      <c r="G419" s="4">
        <v>1346.97</v>
      </c>
      <c r="H419" s="1" t="s">
        <v>4969</v>
      </c>
      <c r="I419" s="1" t="s">
        <v>4970</v>
      </c>
      <c r="J419" s="1" t="s">
        <v>4971</v>
      </c>
      <c r="K419" s="7">
        <v>0.015187969924812065</v>
      </c>
      <c r="L419" s="7">
        <v>0.01158775357411746</v>
      </c>
      <c r="M419" s="8">
        <f t="shared" si="1"/>
        <v>19364461</v>
      </c>
    </row>
    <row r="420">
      <c r="A420" s="9">
        <v>46125.0</v>
      </c>
      <c r="B420" s="4">
        <v>1321.2</v>
      </c>
      <c r="C420" s="4">
        <v>1327.6</v>
      </c>
      <c r="D420" s="4">
        <v>1310.0</v>
      </c>
      <c r="E420" s="4">
        <v>1350.2</v>
      </c>
      <c r="F420" s="4">
        <v>1315.1</v>
      </c>
      <c r="G420" s="4">
        <v>1316.46</v>
      </c>
      <c r="H420" s="1" t="s">
        <v>4981</v>
      </c>
      <c r="I420" s="1" t="s">
        <v>4982</v>
      </c>
      <c r="J420" s="1" t="s">
        <v>4983</v>
      </c>
      <c r="K420" s="7">
        <v>-0.02599614871870844</v>
      </c>
      <c r="L420" s="7">
        <v>-0.008646353937115794</v>
      </c>
      <c r="M420" s="8">
        <f t="shared" si="1"/>
        <v>28753269</v>
      </c>
    </row>
    <row r="421">
      <c r="A421" s="9">
        <v>46127.0</v>
      </c>
      <c r="B421" s="4">
        <v>1337.0</v>
      </c>
      <c r="C421" s="4">
        <v>1347.0</v>
      </c>
      <c r="D421" s="4">
        <v>1334.2</v>
      </c>
      <c r="E421" s="4">
        <v>1315.1</v>
      </c>
      <c r="F421" s="4">
        <v>1344.1</v>
      </c>
      <c r="G421" s="4">
        <v>1340.02</v>
      </c>
      <c r="H421" s="1" t="s">
        <v>4992</v>
      </c>
      <c r="I421" s="1" t="s">
        <v>4993</v>
      </c>
      <c r="J421" s="1" t="s">
        <v>4994</v>
      </c>
      <c r="K421" s="7">
        <v>0.02205155501482777</v>
      </c>
      <c r="L421" s="7">
        <v>0.01630062094607763</v>
      </c>
      <c r="M421" s="8">
        <f t="shared" si="1"/>
        <v>15313779</v>
      </c>
    </row>
    <row r="422">
      <c r="A422" s="9">
        <v>46128.0</v>
      </c>
      <c r="B422" s="4">
        <v>1352.0</v>
      </c>
      <c r="C422" s="4">
        <v>1353.8</v>
      </c>
      <c r="D422" s="4">
        <v>1330.0</v>
      </c>
      <c r="E422" s="4">
        <v>1344.1</v>
      </c>
      <c r="F422" s="4">
        <v>1343.3</v>
      </c>
      <c r="G422" s="4">
        <v>1338.46</v>
      </c>
      <c r="H422" s="1" t="s">
        <v>5001</v>
      </c>
      <c r="I422" s="1" t="s">
        <v>5002</v>
      </c>
      <c r="J422" s="1" t="s">
        <v>5003</v>
      </c>
      <c r="K422" s="7">
        <v>-5.951938099843423E-4</v>
      </c>
      <c r="L422" s="7">
        <v>-0.0014258417831482123</v>
      </c>
      <c r="M422" s="8">
        <f t="shared" si="1"/>
        <v>30211012</v>
      </c>
    </row>
    <row r="423">
      <c r="A423" s="9">
        <v>46129.0</v>
      </c>
      <c r="B423" s="4">
        <v>1340.0</v>
      </c>
      <c r="C423" s="4">
        <v>1368.4</v>
      </c>
      <c r="D423" s="4">
        <v>1340.0</v>
      </c>
      <c r="E423" s="4">
        <v>1343.3</v>
      </c>
      <c r="F423" s="4">
        <v>1365.0</v>
      </c>
      <c r="G423" s="4">
        <v>1359.14</v>
      </c>
      <c r="H423" s="1" t="s">
        <v>5010</v>
      </c>
      <c r="I423" s="1" t="s">
        <v>5012</v>
      </c>
      <c r="J423" s="1" t="s">
        <v>5014</v>
      </c>
      <c r="K423" s="7">
        <v>0.016154247003647766</v>
      </c>
      <c r="L423" s="7">
        <v>0.006480209118993223</v>
      </c>
      <c r="M423" s="8">
        <f t="shared" si="1"/>
        <v>13869105</v>
      </c>
    </row>
    <row r="424">
      <c r="A424" s="9">
        <v>46132.0</v>
      </c>
      <c r="B424" s="4">
        <v>1363.2</v>
      </c>
      <c r="C424" s="4">
        <v>1373.0</v>
      </c>
      <c r="D424" s="4">
        <v>1352.8</v>
      </c>
      <c r="E424" s="4">
        <v>1365.0</v>
      </c>
      <c r="F424" s="4">
        <v>1363.3</v>
      </c>
      <c r="G424" s="4">
        <v>1365.92</v>
      </c>
      <c r="H424" s="1" t="s">
        <v>5022</v>
      </c>
      <c r="I424" s="1" t="s">
        <v>5023</v>
      </c>
      <c r="J424" s="1" t="s">
        <v>5024</v>
      </c>
      <c r="K424" s="7">
        <v>-0.0012454212454212788</v>
      </c>
      <c r="L424" s="7">
        <v>4.639980618841718E-4</v>
      </c>
      <c r="M424" s="8">
        <f t="shared" si="1"/>
        <v>13614733</v>
      </c>
    </row>
    <row r="425">
      <c r="A425" s="9">
        <v>46133.0</v>
      </c>
      <c r="B425" s="4">
        <v>1359.0</v>
      </c>
      <c r="C425" s="4">
        <v>1369.8</v>
      </c>
      <c r="D425" s="4">
        <v>1350.1</v>
      </c>
      <c r="E425" s="4">
        <v>1363.3</v>
      </c>
      <c r="F425" s="4">
        <v>1353.3</v>
      </c>
      <c r="G425" s="4">
        <v>1356.6</v>
      </c>
      <c r="H425" s="1" t="s">
        <v>5028</v>
      </c>
      <c r="I425" s="1" t="s">
        <v>5029</v>
      </c>
      <c r="J425" s="1" t="s">
        <v>5030</v>
      </c>
      <c r="K425" s="7">
        <v>-0.007335142668524903</v>
      </c>
      <c r="L425" s="7">
        <v>0.00869079842477996</v>
      </c>
      <c r="M425" s="8">
        <f t="shared" si="1"/>
        <v>27293629</v>
      </c>
    </row>
    <row r="426">
      <c r="A426" s="9">
        <v>46134.0</v>
      </c>
      <c r="B426" s="4">
        <v>1350.3</v>
      </c>
      <c r="C426" s="4">
        <v>1366.0</v>
      </c>
      <c r="D426" s="4">
        <v>1349.1</v>
      </c>
      <c r="E426" s="4">
        <v>1353.3</v>
      </c>
      <c r="F426" s="4">
        <v>1362.1</v>
      </c>
      <c r="G426" s="4">
        <v>1360.4</v>
      </c>
      <c r="H426" s="1" t="s">
        <v>5037</v>
      </c>
      <c r="I426" s="1" t="s">
        <v>5038</v>
      </c>
      <c r="J426" s="1" t="s">
        <v>5039</v>
      </c>
      <c r="K426" s="7">
        <v>0.00650262321732059</v>
      </c>
      <c r="L426" s="7">
        <v>-0.008076788489864343</v>
      </c>
      <c r="M426" s="8">
        <f t="shared" si="1"/>
        <v>9525953</v>
      </c>
    </row>
    <row r="427">
      <c r="A427" s="9">
        <v>46135.0</v>
      </c>
      <c r="B427" s="4">
        <v>1346.0</v>
      </c>
      <c r="C427" s="4">
        <v>1355.5</v>
      </c>
      <c r="D427" s="4">
        <v>1340.7</v>
      </c>
      <c r="E427" s="4">
        <v>1362.1</v>
      </c>
      <c r="F427" s="4">
        <v>1343.4</v>
      </c>
      <c r="G427" s="4">
        <v>1347.84</v>
      </c>
      <c r="H427" s="1" t="s">
        <v>5046</v>
      </c>
      <c r="I427" s="1" t="s">
        <v>5047</v>
      </c>
      <c r="J427" s="1" t="s">
        <v>5048</v>
      </c>
      <c r="K427" s="7">
        <v>-0.013728801115923808</v>
      </c>
      <c r="L427" s="7">
        <v>-0.008411237955377954</v>
      </c>
      <c r="M427" s="8">
        <f t="shared" si="1"/>
        <v>16385079</v>
      </c>
    </row>
    <row r="428">
      <c r="A428" s="9">
        <v>46136.0</v>
      </c>
      <c r="B428" s="4">
        <v>1340.0</v>
      </c>
      <c r="C428" s="4">
        <v>1345.9</v>
      </c>
      <c r="D428" s="4">
        <v>1325.0</v>
      </c>
      <c r="E428" s="4">
        <v>1343.4</v>
      </c>
      <c r="F428" s="4">
        <v>1327.8</v>
      </c>
      <c r="G428" s="4">
        <v>1333.01</v>
      </c>
      <c r="H428" s="1" t="s">
        <v>5055</v>
      </c>
      <c r="I428" s="1" t="s">
        <v>5056</v>
      </c>
      <c r="J428" s="1" t="s">
        <v>5057</v>
      </c>
      <c r="K428" s="7">
        <v>-0.011612326931666023</v>
      </c>
      <c r="L428" s="7">
        <v>-0.011380442269386715</v>
      </c>
      <c r="M428" s="8">
        <f t="shared" si="1"/>
        <v>11744802</v>
      </c>
    </row>
    <row r="429">
      <c r="A429" s="9">
        <v>46139.0</v>
      </c>
      <c r="B429" s="4">
        <v>1313.0</v>
      </c>
      <c r="C429" s="4">
        <v>1371.6</v>
      </c>
      <c r="D429" s="4">
        <v>1311.0</v>
      </c>
      <c r="E429" s="4">
        <v>1327.8</v>
      </c>
      <c r="F429" s="4">
        <v>1365.8</v>
      </c>
      <c r="G429" s="4">
        <v>1346.48</v>
      </c>
      <c r="H429" s="1" t="s">
        <v>5065</v>
      </c>
      <c r="I429" s="1" t="s">
        <v>5067</v>
      </c>
      <c r="J429" s="1" t="s">
        <v>5069</v>
      </c>
      <c r="K429" s="7">
        <v>0.02861876788672993</v>
      </c>
      <c r="L429" s="7">
        <v>0.008149234557775876</v>
      </c>
      <c r="M429" s="8">
        <f t="shared" si="1"/>
        <v>24673098</v>
      </c>
    </row>
    <row r="430">
      <c r="A430" s="9">
        <v>46140.0</v>
      </c>
      <c r="B430" s="4">
        <v>1358.0</v>
      </c>
      <c r="C430" s="4">
        <v>1395.2</v>
      </c>
      <c r="D430" s="4">
        <v>1357.0</v>
      </c>
      <c r="E430" s="4">
        <v>1365.8</v>
      </c>
      <c r="F430" s="4">
        <v>1388.9</v>
      </c>
      <c r="G430" s="4">
        <v>1380.39</v>
      </c>
      <c r="H430" s="1" t="s">
        <v>5074</v>
      </c>
      <c r="I430" s="1" t="s">
        <v>5076</v>
      </c>
      <c r="J430" s="1" t="s">
        <v>5078</v>
      </c>
      <c r="K430" s="7">
        <v>0.016913164445746184</v>
      </c>
      <c r="L430" s="7">
        <v>-0.004026115794410755</v>
      </c>
      <c r="M430" s="8">
        <f t="shared" si="1"/>
        <v>41027699</v>
      </c>
    </row>
    <row r="431">
      <c r="A431" s="9">
        <v>46141.0</v>
      </c>
      <c r="B431" s="4">
        <v>1392.0</v>
      </c>
      <c r="C431" s="4">
        <v>1433.8</v>
      </c>
      <c r="D431" s="4">
        <v>1391.3</v>
      </c>
      <c r="E431" s="4">
        <v>1388.9</v>
      </c>
      <c r="F431" s="4">
        <v>1425.4</v>
      </c>
      <c r="G431" s="4">
        <v>1418.23</v>
      </c>
      <c r="H431" s="1" t="s">
        <v>5083</v>
      </c>
      <c r="I431" s="1" t="s">
        <v>5085</v>
      </c>
      <c r="J431" s="1" t="s">
        <v>5086</v>
      </c>
      <c r="K431" s="7">
        <v>0.026279789761681906</v>
      </c>
      <c r="L431" s="7">
        <v>0.007582608550698697</v>
      </c>
      <c r="M431" s="8">
        <f t="shared" si="1"/>
        <v>30542143</v>
      </c>
    </row>
    <row r="432">
      <c r="A432" s="9">
        <v>46142.0</v>
      </c>
      <c r="B432" s="4">
        <v>1409.0</v>
      </c>
      <c r="C432" s="4">
        <v>1437.0</v>
      </c>
      <c r="D432" s="4">
        <v>1393.1</v>
      </c>
      <c r="E432" s="4">
        <v>1425.4</v>
      </c>
      <c r="F432" s="4">
        <v>1430.8</v>
      </c>
      <c r="G432" s="4">
        <v>1416.42</v>
      </c>
      <c r="H432" s="1" t="s">
        <v>5093</v>
      </c>
      <c r="I432" s="1" t="s">
        <v>5094</v>
      </c>
      <c r="J432" s="1" t="s">
        <v>5095</v>
      </c>
      <c r="K432" s="7">
        <v>0.003788410270801083</v>
      </c>
      <c r="L432" s="7">
        <v>-0.00744902833815537</v>
      </c>
      <c r="M432" s="8">
        <f t="shared" si="1"/>
        <v>30957881</v>
      </c>
    </row>
    <row r="433">
      <c r="A433" s="12">
        <v>46146.0</v>
      </c>
      <c r="B433" s="4">
        <v>1433.4</v>
      </c>
      <c r="C433" s="4">
        <v>1467.4</v>
      </c>
      <c r="D433" s="4">
        <v>1433.4</v>
      </c>
      <c r="E433" s="4">
        <v>1430.8</v>
      </c>
      <c r="F433" s="4">
        <v>1463.1</v>
      </c>
      <c r="G433" s="4">
        <v>1454.0</v>
      </c>
      <c r="H433" s="1" t="s">
        <v>5101</v>
      </c>
      <c r="I433" s="1" t="s">
        <v>5102</v>
      </c>
      <c r="J433" s="1" t="s">
        <v>5103</v>
      </c>
      <c r="K433" s="7">
        <v>0.0225747833379927</v>
      </c>
      <c r="L433" s="7">
        <v>0.005073434579780019</v>
      </c>
      <c r="M433" s="8">
        <f t="shared" si="1"/>
        <v>24035700</v>
      </c>
    </row>
    <row r="434">
      <c r="A434" s="12">
        <v>46147.0</v>
      </c>
      <c r="B434" s="4">
        <v>1460.0</v>
      </c>
      <c r="C434" s="4">
        <v>1473.4</v>
      </c>
      <c r="D434" s="4">
        <v>1450.0</v>
      </c>
      <c r="E434" s="4">
        <v>1463.1</v>
      </c>
      <c r="F434" s="4">
        <v>1463.6</v>
      </c>
      <c r="G434" s="4">
        <v>1461.45</v>
      </c>
      <c r="H434" s="1" t="s">
        <v>5110</v>
      </c>
      <c r="I434" s="1" t="s">
        <v>5111</v>
      </c>
      <c r="J434" s="1" t="s">
        <v>5112</v>
      </c>
      <c r="K434" s="7">
        <v>3.41740140796938E-4</v>
      </c>
      <c r="L434" s="7">
        <v>-0.0035863395703855418</v>
      </c>
      <c r="M434" s="8">
        <f t="shared" si="1"/>
        <v>23543341</v>
      </c>
    </row>
    <row r="435">
      <c r="A435" s="12">
        <v>46148.0</v>
      </c>
      <c r="B435" s="4">
        <v>1463.0</v>
      </c>
      <c r="C435" s="4">
        <v>1473.3</v>
      </c>
      <c r="D435" s="4">
        <v>1427.5</v>
      </c>
      <c r="E435" s="4">
        <v>1463.6</v>
      </c>
      <c r="F435" s="4">
        <v>1437.9</v>
      </c>
      <c r="G435" s="4">
        <v>1444.41</v>
      </c>
      <c r="H435" s="1" t="s">
        <v>5118</v>
      </c>
      <c r="I435" s="1" t="s">
        <v>5119</v>
      </c>
      <c r="J435" s="1" t="s">
        <v>5120</v>
      </c>
      <c r="K435" s="7">
        <v>-0.017559442470620266</v>
      </c>
      <c r="L435" s="7">
        <v>0.012405961852135475</v>
      </c>
      <c r="M435" s="8">
        <f t="shared" si="1"/>
        <v>14221786</v>
      </c>
    </row>
    <row r="436">
      <c r="A436" s="12">
        <v>46149.0</v>
      </c>
      <c r="B436" s="4">
        <v>1438.8</v>
      </c>
      <c r="C436" s="4">
        <v>1449.5</v>
      </c>
      <c r="D436" s="4">
        <v>1430.3</v>
      </c>
      <c r="E436" s="4">
        <v>1437.9</v>
      </c>
      <c r="F436" s="4">
        <v>1436.2</v>
      </c>
      <c r="G436" s="4">
        <v>1438.64</v>
      </c>
      <c r="H436" s="1" t="s">
        <v>5126</v>
      </c>
      <c r="I436" s="1" t="s">
        <v>5131</v>
      </c>
      <c r="J436" s="1" t="s">
        <v>5134</v>
      </c>
      <c r="K436" s="7">
        <v>-0.0011822797134710657</v>
      </c>
      <c r="L436" s="7">
        <v>-1.7672963858785917E-4</v>
      </c>
      <c r="M436" s="8">
        <f t="shared" si="1"/>
        <v>19816903</v>
      </c>
    </row>
    <row r="437">
      <c r="A437" s="12">
        <v>46150.0</v>
      </c>
      <c r="B437" s="4">
        <v>1426.0</v>
      </c>
      <c r="C437" s="4">
        <v>1442.8</v>
      </c>
      <c r="D437" s="4">
        <v>1417.5</v>
      </c>
      <c r="E437" s="4">
        <v>1436.2</v>
      </c>
      <c r="F437" s="4">
        <v>1435.2</v>
      </c>
      <c r="G437" s="4">
        <v>1428.37</v>
      </c>
      <c r="H437" s="1" t="s">
        <v>5150</v>
      </c>
      <c r="I437" s="1" t="s">
        <v>5154</v>
      </c>
      <c r="J437" s="1" t="s">
        <v>5157</v>
      </c>
      <c r="K437" s="7">
        <v>-6.962818548948614E-4</v>
      </c>
      <c r="L437" s="7">
        <v>-0.006186630711585853</v>
      </c>
      <c r="M437" s="8">
        <f t="shared" si="1"/>
        <v>8663105</v>
      </c>
    </row>
    <row r="438">
      <c r="A438" s="13">
        <v>46153.0</v>
      </c>
      <c r="B438" s="4">
        <v>1420.0</v>
      </c>
      <c r="C438" s="4">
        <v>1428.0</v>
      </c>
      <c r="D438" s="4">
        <v>1382.0</v>
      </c>
      <c r="E438" s="4">
        <v>1435.2</v>
      </c>
      <c r="F438" s="4">
        <v>1388.2</v>
      </c>
      <c r="G438" s="4">
        <v>1402.78</v>
      </c>
      <c r="H438" s="1" t="s">
        <v>5164</v>
      </c>
      <c r="I438" s="1" t="s">
        <v>5165</v>
      </c>
      <c r="J438" s="1" t="s">
        <v>5166</v>
      </c>
      <c r="K438" s="7">
        <v>-0.03274804905239688</v>
      </c>
      <c r="L438" s="7">
        <v>-0.01490311732844158</v>
      </c>
      <c r="M438" s="8">
        <f t="shared" si="1"/>
        <v>15261787</v>
      </c>
    </row>
    <row r="439">
      <c r="A439" s="13">
        <v>46154.0</v>
      </c>
      <c r="B439" s="4">
        <v>1392.0</v>
      </c>
      <c r="C439" s="4">
        <v>1393.5</v>
      </c>
      <c r="D439" s="4">
        <v>1360.3</v>
      </c>
      <c r="E439" s="4">
        <v>1388.2</v>
      </c>
      <c r="F439" s="4">
        <v>1364.0</v>
      </c>
      <c r="G439" s="4">
        <v>1375.76</v>
      </c>
      <c r="H439" s="1" t="s">
        <v>5172</v>
      </c>
      <c r="I439" s="1" t="s">
        <v>5173</v>
      </c>
      <c r="J439" s="1" t="s">
        <v>5174</v>
      </c>
      <c r="K439" s="7">
        <v>-0.017432646592710016</v>
      </c>
      <c r="L439" s="7">
        <v>-0.018319732447088777</v>
      </c>
      <c r="M439" s="8">
        <f t="shared" si="1"/>
        <v>24357500</v>
      </c>
    </row>
    <row r="440">
      <c r="A440" s="13">
        <v>46155.0</v>
      </c>
      <c r="B440" s="4">
        <v>1361.4</v>
      </c>
      <c r="C440" s="4">
        <v>1372.4</v>
      </c>
      <c r="D440" s="4">
        <v>1352.4</v>
      </c>
      <c r="E440" s="4">
        <v>1364.0</v>
      </c>
      <c r="F440" s="4">
        <v>1358.8</v>
      </c>
      <c r="G440" s="4">
        <v>1360.83</v>
      </c>
      <c r="H440" s="1" t="s">
        <v>5181</v>
      </c>
      <c r="I440" s="1" t="s">
        <v>5182</v>
      </c>
      <c r="J440" s="1" t="s">
        <v>5183</v>
      </c>
      <c r="K440" s="7">
        <v>-0.0038123167155425554</v>
      </c>
      <c r="L440" s="7">
        <v>0.0014136285771111624</v>
      </c>
      <c r="M440" s="8">
        <f t="shared" si="1"/>
        <v>13797989</v>
      </c>
    </row>
    <row r="441">
      <c r="A441" s="13">
        <v>46156.0</v>
      </c>
      <c r="B441" s="4">
        <v>1365.2</v>
      </c>
      <c r="C441" s="4">
        <v>1378.0</v>
      </c>
      <c r="D441" s="4">
        <v>1358.4</v>
      </c>
      <c r="E441" s="4">
        <v>1358.8</v>
      </c>
      <c r="F441" s="4">
        <v>1361.8</v>
      </c>
      <c r="G441" s="4">
        <v>1365.93</v>
      </c>
      <c r="H441" s="1" t="s">
        <v>5190</v>
      </c>
      <c r="I441" s="1" t="s">
        <v>5191</v>
      </c>
      <c r="J441" s="1" t="s">
        <v>5192</v>
      </c>
      <c r="K441" s="7">
        <v>0.002207830438622314</v>
      </c>
      <c r="L441" s="7">
        <v>0.011831236171975774</v>
      </c>
      <c r="M441" s="8">
        <f t="shared" si="1"/>
        <v>17303059</v>
      </c>
    </row>
    <row r="442">
      <c r="A442" s="13">
        <v>46157.0</v>
      </c>
      <c r="B442" s="4">
        <v>1356.8</v>
      </c>
      <c r="C442" s="4">
        <v>1364.8</v>
      </c>
      <c r="D442" s="4">
        <v>1329.2</v>
      </c>
      <c r="E442" s="4">
        <v>1361.8</v>
      </c>
      <c r="F442" s="4">
        <v>1336.4</v>
      </c>
      <c r="G442" s="4">
        <v>1339.37</v>
      </c>
      <c r="H442" s="1" t="s">
        <v>5199</v>
      </c>
      <c r="I442" s="1" t="s">
        <v>5200</v>
      </c>
      <c r="J442" s="1" t="s">
        <v>5201</v>
      </c>
      <c r="K442" s="7">
        <v>-0.018651784402995936</v>
      </c>
      <c r="L442" s="7">
        <v>-0.0019460016209644126</v>
      </c>
      <c r="M442" s="8">
        <f t="shared" si="1"/>
        <v>19976192</v>
      </c>
    </row>
    <row r="443">
      <c r="A443" s="13">
        <v>46160.0</v>
      </c>
      <c r="B443" s="4">
        <v>1334.0</v>
      </c>
      <c r="C443" s="4">
        <v>1342.0</v>
      </c>
      <c r="D443" s="4">
        <v>1318.7</v>
      </c>
      <c r="E443" s="4">
        <v>1336.4</v>
      </c>
      <c r="F443" s="4">
        <v>1335.9</v>
      </c>
      <c r="G443" s="4">
        <v>1333.44</v>
      </c>
      <c r="H443" s="1" t="s">
        <v>5205</v>
      </c>
      <c r="I443" s="1" t="s">
        <v>5206</v>
      </c>
      <c r="J443" s="1" t="s">
        <v>5208</v>
      </c>
      <c r="K443" s="7">
        <v>-3.7413947919784493E-4</v>
      </c>
      <c r="L443" s="7">
        <v>2.728022500899075E-4</v>
      </c>
      <c r="M443" s="8">
        <f t="shared" si="1"/>
        <v>13022473</v>
      </c>
    </row>
    <row r="444">
      <c r="A444" s="13">
        <v>46161.0</v>
      </c>
      <c r="B444" s="4">
        <v>1338.7</v>
      </c>
      <c r="C444" s="4">
        <v>1344.0</v>
      </c>
      <c r="D444" s="4">
        <v>1318.4</v>
      </c>
      <c r="E444" s="4">
        <v>1335.9</v>
      </c>
      <c r="F444" s="4">
        <v>1322.7</v>
      </c>
      <c r="G444" s="4">
        <v>1332.15</v>
      </c>
      <c r="H444" s="1" t="s">
        <v>5213</v>
      </c>
      <c r="I444" s="1" t="s">
        <v>5214</v>
      </c>
      <c r="J444" s="1" t="s">
        <v>5216</v>
      </c>
      <c r="K444" s="7">
        <v>-0.009880979115203267</v>
      </c>
      <c r="L444" s="7">
        <v>-0.0013509542303472408</v>
      </c>
      <c r="M444" s="8">
        <f t="shared" si="1"/>
        <v>21665501</v>
      </c>
    </row>
    <row r="445">
      <c r="A445" s="13">
        <v>46162.0</v>
      </c>
      <c r="B445" s="4">
        <v>1318.7</v>
      </c>
      <c r="C445" s="4">
        <v>1362.9</v>
      </c>
      <c r="D445" s="4">
        <v>1312.6</v>
      </c>
      <c r="E445" s="4">
        <v>1322.7</v>
      </c>
      <c r="F445" s="4">
        <v>1359.7</v>
      </c>
      <c r="G445" s="4">
        <v>1345.23</v>
      </c>
      <c r="H445" s="1" t="s">
        <v>5221</v>
      </c>
      <c r="I445" s="1" t="s">
        <v>5222</v>
      </c>
      <c r="J445" s="1" t="s">
        <v>5225</v>
      </c>
      <c r="K445" s="7">
        <v>0.027973085355711802</v>
      </c>
      <c r="L445" s="7">
        <v>0.0017359640951816412</v>
      </c>
      <c r="M445" s="8">
        <f t="shared" si="1"/>
        <v>13248515</v>
      </c>
    </row>
    <row r="446">
      <c r="A446" s="13">
        <v>46163.0</v>
      </c>
      <c r="B446" s="4">
        <v>1367.2</v>
      </c>
      <c r="C446" s="4">
        <v>1370.9</v>
      </c>
      <c r="D446" s="4">
        <v>1345.2</v>
      </c>
      <c r="E446" s="4">
        <v>1359.7</v>
      </c>
      <c r="F446" s="4">
        <v>1349.6</v>
      </c>
      <c r="G446" s="4">
        <v>1352.83</v>
      </c>
      <c r="H446" s="1" t="s">
        <v>5230</v>
      </c>
      <c r="I446" s="1" t="s">
        <v>5231</v>
      </c>
      <c r="J446" s="1" t="s">
        <v>5233</v>
      </c>
      <c r="K446" s="7">
        <v>-0.007428109141722539</v>
      </c>
      <c r="L446" s="7">
        <v>-1.817490172872595E-4</v>
      </c>
      <c r="M446" s="8">
        <f t="shared" si="1"/>
        <v>17150630</v>
      </c>
    </row>
    <row r="447">
      <c r="A447" s="13">
        <v>46164.0</v>
      </c>
      <c r="B447" s="4">
        <v>1350.0</v>
      </c>
      <c r="C447" s="4">
        <v>1367.4</v>
      </c>
      <c r="D447" s="4">
        <v>1349.1</v>
      </c>
      <c r="E447" s="4">
        <v>1349.6</v>
      </c>
      <c r="F447" s="4">
        <v>1354.5</v>
      </c>
      <c r="G447" s="4">
        <v>1357.24</v>
      </c>
      <c r="H447" s="1" t="s">
        <v>5239</v>
      </c>
      <c r="I447" s="1" t="s">
        <v>5241</v>
      </c>
      <c r="J447" s="1" t="s">
        <v>5244</v>
      </c>
      <c r="K447" s="7">
        <v>0.003630705394190939</v>
      </c>
      <c r="L447" s="7">
        <v>0.0027309583296342183</v>
      </c>
      <c r="M447" s="8">
        <f t="shared" si="1"/>
        <v>7105813</v>
      </c>
    </row>
    <row r="448">
      <c r="A448" s="13">
        <v>46167.0</v>
      </c>
      <c r="B448" s="4">
        <v>1366.8</v>
      </c>
      <c r="C448" s="4">
        <v>1371.1</v>
      </c>
      <c r="D448" s="4">
        <v>1357.0</v>
      </c>
      <c r="E448" s="4">
        <v>1354.5</v>
      </c>
      <c r="F448" s="4">
        <v>1367.0</v>
      </c>
      <c r="G448" s="4">
        <v>1363.11</v>
      </c>
      <c r="H448" s="1" t="s">
        <v>5247</v>
      </c>
      <c r="I448" s="1" t="s">
        <v>5249</v>
      </c>
      <c r="J448" s="1" t="s">
        <v>5251</v>
      </c>
      <c r="K448" s="7">
        <v>0.009228497600590625</v>
      </c>
      <c r="L448" s="7">
        <v>0.013170709085006786</v>
      </c>
      <c r="M448" s="8">
        <f t="shared" si="1"/>
        <v>6750071</v>
      </c>
    </row>
    <row r="449">
      <c r="A449" s="13">
        <v>46168.0</v>
      </c>
      <c r="B449" s="4">
        <v>1360.1</v>
      </c>
      <c r="C449" s="4">
        <v>1368.5</v>
      </c>
      <c r="D449" s="4">
        <v>1352.4</v>
      </c>
      <c r="E449" s="4">
        <v>1367.0</v>
      </c>
      <c r="F449" s="4">
        <v>1356.3</v>
      </c>
      <c r="G449" s="4">
        <v>1359.22</v>
      </c>
      <c r="H449" s="1" t="s">
        <v>5256</v>
      </c>
      <c r="I449" s="1" t="s">
        <v>5257</v>
      </c>
      <c r="J449" s="1" t="s">
        <v>5258</v>
      </c>
      <c r="K449" s="7">
        <v>-0.00782735918068767</v>
      </c>
      <c r="L449" s="7">
        <v>-0.004910181135749863</v>
      </c>
      <c r="M449" s="8">
        <f t="shared" si="1"/>
        <v>13769747</v>
      </c>
    </row>
    <row r="450">
      <c r="A450" s="13">
        <v>46169.0</v>
      </c>
      <c r="B450" s="4">
        <v>1353.0</v>
      </c>
      <c r="C450" s="4">
        <v>1361.0</v>
      </c>
      <c r="D450" s="4">
        <v>1348.6</v>
      </c>
      <c r="E450" s="4">
        <v>1356.3</v>
      </c>
      <c r="F450" s="4">
        <v>1350.5</v>
      </c>
      <c r="G450" s="4">
        <v>1354.62</v>
      </c>
      <c r="H450" s="1" t="s">
        <v>5265</v>
      </c>
      <c r="I450" s="1" t="s">
        <v>5266</v>
      </c>
      <c r="J450" s="1" t="s">
        <v>5267</v>
      </c>
      <c r="K450" s="7">
        <v>-0.004276340042763367</v>
      </c>
      <c r="L450" s="7">
        <v>-2.7390157106592757E-4</v>
      </c>
      <c r="M450" s="8">
        <f t="shared" si="1"/>
        <v>13215138</v>
      </c>
    </row>
    <row r="451">
      <c r="A451" s="13">
        <v>46171.0</v>
      </c>
      <c r="B451" s="4">
        <v>1364.0</v>
      </c>
      <c r="C451" s="4">
        <v>1369.0</v>
      </c>
      <c r="D451" s="4">
        <v>1317.0</v>
      </c>
      <c r="E451" s="4">
        <v>1350.5</v>
      </c>
      <c r="F451" s="4">
        <v>1321.2</v>
      </c>
      <c r="G451" s="4">
        <v>1330.58</v>
      </c>
      <c r="H451" s="1" t="s">
        <v>5274</v>
      </c>
      <c r="I451" s="1" t="s">
        <v>5275</v>
      </c>
      <c r="J451" s="1" t="s">
        <v>5276</v>
      </c>
      <c r="K451" s="7">
        <v>-0.021695668271010705</v>
      </c>
      <c r="L451" s="7">
        <v>-0.015033159535954785</v>
      </c>
      <c r="M451" s="8">
        <f t="shared" si="1"/>
        <v>42634247</v>
      </c>
    </row>
    <row r="452">
      <c r="A452" s="3">
        <v>46174.0</v>
      </c>
      <c r="B452" s="4">
        <v>1332.5</v>
      </c>
      <c r="C452" s="4">
        <v>1335.5</v>
      </c>
      <c r="D452" s="4">
        <v>1318.5</v>
      </c>
      <c r="E452" s="4">
        <v>1321.2</v>
      </c>
      <c r="F452" s="4">
        <v>1320.0</v>
      </c>
      <c r="G452" s="4">
        <v>1324.32</v>
      </c>
      <c r="H452" s="1" t="s">
        <v>5283</v>
      </c>
      <c r="I452" s="1" t="s">
        <v>5284</v>
      </c>
      <c r="J452" s="1" t="s">
        <v>5285</v>
      </c>
      <c r="K452" s="7">
        <v>-9.082652134423595E-4</v>
      </c>
      <c r="L452" s="7">
        <v>-0.007013408924419593</v>
      </c>
      <c r="M452" s="8">
        <f t="shared" si="1"/>
        <v>10700603</v>
      </c>
    </row>
    <row r="453">
      <c r="A453" s="3">
        <v>46175.0</v>
      </c>
      <c r="B453" s="4">
        <v>1307.7</v>
      </c>
      <c r="C453" s="4">
        <v>1327.8</v>
      </c>
      <c r="D453" s="4">
        <v>1300.3</v>
      </c>
      <c r="E453" s="4">
        <v>1320.0</v>
      </c>
      <c r="F453" s="4">
        <v>1314.6</v>
      </c>
      <c r="G453" s="4">
        <v>1313.43</v>
      </c>
      <c r="H453" s="1" t="s">
        <v>5289</v>
      </c>
      <c r="I453" s="1" t="s">
        <v>5290</v>
      </c>
      <c r="J453" s="1" t="s">
        <v>5291</v>
      </c>
      <c r="K453" s="7">
        <v>-0.00409090909090916</v>
      </c>
      <c r="L453" s="7">
        <v>0.0043173128736753285</v>
      </c>
      <c r="M453" s="8">
        <f t="shared" si="1"/>
        <v>23302785</v>
      </c>
    </row>
    <row r="454">
      <c r="A454" s="3">
        <v>46176.0</v>
      </c>
      <c r="B454" s="4">
        <v>1315.0</v>
      </c>
      <c r="C454" s="4">
        <v>1324.0</v>
      </c>
      <c r="D454" s="4">
        <v>1301.0</v>
      </c>
      <c r="E454" s="4">
        <v>1314.6</v>
      </c>
      <c r="F454" s="4">
        <v>1313.2</v>
      </c>
      <c r="G454" s="4">
        <v>1309.61</v>
      </c>
      <c r="H454" s="1" t="s">
        <v>5298</v>
      </c>
      <c r="I454" s="1" t="s">
        <v>5299</v>
      </c>
      <c r="J454" s="1" t="s">
        <v>5300</v>
      </c>
      <c r="K454" s="7">
        <v>-0.0010649627263044756</v>
      </c>
      <c r="L454" s="7">
        <v>-0.0033193448179683538</v>
      </c>
      <c r="M454" s="8">
        <f t="shared" si="1"/>
        <v>20012293</v>
      </c>
    </row>
    <row r="455">
      <c r="A455" s="3">
        <v>46177.0</v>
      </c>
      <c r="B455" s="4">
        <v>1301.0</v>
      </c>
      <c r="C455" s="4">
        <v>1311.2</v>
      </c>
      <c r="D455" s="4">
        <v>1293.1</v>
      </c>
      <c r="E455" s="4">
        <v>1313.2</v>
      </c>
      <c r="F455" s="4">
        <v>1303.7</v>
      </c>
      <c r="G455" s="4">
        <v>1303.16</v>
      </c>
      <c r="H455" s="1" t="s">
        <v>5308</v>
      </c>
      <c r="I455" s="1" t="s">
        <v>5310</v>
      </c>
      <c r="J455" s="1" t="s">
        <v>5312</v>
      </c>
      <c r="K455" s="7">
        <v>-0.0072342369783734385</v>
      </c>
      <c r="L455" s="7">
        <v>4.678367570154462E-4</v>
      </c>
      <c r="M455" s="8">
        <f t="shared" si="1"/>
        <v>23474327</v>
      </c>
    </row>
    <row r="456">
      <c r="A456" s="3">
        <v>46178.0</v>
      </c>
      <c r="B456" s="4">
        <v>1304.5</v>
      </c>
      <c r="C456" s="4">
        <v>1306.0</v>
      </c>
      <c r="D456" s="4">
        <v>1288.0</v>
      </c>
      <c r="E456" s="4">
        <v>1303.7</v>
      </c>
      <c r="F456" s="4">
        <v>1291.0</v>
      </c>
      <c r="G456" s="4">
        <v>1294.8</v>
      </c>
      <c r="H456" s="1" t="s">
        <v>5318</v>
      </c>
      <c r="I456" s="1" t="s">
        <v>5320</v>
      </c>
      <c r="J456" s="1" t="s">
        <v>5321</v>
      </c>
      <c r="K456" s="7">
        <v>-0.009741504947457272</v>
      </c>
      <c r="L456" s="7">
        <v>-0.0021288362290772357</v>
      </c>
      <c r="M456" s="8">
        <f t="shared" si="1"/>
        <v>17785223</v>
      </c>
    </row>
    <row r="457">
      <c r="A457" s="3">
        <v>46181.0</v>
      </c>
      <c r="B457" s="4">
        <v>1277.0</v>
      </c>
      <c r="C457" s="4">
        <v>1282.6</v>
      </c>
      <c r="D457" s="4">
        <v>1259.2</v>
      </c>
      <c r="E457" s="4">
        <v>1291.0</v>
      </c>
      <c r="F457" s="4">
        <v>1263.3</v>
      </c>
      <c r="G457" s="4">
        <v>1271.9</v>
      </c>
      <c r="H457" s="1" t="s">
        <v>5328</v>
      </c>
      <c r="I457" s="1" t="s">
        <v>5329</v>
      </c>
      <c r="J457" s="1" t="s">
        <v>5330</v>
      </c>
      <c r="K457" s="7">
        <v>-0.02145623547637494</v>
      </c>
      <c r="L457" s="7">
        <v>-0.010429371712736533</v>
      </c>
      <c r="M457" s="8">
        <f t="shared" si="1"/>
        <v>16494759</v>
      </c>
    </row>
    <row r="458">
      <c r="A458" s="3">
        <v>46182.0</v>
      </c>
      <c r="B458" s="4">
        <v>1269.0</v>
      </c>
      <c r="C458" s="4">
        <v>1274.2</v>
      </c>
      <c r="D458" s="4">
        <v>1257.5</v>
      </c>
      <c r="E458" s="4">
        <v>1263.3</v>
      </c>
      <c r="F458" s="4">
        <v>1269.2</v>
      </c>
      <c r="G458" s="4">
        <v>1264.75</v>
      </c>
      <c r="H458" s="1" t="s">
        <v>5334</v>
      </c>
      <c r="I458" s="1" t="s">
        <v>5337</v>
      </c>
      <c r="J458" s="1" t="s">
        <v>5339</v>
      </c>
      <c r="K458" s="7">
        <v>0.00467030792369199</v>
      </c>
      <c r="L458" s="7">
        <v>0.005150715737577241</v>
      </c>
      <c r="M458" s="8">
        <f t="shared" si="1"/>
        <v>23620214</v>
      </c>
    </row>
    <row r="459">
      <c r="A459" s="9">
        <v>46183.0</v>
      </c>
      <c r="B459" s="4">
        <v>1275.0</v>
      </c>
      <c r="C459" s="4">
        <v>1300.5</v>
      </c>
      <c r="D459" s="4">
        <v>1254.4</v>
      </c>
      <c r="E459" s="4">
        <v>1269.2</v>
      </c>
      <c r="F459" s="4">
        <v>1258.8</v>
      </c>
      <c r="G459" s="4">
        <v>1274.15</v>
      </c>
      <c r="H459" s="1" t="s">
        <v>5342</v>
      </c>
      <c r="I459" s="1" t="s">
        <v>5345</v>
      </c>
      <c r="J459" s="1" t="s">
        <v>5347</v>
      </c>
      <c r="K459" s="7">
        <v>-0.008194138039710124</v>
      </c>
      <c r="L459" s="7">
        <v>-0.0011681388514806243</v>
      </c>
      <c r="M459" s="8">
        <f t="shared" si="1"/>
        <v>21012796</v>
      </c>
    </row>
    <row r="460">
      <c r="A460" s="9">
        <v>46184.0</v>
      </c>
      <c r="B460" s="4">
        <v>1258.0</v>
      </c>
      <c r="C460" s="4">
        <v>1276.0</v>
      </c>
      <c r="D460" s="4">
        <v>1253.2</v>
      </c>
      <c r="E460" s="4">
        <v>1258.8</v>
      </c>
      <c r="F460" s="4">
        <v>1263.0</v>
      </c>
      <c r="G460" s="4">
        <v>1265.78</v>
      </c>
      <c r="H460" s="1" t="s">
        <v>5350</v>
      </c>
      <c r="I460" s="1" t="s">
        <v>5352</v>
      </c>
      <c r="J460" s="1" t="s">
        <v>5354</v>
      </c>
      <c r="K460" s="7">
        <v>0.003336510962821771</v>
      </c>
      <c r="L460" s="7">
        <v>-0.002298088085479494</v>
      </c>
      <c r="M460" s="8">
        <f t="shared" si="1"/>
        <v>13117486</v>
      </c>
    </row>
    <row r="461">
      <c r="A461" s="9">
        <v>46185.0</v>
      </c>
      <c r="B461" s="4">
        <v>1277.0</v>
      </c>
      <c r="C461" s="4">
        <v>1297.0</v>
      </c>
      <c r="D461" s="4">
        <v>1262.5</v>
      </c>
      <c r="E461" s="4">
        <v>1263.0</v>
      </c>
      <c r="F461" s="4">
        <v>1293.0</v>
      </c>
      <c r="G461" s="4">
        <v>1277.16</v>
      </c>
      <c r="H461" s="1" t="s">
        <v>5359</v>
      </c>
      <c r="I461" s="1" t="s">
        <v>5360</v>
      </c>
      <c r="J461" s="1" t="s">
        <v>5361</v>
      </c>
      <c r="K461" s="7">
        <v>0.023752969121140142</v>
      </c>
      <c r="L461" s="7">
        <v>0.019916586073501094</v>
      </c>
      <c r="M461" s="8">
        <f t="shared" si="1"/>
        <v>11988785</v>
      </c>
    </row>
    <row r="462">
      <c r="A462" s="9">
        <v>46188.0</v>
      </c>
      <c r="B462" s="4">
        <v>1315.3</v>
      </c>
      <c r="C462" s="4">
        <v>1325.0</v>
      </c>
      <c r="D462" s="4">
        <v>1303.3</v>
      </c>
      <c r="E462" s="4">
        <v>1293.0</v>
      </c>
      <c r="F462" s="4">
        <v>1307.0</v>
      </c>
      <c r="G462" s="4">
        <v>1311.06</v>
      </c>
      <c r="H462" s="1" t="s">
        <v>5368</v>
      </c>
      <c r="I462" s="1" t="s">
        <v>5369</v>
      </c>
      <c r="J462" s="1" t="s">
        <v>5370</v>
      </c>
      <c r="K462" s="7">
        <v>0.01082753286929621</v>
      </c>
      <c r="L462" s="7">
        <v>0.00977864699084363</v>
      </c>
      <c r="M462" s="8">
        <f t="shared" si="1"/>
        <v>18633321</v>
      </c>
    </row>
    <row r="463">
      <c r="A463" s="9">
        <v>46189.0</v>
      </c>
      <c r="B463" s="4">
        <v>1313.4</v>
      </c>
      <c r="C463" s="4">
        <v>1333.4</v>
      </c>
      <c r="D463" s="4">
        <v>1306.4</v>
      </c>
      <c r="E463" s="4">
        <v>1307.0</v>
      </c>
      <c r="F463" s="4">
        <v>1328.8</v>
      </c>
      <c r="G463" s="4">
        <v>1326.71</v>
      </c>
      <c r="H463" s="1" t="s">
        <v>5377</v>
      </c>
      <c r="I463" s="1" t="s">
        <v>5378</v>
      </c>
      <c r="J463" s="1" t="s">
        <v>5379</v>
      </c>
      <c r="K463" s="7">
        <v>0.01667941851568474</v>
      </c>
      <c r="L463" s="7">
        <v>0.005669932380030099</v>
      </c>
      <c r="M463" s="8">
        <f t="shared" si="1"/>
        <v>18513223</v>
      </c>
    </row>
    <row r="464">
      <c r="A464" s="9">
        <v>46190.0</v>
      </c>
      <c r="B464" s="4">
        <v>1333.0</v>
      </c>
      <c r="C464" s="4">
        <v>1334.0</v>
      </c>
      <c r="D464" s="4">
        <v>1317.0</v>
      </c>
      <c r="E464" s="4">
        <v>1328.8</v>
      </c>
      <c r="F464" s="4">
        <v>1332.7</v>
      </c>
      <c r="G464" s="4">
        <v>1328.97</v>
      </c>
      <c r="H464" s="1" t="s">
        <v>5386</v>
      </c>
      <c r="I464" s="1" t="s">
        <v>5387</v>
      </c>
      <c r="J464" s="1" t="s">
        <v>5388</v>
      </c>
      <c r="K464" s="7">
        <v>0.00293497892835648</v>
      </c>
      <c r="L464" s="7">
        <v>0.004024736182815951</v>
      </c>
      <c r="M464" s="8">
        <f t="shared" si="1"/>
        <v>10029170</v>
      </c>
    </row>
    <row r="465">
      <c r="A465" s="9">
        <v>46191.0</v>
      </c>
      <c r="B465" s="4">
        <v>1330.0</v>
      </c>
      <c r="C465" s="4">
        <v>1333.9</v>
      </c>
      <c r="D465" s="4">
        <v>1322.0</v>
      </c>
      <c r="E465" s="4">
        <v>1332.7</v>
      </c>
      <c r="F465" s="4">
        <v>1328.1</v>
      </c>
      <c r="G465" s="4">
        <v>1327.75</v>
      </c>
      <c r="H465" s="1" t="s">
        <v>5394</v>
      </c>
      <c r="I465" s="1" t="s">
        <v>5395</v>
      </c>
      <c r="J465" s="1" t="s">
        <v>5396</v>
      </c>
      <c r="K465" s="7">
        <v>-0.003451639528776271</v>
      </c>
      <c r="L465" s="7">
        <v>0.0034169652532415194</v>
      </c>
      <c r="M465" s="8">
        <f t="shared" si="1"/>
        <v>15494549</v>
      </c>
    </row>
    <row r="466">
      <c r="A466" s="9">
        <v>46192.0</v>
      </c>
      <c r="B466" s="4">
        <v>1328.0</v>
      </c>
      <c r="C466" s="4">
        <v>1338.2</v>
      </c>
      <c r="D466" s="4">
        <v>1305.3</v>
      </c>
      <c r="E466" s="4">
        <v>1328.1</v>
      </c>
      <c r="F466" s="4">
        <v>1309.5</v>
      </c>
      <c r="G466" s="4">
        <v>1317.76</v>
      </c>
      <c r="H466" s="1" t="s">
        <v>5403</v>
      </c>
      <c r="I466" s="1" t="s">
        <v>5404</v>
      </c>
      <c r="J466" s="1" t="s">
        <v>5405</v>
      </c>
      <c r="K466" s="7">
        <v>-0.014004969505308268</v>
      </c>
      <c r="L466" s="7">
        <v>-0.006409301555776293</v>
      </c>
      <c r="M466" s="8">
        <f t="shared" si="1"/>
        <v>24887034</v>
      </c>
    </row>
    <row r="467">
      <c r="A467" s="9">
        <v>46195.0</v>
      </c>
      <c r="B467" s="4">
        <v>1316.7</v>
      </c>
      <c r="C467" s="4">
        <v>1344.9</v>
      </c>
      <c r="D467" s="4">
        <v>1314.1</v>
      </c>
      <c r="E467" s="4">
        <v>1309.5</v>
      </c>
      <c r="F467" s="4">
        <v>1326.5</v>
      </c>
      <c r="G467" s="4">
        <v>1333.48</v>
      </c>
      <c r="H467" s="1" t="s">
        <v>5412</v>
      </c>
      <c r="I467" s="1" t="s">
        <v>5413</v>
      </c>
      <c r="J467" s="1" t="s">
        <v>5414</v>
      </c>
      <c r="K467" s="7">
        <v>0.012982054219167621</v>
      </c>
      <c r="L467" s="7">
        <v>0.003739625454439573</v>
      </c>
      <c r="M467" s="8">
        <f t="shared" si="1"/>
        <v>12931213</v>
      </c>
    </row>
    <row r="468">
      <c r="A468" s="9">
        <v>46196.0</v>
      </c>
      <c r="B468" s="4">
        <v>1328.9</v>
      </c>
      <c r="C468" s="4">
        <v>1333.0</v>
      </c>
      <c r="D468" s="4">
        <v>1304.0</v>
      </c>
      <c r="E468" s="4">
        <v>1326.5</v>
      </c>
      <c r="F468" s="4">
        <v>1309.5</v>
      </c>
      <c r="G468" s="4">
        <v>1318.19</v>
      </c>
      <c r="H468" s="1" t="s">
        <v>5421</v>
      </c>
      <c r="I468" s="1" t="s">
        <v>5422</v>
      </c>
      <c r="J468" s="1" t="s">
        <v>5423</v>
      </c>
      <c r="K468" s="7">
        <v>-0.012815680361854504</v>
      </c>
      <c r="L468" s="7">
        <v>-0.011567072841857325</v>
      </c>
      <c r="M468" s="8">
        <f t="shared" si="1"/>
        <v>15400184</v>
      </c>
    </row>
    <row r="469">
      <c r="A469" s="9">
        <v>46197.0</v>
      </c>
      <c r="B469" s="4">
        <v>1305.7</v>
      </c>
      <c r="C469" s="4">
        <v>1322.0</v>
      </c>
      <c r="D469" s="4">
        <v>1297.5</v>
      </c>
      <c r="E469" s="4">
        <v>1309.5</v>
      </c>
      <c r="F469" s="4">
        <v>1313.6</v>
      </c>
      <c r="G469" s="4">
        <v>1312.24</v>
      </c>
      <c r="H469" s="1" t="s">
        <v>5427</v>
      </c>
      <c r="I469" s="1" t="s">
        <v>5428</v>
      </c>
      <c r="J469" s="1" t="s">
        <v>5429</v>
      </c>
      <c r="K469" s="7">
        <v>0.0031309660175638863</v>
      </c>
      <c r="L469" s="7">
        <v>0.008292023623138038</v>
      </c>
      <c r="M469" s="8">
        <f t="shared" si="1"/>
        <v>11030917</v>
      </c>
    </row>
    <row r="470">
      <c r="A470" s="9">
        <v>46198.0</v>
      </c>
      <c r="B470" s="4">
        <v>1318.0</v>
      </c>
      <c r="C470" s="4">
        <v>1328.0</v>
      </c>
      <c r="D470" s="4">
        <v>1314.6</v>
      </c>
      <c r="E470" s="4">
        <v>1313.6</v>
      </c>
      <c r="F470" s="4">
        <v>1318.1</v>
      </c>
      <c r="G470" s="4">
        <v>1320.81</v>
      </c>
      <c r="H470" s="1" t="s">
        <v>5436</v>
      </c>
      <c r="I470" s="1" t="s">
        <v>5437</v>
      </c>
      <c r="J470" s="1" t="s">
        <v>5438</v>
      </c>
      <c r="K470" s="7">
        <v>0.003425700365408039</v>
      </c>
      <c r="L470" s="7">
        <v>0.0014299600568653088</v>
      </c>
      <c r="M470" s="8">
        <f t="shared" si="1"/>
        <v>12694362</v>
      </c>
    </row>
    <row r="471">
      <c r="A471" s="9">
        <v>46202.0</v>
      </c>
      <c r="B471" s="4">
        <v>1308.0</v>
      </c>
      <c r="C471" s="4">
        <v>1313.7</v>
      </c>
      <c r="D471" s="4">
        <v>1292.6</v>
      </c>
      <c r="E471" s="4">
        <v>1318.1</v>
      </c>
      <c r="F471" s="4">
        <v>1301.0</v>
      </c>
      <c r="G471" s="4">
        <v>1302.94</v>
      </c>
      <c r="H471" s="1" t="s">
        <v>5443</v>
      </c>
      <c r="I471" s="1" t="s">
        <v>5445</v>
      </c>
      <c r="J471" s="1" t="s">
        <v>5447</v>
      </c>
      <c r="K471" s="7">
        <v>-0.012973219027387838</v>
      </c>
      <c r="L471" s="7">
        <v>-0.004562271366810775</v>
      </c>
      <c r="M471" s="8">
        <f t="shared" si="1"/>
        <v>13757656</v>
      </c>
    </row>
    <row r="472">
      <c r="A472" s="9">
        <v>46203.0</v>
      </c>
      <c r="B472" s="4">
        <v>1306.9</v>
      </c>
      <c r="C472" s="4">
        <v>1306.9</v>
      </c>
      <c r="D472" s="4">
        <v>1290.0</v>
      </c>
      <c r="E472" s="4">
        <v>1301.0</v>
      </c>
      <c r="F472" s="4">
        <v>1293.9</v>
      </c>
      <c r="G472" s="4">
        <v>1295.14</v>
      </c>
      <c r="H472" s="1" t="s">
        <v>5448</v>
      </c>
      <c r="I472" s="1" t="s">
        <v>5449</v>
      </c>
      <c r="J472" s="1" t="s">
        <v>5451</v>
      </c>
      <c r="K472" s="7">
        <v>-0.005457340507302006</v>
      </c>
      <c r="L472" s="7">
        <v>-0.0033616954637991333</v>
      </c>
      <c r="M472" s="8">
        <f t="shared" si="1"/>
        <v>15695263</v>
      </c>
    </row>
    <row r="473">
      <c r="A473" s="3">
        <v>46204.0</v>
      </c>
      <c r="B473" s="4">
        <v>1298.9</v>
      </c>
      <c r="C473" s="4">
        <v>1312.2</v>
      </c>
      <c r="D473" s="4">
        <v>1296.5</v>
      </c>
      <c r="E473" s="4">
        <v>1293.9</v>
      </c>
      <c r="F473" s="4">
        <v>1308.0</v>
      </c>
      <c r="G473" s="4">
        <v>1307.11</v>
      </c>
      <c r="H473" s="1" t="s">
        <v>5454</v>
      </c>
      <c r="I473" s="1" t="s">
        <v>5455</v>
      </c>
      <c r="J473" s="1" t="s">
        <v>5456</v>
      </c>
      <c r="K473" s="7">
        <v>0.010897287271040968</v>
      </c>
      <c r="L473" s="7">
        <v>0.005870337198705196</v>
      </c>
      <c r="M473" s="8">
        <f t="shared" si="1"/>
        <v>7001401</v>
      </c>
    </row>
    <row r="474">
      <c r="A474" s="3">
        <v>46205.0</v>
      </c>
      <c r="B474" s="4">
        <v>1310.0</v>
      </c>
      <c r="C474" s="4">
        <v>1313.2</v>
      </c>
      <c r="D474" s="4">
        <v>1299.0</v>
      </c>
      <c r="E474" s="4">
        <v>1308.0</v>
      </c>
      <c r="F474" s="4">
        <v>1303.5</v>
      </c>
      <c r="G474" s="4">
        <v>1303.94</v>
      </c>
      <c r="H474" s="1" t="s">
        <v>5460</v>
      </c>
      <c r="I474" s="1" t="s">
        <v>5461</v>
      </c>
      <c r="J474" s="1" t="s">
        <v>5462</v>
      </c>
      <c r="K474" s="7">
        <v>-0.0034403669724770644</v>
      </c>
      <c r="L474" s="7">
        <v>0.007075358714646729</v>
      </c>
      <c r="M474" s="8">
        <f t="shared" si="1"/>
        <v>17795024</v>
      </c>
    </row>
    <row r="475">
      <c r="A475" s="3">
        <v>46206.0</v>
      </c>
      <c r="B475" s="4">
        <v>1312.0</v>
      </c>
      <c r="C475" s="4">
        <v>1312.0</v>
      </c>
      <c r="D475" s="4">
        <v>1302.0</v>
      </c>
      <c r="E475" s="4">
        <v>1303.5</v>
      </c>
      <c r="F475" s="4">
        <v>1304.0</v>
      </c>
      <c r="G475" s="4">
        <v>1305.14</v>
      </c>
      <c r="H475" s="1" t="s">
        <v>5466</v>
      </c>
      <c r="I475" s="1" t="s">
        <v>5467</v>
      </c>
      <c r="J475" s="1" t="s">
        <v>5468</v>
      </c>
      <c r="K475" s="7">
        <v>3.835826620636747E-4</v>
      </c>
      <c r="L475" s="7">
        <v>0.003935770215546926</v>
      </c>
      <c r="M475" s="8">
        <f t="shared" si="1"/>
        <v>7839550</v>
      </c>
    </row>
    <row r="476">
      <c r="A476" s="3">
        <v>46209.0</v>
      </c>
      <c r="B476" s="4">
        <v>1304.0</v>
      </c>
      <c r="C476" s="4">
        <v>1325.6</v>
      </c>
      <c r="D476" s="4">
        <v>1299.4</v>
      </c>
      <c r="E476" s="4">
        <v>1304.0</v>
      </c>
      <c r="F476" s="4">
        <v>1321.3</v>
      </c>
      <c r="G476" s="4">
        <v>1316.79</v>
      </c>
      <c r="H476" s="1" t="s">
        <v>5475</v>
      </c>
      <c r="I476" s="1" t="s">
        <v>5476</v>
      </c>
      <c r="J476" s="1" t="s">
        <v>5477</v>
      </c>
      <c r="K476" s="7">
        <v>0.013266871165644137</v>
      </c>
      <c r="L476" s="7">
        <v>0.0065716693070082014</v>
      </c>
      <c r="M476" s="8">
        <f t="shared" si="1"/>
        <v>7610709</v>
      </c>
    </row>
    <row r="477">
      <c r="A477" s="3">
        <v>46210.0</v>
      </c>
      <c r="B477" s="4">
        <v>1323.5</v>
      </c>
      <c r="C477" s="4">
        <v>1328.0</v>
      </c>
      <c r="D477" s="4">
        <v>1304.1</v>
      </c>
      <c r="E477" s="4">
        <v>1321.3</v>
      </c>
      <c r="F477" s="4">
        <v>1308.4</v>
      </c>
      <c r="G477" s="4">
        <v>1314.21</v>
      </c>
      <c r="H477" s="1" t="s">
        <v>5481</v>
      </c>
      <c r="I477" s="1" t="s">
        <v>5482</v>
      </c>
      <c r="J477" s="1" t="s">
        <v>5483</v>
      </c>
      <c r="K477" s="7">
        <v>-0.009763112086581293</v>
      </c>
      <c r="L477" s="7">
        <v>-0.0012955197121612182</v>
      </c>
      <c r="M477" s="8">
        <f t="shared" si="1"/>
        <v>14335554</v>
      </c>
    </row>
    <row r="478">
      <c r="A478" s="3">
        <v>46211.0</v>
      </c>
      <c r="B478" s="4">
        <v>1297.0</v>
      </c>
      <c r="C478" s="4">
        <v>1302.3</v>
      </c>
      <c r="D478" s="4">
        <v>1271.6</v>
      </c>
      <c r="E478" s="4">
        <v>1308.4</v>
      </c>
      <c r="F478" s="4">
        <v>1275.9</v>
      </c>
      <c r="G478" s="4">
        <v>1284.32</v>
      </c>
      <c r="H478" s="1" t="s">
        <v>5490</v>
      </c>
      <c r="I478" s="1" t="s">
        <v>5491</v>
      </c>
      <c r="J478" s="1" t="s">
        <v>5492</v>
      </c>
      <c r="K478" s="7">
        <v>-0.024839498624273922</v>
      </c>
      <c r="L478" s="7">
        <v>-0.02117530852053599</v>
      </c>
      <c r="M478" s="8">
        <f t="shared" si="1"/>
        <v>19960868</v>
      </c>
    </row>
    <row r="479">
      <c r="A479" s="3">
        <v>46212.0</v>
      </c>
      <c r="B479" s="4">
        <v>1277.1</v>
      </c>
      <c r="C479" s="4">
        <v>1296.5</v>
      </c>
      <c r="D479" s="4">
        <v>1274.2</v>
      </c>
      <c r="E479" s="4">
        <v>1275.9</v>
      </c>
      <c r="F479" s="4">
        <v>1279.8</v>
      </c>
      <c r="G479" s="4">
        <v>1286.53</v>
      </c>
      <c r="H479" s="1" t="s">
        <v>5499</v>
      </c>
      <c r="I479" s="1" t="s">
        <v>5500</v>
      </c>
      <c r="J479" s="1" t="s">
        <v>5501</v>
      </c>
      <c r="K479" s="7">
        <v>0.003056665882906077</v>
      </c>
      <c r="L479" s="7">
        <v>0.0033812005250805524</v>
      </c>
      <c r="M479" s="8">
        <f t="shared" si="1"/>
        <v>14651963</v>
      </c>
    </row>
    <row r="480">
      <c r="A480" s="9">
        <v>46213.0</v>
      </c>
      <c r="B480" s="4">
        <v>1291.9</v>
      </c>
      <c r="C480" s="4">
        <v>1311.1</v>
      </c>
      <c r="D480" s="4">
        <v>1287.8</v>
      </c>
      <c r="E480" s="4">
        <v>1279.8</v>
      </c>
      <c r="F480" s="4">
        <v>1307.8</v>
      </c>
      <c r="G480" s="4">
        <v>1301.71</v>
      </c>
      <c r="H480" s="1" t="s">
        <v>5505</v>
      </c>
      <c r="I480" s="1" t="s">
        <v>5506</v>
      </c>
      <c r="J480" s="1" t="s">
        <v>5508</v>
      </c>
      <c r="K480" s="7">
        <v>0.021878418502891076</v>
      </c>
      <c r="L480" s="7">
        <v>0.010186622598360884</v>
      </c>
      <c r="M480" s="8">
        <f t="shared" si="1"/>
        <v>8412537</v>
      </c>
    </row>
    <row r="481">
      <c r="A481" s="9">
        <v>46216.0</v>
      </c>
      <c r="B481" s="4">
        <v>1300.0</v>
      </c>
      <c r="C481" s="4">
        <v>1306.4</v>
      </c>
      <c r="D481" s="4">
        <v>1295.0</v>
      </c>
      <c r="E481" s="4">
        <v>1307.8</v>
      </c>
      <c r="F481" s="4">
        <v>1296.9</v>
      </c>
      <c r="G481" s="4">
        <v>1299.42</v>
      </c>
      <c r="H481" s="1" t="s">
        <v>5514</v>
      </c>
      <c r="I481" s="1" t="s">
        <v>5515</v>
      </c>
      <c r="J481" s="1" t="s">
        <v>5516</v>
      </c>
      <c r="K481" s="7">
        <v>-0.008334607738186162</v>
      </c>
      <c r="L481" s="7">
        <v>1.6937319524592347E-4</v>
      </c>
      <c r="M481" s="8">
        <f t="shared" si="1"/>
        <v>9488352</v>
      </c>
    </row>
    <row r="482">
      <c r="A482" s="9">
        <v>46217.0</v>
      </c>
      <c r="B482" s="4">
        <v>1290.0</v>
      </c>
      <c r="C482" s="4">
        <v>1308.0</v>
      </c>
      <c r="D482" s="4">
        <v>1286.9</v>
      </c>
      <c r="E482" s="4">
        <v>1296.9</v>
      </c>
      <c r="F482" s="4">
        <v>1293.0</v>
      </c>
      <c r="G482" s="4">
        <v>1296.78</v>
      </c>
      <c r="H482" s="1" t="s">
        <v>5523</v>
      </c>
      <c r="I482" s="1" t="s">
        <v>5524</v>
      </c>
      <c r="J482" s="1" t="s">
        <v>5525</v>
      </c>
      <c r="K482" s="7">
        <v>-0.0030071709461023137</v>
      </c>
      <c r="L482" s="7">
        <v>-0.0065651976374375585</v>
      </c>
      <c r="M482" s="8">
        <f t="shared" si="1"/>
        <v>13511284</v>
      </c>
    </row>
    <row r="483">
      <c r="A483" s="9">
        <v>46218.0</v>
      </c>
      <c r="B483" s="4">
        <v>1294.1</v>
      </c>
      <c r="C483" s="4">
        <v>1310.9</v>
      </c>
      <c r="D483" s="4">
        <v>1294.1</v>
      </c>
      <c r="E483" s="4">
        <v>1293.0</v>
      </c>
      <c r="F483" s="4">
        <v>1295.5</v>
      </c>
      <c r="G483" s="4">
        <v>1300.25</v>
      </c>
      <c r="H483" s="1" t="s">
        <v>5531</v>
      </c>
      <c r="I483" s="1" t="s">
        <v>5532</v>
      </c>
      <c r="J483" s="1" t="s">
        <v>5533</v>
      </c>
      <c r="K483" s="7">
        <v>0.0019334880123743233</v>
      </c>
      <c r="L483" s="7">
        <v>0.0010996983625096708</v>
      </c>
      <c r="M483" s="8">
        <f t="shared" si="1"/>
        <v>9577965</v>
      </c>
    </row>
    <row r="484">
      <c r="A484" s="9">
        <v>46219.0</v>
      </c>
      <c r="B484" s="4">
        <v>1295.5</v>
      </c>
      <c r="C484" s="4">
        <v>1309.4</v>
      </c>
      <c r="D484" s="4">
        <v>1291.8</v>
      </c>
      <c r="E484" s="4">
        <v>1295.5</v>
      </c>
      <c r="F484" s="4">
        <v>1296.6</v>
      </c>
      <c r="G484" s="4">
        <v>1301.2</v>
      </c>
      <c r="H484" s="1" t="s">
        <v>5543</v>
      </c>
      <c r="I484" s="1" t="s">
        <v>5544</v>
      </c>
      <c r="J484" s="1" t="s">
        <v>5545</v>
      </c>
      <c r="K484" s="7">
        <v>8.490930142801304E-4</v>
      </c>
      <c r="L484" s="7">
        <v>-2.3880225097078306E-4</v>
      </c>
      <c r="M484" s="8">
        <f t="shared" si="1"/>
        <v>15631046</v>
      </c>
    </row>
    <row r="485">
      <c r="A485" s="9">
        <v>46220.0</v>
      </c>
      <c r="B485" s="4">
        <v>1300.0</v>
      </c>
      <c r="C485" s="4">
        <v>1330.3</v>
      </c>
      <c r="D485" s="4">
        <v>1296.1</v>
      </c>
      <c r="E485" s="4">
        <v>1296.6</v>
      </c>
      <c r="F485" s="4">
        <v>1327.2</v>
      </c>
      <c r="G485" s="4">
        <v>1321.39</v>
      </c>
      <c r="H485" s="1" t="s">
        <v>5552</v>
      </c>
      <c r="I485" s="1" t="s">
        <v>5553</v>
      </c>
      <c r="J485" s="1" t="s">
        <v>5555</v>
      </c>
      <c r="K485" s="7">
        <v>0.023600185099491085</v>
      </c>
      <c r="L485" s="7">
        <v>0.010864982189405003</v>
      </c>
      <c r="M485" s="8">
        <f t="shared" si="1"/>
        <v>18302218</v>
      </c>
    </row>
    <row r="486">
      <c r="A486" s="9">
        <v>46223.0</v>
      </c>
      <c r="B486" s="4">
        <v>1317.2</v>
      </c>
      <c r="C486" s="4">
        <v>1345.9</v>
      </c>
      <c r="D486" s="4">
        <v>1314.9</v>
      </c>
      <c r="E486" s="4">
        <v>1327.2</v>
      </c>
      <c r="F486" s="4">
        <v>1323.1</v>
      </c>
      <c r="G486" s="4">
        <v>1330.16</v>
      </c>
      <c r="H486" s="1" t="s">
        <v>5564</v>
      </c>
      <c r="I486" s="1" t="s">
        <v>5565</v>
      </c>
      <c r="J486" s="1" t="s">
        <v>5566</v>
      </c>
      <c r="K486" s="7">
        <v>-0.003089210367691483</v>
      </c>
      <c r="L486" s="7">
        <v>-0.003936829906757099</v>
      </c>
      <c r="M486" s="8">
        <f t="shared" si="1"/>
        <v>14305844</v>
      </c>
    </row>
    <row r="487">
      <c r="A487" s="9">
        <v>46224.0</v>
      </c>
      <c r="B487" s="4">
        <v>1321.0</v>
      </c>
      <c r="C487" s="4">
        <v>1326.9</v>
      </c>
      <c r="D487" s="4">
        <v>1302.7</v>
      </c>
      <c r="E487" s="4">
        <v>1323.1</v>
      </c>
      <c r="F487" s="4">
        <v>1303.7</v>
      </c>
      <c r="G487" s="4">
        <v>1309.52</v>
      </c>
      <c r="H487" s="1" t="s">
        <v>5573</v>
      </c>
      <c r="I487" s="1" t="s">
        <v>5574</v>
      </c>
      <c r="J487" s="1" t="s">
        <v>5575</v>
      </c>
      <c r="K487" s="7">
        <v>-0.014662534955785553</v>
      </c>
      <c r="L487" s="7">
        <v>-0.0020958392639808267</v>
      </c>
      <c r="M487" s="8">
        <f t="shared" si="1"/>
        <v>12753410</v>
      </c>
    </row>
    <row r="488">
      <c r="A488" s="9">
        <v>46225.0</v>
      </c>
      <c r="B488" s="4">
        <v>1302.0</v>
      </c>
      <c r="C488" s="4">
        <v>1304.6</v>
      </c>
      <c r="D488" s="4">
        <v>1280.7</v>
      </c>
      <c r="E488" s="4">
        <v>1303.7</v>
      </c>
      <c r="F488" s="4">
        <v>1288.6</v>
      </c>
      <c r="G488" s="4">
        <v>1291.01</v>
      </c>
      <c r="H488" s="1" t="s">
        <v>5582</v>
      </c>
      <c r="I488" s="1" t="s">
        <v>5583</v>
      </c>
      <c r="J488" s="1" t="s">
        <v>5584</v>
      </c>
      <c r="K488" s="7">
        <v>-0.011582419268236662</v>
      </c>
      <c r="L488" s="7">
        <v>-0.007915180029519166</v>
      </c>
      <c r="M488" s="8">
        <f t="shared" si="1"/>
        <v>10840383</v>
      </c>
    </row>
    <row r="489">
      <c r="A489" s="9">
        <v>46226.0</v>
      </c>
      <c r="B489" s="4">
        <v>1283.0</v>
      </c>
      <c r="C489" s="4">
        <v>1287.3</v>
      </c>
      <c r="D489" s="4">
        <v>1268.0</v>
      </c>
      <c r="E489" s="4">
        <v>1288.6</v>
      </c>
      <c r="F489" s="4">
        <v>1272.2</v>
      </c>
      <c r="G489" s="4">
        <v>1275.97</v>
      </c>
      <c r="H489" s="1" t="s">
        <v>5588</v>
      </c>
      <c r="I489" s="1" t="s">
        <v>5590</v>
      </c>
      <c r="J489" s="1" t="s">
        <v>5592</v>
      </c>
      <c r="K489" s="7">
        <v>-0.012726990532360597</v>
      </c>
      <c r="L489" s="7">
        <v>-0.005277908006459403</v>
      </c>
      <c r="M489" s="8">
        <f t="shared" si="1"/>
        <v>12580741</v>
      </c>
    </row>
    <row r="490">
      <c r="A490" s="9">
        <v>46227.0</v>
      </c>
      <c r="B490" s="4">
        <v>1265.0</v>
      </c>
      <c r="C490" s="4">
        <v>1283.4</v>
      </c>
      <c r="D490" s="4">
        <v>1249.8</v>
      </c>
      <c r="E490" s="4">
        <v>1272.2</v>
      </c>
      <c r="F490" s="4">
        <v>1278.0</v>
      </c>
      <c r="G490" s="4">
        <v>1274.32</v>
      </c>
      <c r="H490" s="1" t="s">
        <v>5597</v>
      </c>
      <c r="I490" s="1" t="s">
        <v>5598</v>
      </c>
      <c r="J490" s="1" t="s">
        <v>5599</v>
      </c>
      <c r="K490" s="7">
        <v>0.004559031598805183</v>
      </c>
      <c r="L490" s="7">
        <v>-0.00427950196065279</v>
      </c>
      <c r="M490" s="8">
        <f t="shared" si="1"/>
        <v>9817000</v>
      </c>
    </row>
    <row r="491">
      <c r="A491" s="9">
        <v>46230.0</v>
      </c>
      <c r="B491" s="4">
        <v>1288.2</v>
      </c>
      <c r="C491" s="4">
        <v>1288.7</v>
      </c>
      <c r="D491" s="4">
        <v>1278.0</v>
      </c>
      <c r="E491" s="4">
        <v>1278.0</v>
      </c>
      <c r="F491" s="4">
        <v>1280.0</v>
      </c>
      <c r="G491" s="4">
        <v>1281.07</v>
      </c>
      <c r="H491" s="1" t="s">
        <v>5606</v>
      </c>
      <c r="I491" s="1" t="s">
        <v>5607</v>
      </c>
      <c r="J491" s="1" t="s">
        <v>5608</v>
      </c>
      <c r="K491" s="7">
        <v>0.001564945226917058</v>
      </c>
      <c r="L491" s="7">
        <v>0.009613988879749406</v>
      </c>
      <c r="M491" s="8">
        <f t="shared" si="1"/>
        <v>7163132</v>
      </c>
    </row>
    <row r="492">
      <c r="A492" s="9">
        <v>46231.0</v>
      </c>
      <c r="B492" s="4">
        <v>1275.0</v>
      </c>
      <c r="C492" s="4">
        <v>1279.2</v>
      </c>
      <c r="D492" s="4">
        <v>1265.9</v>
      </c>
      <c r="E492" s="4">
        <v>1280.0</v>
      </c>
      <c r="F492" s="4">
        <v>1267.7</v>
      </c>
      <c r="G492" s="4">
        <v>1271.03</v>
      </c>
      <c r="H492" s="1" t="s">
        <v>5615</v>
      </c>
      <c r="I492" s="1" t="s">
        <v>5616</v>
      </c>
      <c r="J492" s="1" t="s">
        <v>5617</v>
      </c>
      <c r="K492" s="7">
        <v>-0.009609374999999965</v>
      </c>
      <c r="L492" s="7">
        <v>-4.417412104960288E-4</v>
      </c>
      <c r="M492" s="8">
        <f t="shared" si="1"/>
        <v>9312184</v>
      </c>
    </row>
    <row r="493">
      <c r="A493" s="9">
        <v>46232.0</v>
      </c>
      <c r="B493" s="4">
        <v>1275.0</v>
      </c>
      <c r="C493" s="4">
        <v>1282.4</v>
      </c>
      <c r="D493" s="4">
        <v>1268.7</v>
      </c>
      <c r="E493" s="4">
        <v>1267.7</v>
      </c>
      <c r="F493" s="4">
        <v>1275.9</v>
      </c>
      <c r="G493" s="4">
        <v>1275.55</v>
      </c>
      <c r="H493" s="1" t="s">
        <v>5621</v>
      </c>
      <c r="I493" s="1" t="s">
        <v>5622</v>
      </c>
      <c r="J493" s="1" t="s">
        <v>5624</v>
      </c>
      <c r="K493" s="7">
        <v>0.006468407351897172</v>
      </c>
      <c r="L493" s="7">
        <v>0.01104215698332533</v>
      </c>
      <c r="M493" s="8">
        <f t="shared" si="1"/>
        <v>9448307</v>
      </c>
    </row>
    <row r="494">
      <c r="A494" s="9">
        <v>46233.0</v>
      </c>
      <c r="B494" s="4">
        <v>1279.8</v>
      </c>
      <c r="C494" s="4">
        <v>1297.0</v>
      </c>
      <c r="D494" s="4">
        <v>1275.3</v>
      </c>
      <c r="E494" s="4">
        <v>1275.9</v>
      </c>
      <c r="F494" s="4">
        <v>1292.9</v>
      </c>
      <c r="G494" s="4">
        <v>1290.41</v>
      </c>
      <c r="H494" s="1" t="s">
        <v>5630</v>
      </c>
      <c r="I494" s="1" t="s">
        <v>5631</v>
      </c>
      <c r="J494" s="1" t="s">
        <v>5632</v>
      </c>
      <c r="K494" s="7">
        <v>0.013323928207539774</v>
      </c>
      <c r="L494" s="7">
        <v>0.002760801972767265</v>
      </c>
      <c r="M494" s="8">
        <f t="shared" si="1"/>
        <v>12158451</v>
      </c>
    </row>
    <row r="495">
      <c r="A495" s="9">
        <v>46234.0</v>
      </c>
      <c r="B495" s="4">
        <v>1295.0</v>
      </c>
      <c r="C495" s="4">
        <v>1309.7</v>
      </c>
      <c r="D495" s="4">
        <v>1293.6</v>
      </c>
      <c r="E495" s="4">
        <v>1292.9</v>
      </c>
      <c r="F495" s="4">
        <v>1307.8</v>
      </c>
      <c r="G495" s="4">
        <v>1303.09</v>
      </c>
      <c r="H495" s="1" t="s">
        <v>5639</v>
      </c>
      <c r="I495" s="1" t="s">
        <v>5640</v>
      </c>
      <c r="J495" s="1" t="s">
        <v>5643</v>
      </c>
      <c r="K495" s="7">
        <v>0.011524479851496528</v>
      </c>
      <c r="L495" s="7">
        <v>0.002732639310116403</v>
      </c>
      <c r="M495" s="8">
        <f t="shared" si="1"/>
        <v>8624996</v>
      </c>
    </row>
    <row r="496">
      <c r="A496" s="3">
        <v>46237.0</v>
      </c>
      <c r="B496" s="4">
        <v>1315.2</v>
      </c>
      <c r="C496" s="4">
        <v>1319.0</v>
      </c>
      <c r="D496" s="4">
        <v>1306.0</v>
      </c>
      <c r="E496" s="4">
        <v>1307.8</v>
      </c>
      <c r="F496" s="4">
        <v>1319.0</v>
      </c>
      <c r="G496" s="4">
        <v>1311.09</v>
      </c>
      <c r="H496" s="1" t="s">
        <v>5646</v>
      </c>
      <c r="I496" s="1" t="s">
        <v>5649</v>
      </c>
      <c r="J496" s="1" t="s">
        <v>5653</v>
      </c>
      <c r="K496" s="7">
        <v>0.008564000611714364</v>
      </c>
      <c r="L496" s="7">
        <v>0.01602306468281963</v>
      </c>
      <c r="M496" s="8">
        <f t="shared" si="1"/>
        <v>7508023</v>
      </c>
    </row>
    <row r="497">
      <c r="K497" s="7"/>
    </row>
    <row r="498">
      <c r="K498" s="7"/>
    </row>
    <row r="499">
      <c r="K499" s="7"/>
    </row>
    <row r="500">
      <c r="K500" s="7"/>
    </row>
    <row r="501">
      <c r="K501" s="7"/>
    </row>
    <row r="502">
      <c r="K502" s="7"/>
    </row>
    <row r="503">
      <c r="K503" s="7"/>
    </row>
    <row r="504">
      <c r="K504" s="7"/>
    </row>
    <row r="505">
      <c r="K505" s="7"/>
    </row>
    <row r="506">
      <c r="K506" s="7"/>
    </row>
    <row r="507">
      <c r="K507" s="7"/>
    </row>
    <row r="508">
      <c r="K508" s="7"/>
    </row>
    <row r="509">
      <c r="K509" s="7"/>
    </row>
    <row r="510">
      <c r="K510" s="7"/>
    </row>
    <row r="511">
      <c r="K511" s="7"/>
    </row>
    <row r="512">
      <c r="K512" s="7"/>
    </row>
    <row r="513">
      <c r="K513" s="7"/>
    </row>
    <row r="514">
      <c r="K514" s="7"/>
    </row>
    <row r="515">
      <c r="K515" s="7"/>
    </row>
    <row r="516">
      <c r="K516" s="7"/>
    </row>
    <row r="517">
      <c r="K517" s="7"/>
    </row>
    <row r="518">
      <c r="K518" s="7"/>
    </row>
    <row r="519">
      <c r="K519" s="7"/>
    </row>
    <row r="520">
      <c r="K520" s="7"/>
    </row>
    <row r="521">
      <c r="K521" s="7"/>
    </row>
    <row r="522">
      <c r="K522" s="7"/>
    </row>
    <row r="523">
      <c r="K523" s="7"/>
    </row>
    <row r="524">
      <c r="K524" s="7"/>
    </row>
    <row r="525">
      <c r="K525" s="7"/>
    </row>
    <row r="526">
      <c r="K526" s="7"/>
    </row>
    <row r="527">
      <c r="K527" s="7"/>
    </row>
    <row r="528">
      <c r="K528" s="7"/>
    </row>
    <row r="529">
      <c r="K529" s="7"/>
    </row>
    <row r="530">
      <c r="K530" s="7"/>
    </row>
    <row r="531">
      <c r="K531" s="7"/>
    </row>
    <row r="532">
      <c r="K532" s="7"/>
    </row>
    <row r="533">
      <c r="K533" s="7"/>
    </row>
    <row r="534">
      <c r="K534" s="7"/>
    </row>
    <row r="535">
      <c r="K535" s="7"/>
    </row>
    <row r="536">
      <c r="K536" s="7"/>
    </row>
    <row r="537">
      <c r="K537" s="7"/>
    </row>
    <row r="538">
      <c r="K538" s="7"/>
    </row>
    <row r="539">
      <c r="K539" s="7"/>
    </row>
    <row r="540">
      <c r="K540" s="7"/>
    </row>
    <row r="541">
      <c r="K541" s="7"/>
    </row>
    <row r="542">
      <c r="K542" s="7"/>
    </row>
    <row r="543">
      <c r="K543" s="7"/>
    </row>
    <row r="544">
      <c r="K544" s="7"/>
    </row>
    <row r="545">
      <c r="K545" s="7"/>
    </row>
    <row r="546">
      <c r="K546" s="7"/>
    </row>
    <row r="547">
      <c r="K547" s="7"/>
    </row>
    <row r="548">
      <c r="K548" s="7"/>
    </row>
    <row r="549">
      <c r="K549" s="7"/>
    </row>
    <row r="550">
      <c r="K550" s="7"/>
    </row>
    <row r="551">
      <c r="K551" s="7"/>
    </row>
    <row r="552">
      <c r="K552" s="7"/>
    </row>
    <row r="553">
      <c r="K553" s="7"/>
    </row>
    <row r="554">
      <c r="K554" s="7"/>
    </row>
    <row r="555">
      <c r="K555" s="7"/>
    </row>
    <row r="556">
      <c r="K556" s="7"/>
    </row>
    <row r="557">
      <c r="K557" s="7"/>
    </row>
    <row r="558">
      <c r="K558" s="7"/>
    </row>
    <row r="559">
      <c r="K559" s="7"/>
    </row>
    <row r="560">
      <c r="K560" s="7"/>
    </row>
    <row r="561">
      <c r="K561" s="7"/>
    </row>
    <row r="562">
      <c r="K562" s="7"/>
    </row>
    <row r="563">
      <c r="K563" s="7"/>
    </row>
    <row r="564">
      <c r="K564" s="7"/>
    </row>
    <row r="565">
      <c r="K565" s="7"/>
    </row>
    <row r="566">
      <c r="K566" s="7"/>
    </row>
    <row r="567">
      <c r="K567" s="7"/>
    </row>
    <row r="568">
      <c r="K568" s="7"/>
    </row>
    <row r="569">
      <c r="K569" s="7"/>
    </row>
    <row r="570">
      <c r="K570" s="7"/>
    </row>
    <row r="571">
      <c r="K571" s="7"/>
    </row>
    <row r="572">
      <c r="K572" s="7"/>
    </row>
    <row r="573">
      <c r="K573" s="7"/>
    </row>
    <row r="574">
      <c r="K574" s="7"/>
    </row>
    <row r="575">
      <c r="K575" s="7"/>
    </row>
    <row r="576">
      <c r="K576" s="7"/>
    </row>
    <row r="577">
      <c r="K577" s="7"/>
    </row>
    <row r="578">
      <c r="K578" s="7"/>
    </row>
    <row r="579">
      <c r="K579" s="7"/>
    </row>
    <row r="580">
      <c r="K580" s="7"/>
    </row>
    <row r="581">
      <c r="K581" s="7"/>
    </row>
    <row r="582">
      <c r="K582" s="7"/>
    </row>
    <row r="583">
      <c r="K583" s="7"/>
    </row>
    <row r="584">
      <c r="K584" s="7"/>
    </row>
    <row r="585">
      <c r="K585" s="7"/>
    </row>
    <row r="586">
      <c r="K586" s="7"/>
    </row>
    <row r="587">
      <c r="K587" s="7"/>
    </row>
    <row r="588">
      <c r="K588" s="7"/>
    </row>
    <row r="589">
      <c r="K589" s="7"/>
    </row>
    <row r="590">
      <c r="K590" s="7"/>
    </row>
    <row r="591">
      <c r="K591" s="7"/>
    </row>
    <row r="592">
      <c r="K592" s="7"/>
    </row>
    <row r="593">
      <c r="K593" s="7"/>
    </row>
    <row r="594">
      <c r="K594" s="7"/>
    </row>
    <row r="595">
      <c r="K595" s="7"/>
    </row>
    <row r="596">
      <c r="K596" s="7"/>
    </row>
    <row r="597">
      <c r="K597" s="7"/>
    </row>
    <row r="598">
      <c r="K598" s="7"/>
    </row>
    <row r="599">
      <c r="K599" s="7"/>
    </row>
    <row r="600">
      <c r="K600" s="7"/>
    </row>
    <row r="601">
      <c r="K601" s="7"/>
    </row>
    <row r="602">
      <c r="K602" s="7"/>
    </row>
    <row r="603">
      <c r="K603" s="7"/>
    </row>
    <row r="604">
      <c r="K604" s="7"/>
    </row>
    <row r="605">
      <c r="K605" s="7"/>
    </row>
    <row r="606">
      <c r="K606" s="7"/>
    </row>
    <row r="607">
      <c r="K607" s="7"/>
    </row>
    <row r="608">
      <c r="K608" s="7"/>
    </row>
    <row r="609">
      <c r="K609" s="7"/>
    </row>
    <row r="610">
      <c r="K610" s="7"/>
    </row>
    <row r="611">
      <c r="K611" s="7"/>
    </row>
    <row r="612">
      <c r="K612" s="7"/>
    </row>
    <row r="613">
      <c r="K613" s="7"/>
    </row>
    <row r="614">
      <c r="K614" s="7"/>
    </row>
    <row r="615">
      <c r="K615" s="7"/>
    </row>
    <row r="616">
      <c r="K616" s="7"/>
    </row>
    <row r="617">
      <c r="K617" s="7"/>
    </row>
    <row r="618">
      <c r="K618" s="7"/>
    </row>
    <row r="619">
      <c r="K619" s="7"/>
    </row>
    <row r="620">
      <c r="K620" s="7"/>
    </row>
    <row r="621">
      <c r="K621" s="7"/>
    </row>
    <row r="622">
      <c r="K622" s="7"/>
    </row>
    <row r="623">
      <c r="K623" s="7"/>
    </row>
    <row r="624">
      <c r="K624" s="7"/>
    </row>
    <row r="625">
      <c r="K625" s="7"/>
    </row>
    <row r="626">
      <c r="K626" s="7"/>
    </row>
    <row r="627">
      <c r="K627" s="7"/>
    </row>
    <row r="628">
      <c r="K628" s="7"/>
    </row>
    <row r="629">
      <c r="K629" s="7"/>
    </row>
    <row r="630">
      <c r="K630" s="7"/>
    </row>
    <row r="631">
      <c r="K631" s="7"/>
    </row>
    <row r="632">
      <c r="K632" s="7"/>
    </row>
    <row r="633">
      <c r="K633" s="7"/>
    </row>
    <row r="634">
      <c r="K634" s="7"/>
    </row>
    <row r="635">
      <c r="K635" s="7"/>
    </row>
    <row r="636">
      <c r="K636" s="7"/>
    </row>
    <row r="637">
      <c r="K637" s="7"/>
    </row>
    <row r="638">
      <c r="K638" s="7"/>
    </row>
    <row r="639">
      <c r="K639" s="7"/>
    </row>
    <row r="640">
      <c r="K640" s="7"/>
    </row>
    <row r="641">
      <c r="K641" s="7"/>
    </row>
    <row r="642">
      <c r="K642" s="7"/>
    </row>
    <row r="643">
      <c r="K643" s="7"/>
    </row>
    <row r="644">
      <c r="K644" s="7"/>
    </row>
    <row r="645">
      <c r="K645" s="7"/>
    </row>
    <row r="646">
      <c r="K646" s="7"/>
    </row>
    <row r="647">
      <c r="K647" s="7"/>
    </row>
    <row r="648">
      <c r="K648" s="7"/>
    </row>
    <row r="649">
      <c r="K649" s="7"/>
    </row>
    <row r="650">
      <c r="K650" s="7"/>
    </row>
    <row r="651">
      <c r="K651" s="7"/>
    </row>
    <row r="652">
      <c r="K652" s="7"/>
    </row>
    <row r="653">
      <c r="K653" s="7"/>
    </row>
    <row r="654">
      <c r="K654" s="7"/>
    </row>
    <row r="655">
      <c r="K655" s="7"/>
    </row>
    <row r="656">
      <c r="K656" s="7"/>
    </row>
    <row r="657">
      <c r="K657" s="7"/>
    </row>
    <row r="658">
      <c r="K658" s="7"/>
    </row>
    <row r="659">
      <c r="K659" s="7"/>
    </row>
    <row r="660">
      <c r="K660" s="7"/>
    </row>
    <row r="661">
      <c r="K661" s="7"/>
    </row>
    <row r="662">
      <c r="K662" s="7"/>
    </row>
    <row r="663">
      <c r="K663" s="7"/>
    </row>
    <row r="664">
      <c r="K664" s="7"/>
    </row>
    <row r="665">
      <c r="K665" s="7"/>
    </row>
    <row r="666">
      <c r="K666" s="7"/>
    </row>
    <row r="667">
      <c r="K667" s="7"/>
    </row>
    <row r="668">
      <c r="K668" s="7"/>
    </row>
    <row r="669">
      <c r="K669" s="7"/>
    </row>
    <row r="670">
      <c r="K670" s="7"/>
    </row>
    <row r="671">
      <c r="K671" s="7"/>
    </row>
    <row r="672">
      <c r="K672" s="7"/>
    </row>
    <row r="673">
      <c r="K673" s="7"/>
    </row>
    <row r="674">
      <c r="K674" s="7"/>
    </row>
    <row r="675">
      <c r="K675" s="7"/>
    </row>
    <row r="676">
      <c r="K676" s="7"/>
    </row>
    <row r="677">
      <c r="K677" s="7"/>
    </row>
    <row r="678">
      <c r="K678" s="7"/>
    </row>
    <row r="679">
      <c r="K679" s="7"/>
    </row>
    <row r="680">
      <c r="K680" s="7"/>
    </row>
    <row r="681">
      <c r="K681" s="7"/>
    </row>
    <row r="682">
      <c r="K682" s="7"/>
    </row>
    <row r="683">
      <c r="K683" s="7"/>
    </row>
    <row r="684">
      <c r="K684" s="7"/>
    </row>
    <row r="685">
      <c r="K685" s="7"/>
    </row>
    <row r="686">
      <c r="K686" s="7"/>
    </row>
    <row r="687">
      <c r="K687" s="7"/>
    </row>
    <row r="688">
      <c r="K688" s="7"/>
    </row>
    <row r="689">
      <c r="K689" s="7"/>
    </row>
    <row r="690">
      <c r="K690" s="7"/>
    </row>
    <row r="691">
      <c r="K691" s="7"/>
    </row>
    <row r="692">
      <c r="K692" s="7"/>
    </row>
    <row r="693">
      <c r="K693" s="7"/>
    </row>
    <row r="694">
      <c r="K694" s="7"/>
    </row>
    <row r="695">
      <c r="K695" s="7"/>
    </row>
    <row r="696">
      <c r="K696" s="7"/>
    </row>
    <row r="697">
      <c r="K697" s="7"/>
    </row>
    <row r="698">
      <c r="K698" s="7"/>
    </row>
    <row r="699">
      <c r="K699" s="7"/>
    </row>
    <row r="700">
      <c r="K700" s="7"/>
    </row>
    <row r="701">
      <c r="K701" s="7"/>
    </row>
    <row r="702">
      <c r="K702" s="7"/>
    </row>
    <row r="703">
      <c r="K703" s="7"/>
    </row>
    <row r="704">
      <c r="K704" s="7"/>
    </row>
    <row r="705">
      <c r="K705" s="7"/>
    </row>
    <row r="706">
      <c r="K706" s="7"/>
    </row>
    <row r="707">
      <c r="K707" s="7"/>
    </row>
    <row r="708">
      <c r="K708" s="7"/>
    </row>
    <row r="709">
      <c r="K709" s="7"/>
    </row>
    <row r="710">
      <c r="K710" s="7"/>
    </row>
    <row r="711">
      <c r="K711" s="7"/>
    </row>
    <row r="712">
      <c r="K712" s="7"/>
    </row>
    <row r="713">
      <c r="K713" s="7"/>
    </row>
    <row r="714">
      <c r="K714" s="7"/>
    </row>
    <row r="715">
      <c r="K715" s="7"/>
    </row>
    <row r="716">
      <c r="K716" s="7"/>
    </row>
    <row r="717">
      <c r="K717" s="7"/>
    </row>
    <row r="718">
      <c r="K718" s="7"/>
    </row>
    <row r="719">
      <c r="K719" s="7"/>
    </row>
    <row r="720">
      <c r="K720" s="7"/>
    </row>
    <row r="721">
      <c r="K721" s="7"/>
    </row>
    <row r="722">
      <c r="K722" s="7"/>
    </row>
    <row r="723">
      <c r="K723" s="7"/>
    </row>
    <row r="724">
      <c r="K724" s="7"/>
    </row>
    <row r="725">
      <c r="K725" s="7"/>
    </row>
    <row r="726">
      <c r="K726" s="7"/>
    </row>
    <row r="727">
      <c r="K727" s="7"/>
    </row>
    <row r="728">
      <c r="K728" s="7"/>
    </row>
    <row r="729">
      <c r="K729" s="7"/>
    </row>
    <row r="730">
      <c r="K730" s="7"/>
    </row>
    <row r="731">
      <c r="K731" s="7"/>
    </row>
    <row r="732">
      <c r="K732" s="7"/>
    </row>
    <row r="733">
      <c r="K733" s="7"/>
    </row>
    <row r="734">
      <c r="K734" s="7"/>
    </row>
    <row r="735">
      <c r="K735" s="7"/>
    </row>
    <row r="736">
      <c r="K736" s="7"/>
    </row>
    <row r="737">
      <c r="K737" s="7"/>
    </row>
    <row r="738">
      <c r="K738" s="7"/>
    </row>
    <row r="739">
      <c r="K739" s="7"/>
    </row>
    <row r="740">
      <c r="K740" s="7"/>
    </row>
    <row r="741">
      <c r="K741" s="7"/>
    </row>
    <row r="742">
      <c r="K742" s="7"/>
    </row>
    <row r="743">
      <c r="K743" s="7"/>
    </row>
    <row r="744">
      <c r="K744" s="7"/>
    </row>
    <row r="745">
      <c r="K745" s="7"/>
    </row>
    <row r="746">
      <c r="K746" s="7"/>
    </row>
    <row r="747">
      <c r="K747" s="7"/>
    </row>
    <row r="748">
      <c r="K748" s="7"/>
    </row>
    <row r="749">
      <c r="K749" s="7"/>
    </row>
    <row r="750">
      <c r="K750" s="7"/>
    </row>
    <row r="751">
      <c r="K751" s="7"/>
    </row>
    <row r="752">
      <c r="K752" s="7"/>
    </row>
    <row r="753">
      <c r="K753" s="7"/>
    </row>
    <row r="754">
      <c r="K754" s="7"/>
    </row>
    <row r="755">
      <c r="K755" s="7"/>
    </row>
    <row r="756">
      <c r="K756" s="7"/>
    </row>
    <row r="757">
      <c r="K757" s="7"/>
    </row>
    <row r="758">
      <c r="K758" s="7"/>
    </row>
    <row r="759">
      <c r="K759" s="7"/>
    </row>
    <row r="760">
      <c r="K760" s="7"/>
    </row>
    <row r="761">
      <c r="K761" s="7"/>
    </row>
    <row r="762">
      <c r="K762" s="7"/>
    </row>
    <row r="763">
      <c r="K763" s="7"/>
    </row>
    <row r="764">
      <c r="K764" s="7"/>
    </row>
    <row r="765">
      <c r="K765" s="7"/>
    </row>
    <row r="766">
      <c r="K766" s="7"/>
    </row>
    <row r="767">
      <c r="K767" s="7"/>
    </row>
    <row r="768">
      <c r="K768" s="7"/>
    </row>
    <row r="769">
      <c r="K769" s="7"/>
    </row>
    <row r="770">
      <c r="K770" s="7"/>
    </row>
    <row r="771">
      <c r="K771" s="7"/>
    </row>
    <row r="772">
      <c r="K772" s="7"/>
    </row>
    <row r="773">
      <c r="K773" s="7"/>
    </row>
    <row r="774">
      <c r="K774" s="7"/>
    </row>
    <row r="775">
      <c r="K775" s="7"/>
    </row>
    <row r="776">
      <c r="K776" s="7"/>
    </row>
    <row r="777">
      <c r="K777" s="7"/>
    </row>
    <row r="778">
      <c r="K778" s="7"/>
    </row>
    <row r="779">
      <c r="K779" s="7"/>
    </row>
    <row r="780">
      <c r="K780" s="7"/>
    </row>
    <row r="781">
      <c r="K781" s="7"/>
    </row>
    <row r="782">
      <c r="K782" s="7"/>
    </row>
    <row r="783">
      <c r="K783" s="7"/>
    </row>
    <row r="784">
      <c r="K784" s="7"/>
    </row>
    <row r="785">
      <c r="K785" s="7"/>
    </row>
    <row r="786">
      <c r="K786" s="7"/>
    </row>
    <row r="787">
      <c r="K787" s="7"/>
    </row>
    <row r="788">
      <c r="K788" s="7"/>
    </row>
    <row r="789">
      <c r="K789" s="7"/>
    </row>
    <row r="790">
      <c r="K790" s="7"/>
    </row>
    <row r="791">
      <c r="K791" s="7"/>
    </row>
    <row r="792">
      <c r="K792" s="7"/>
    </row>
    <row r="793">
      <c r="K793" s="7"/>
    </row>
    <row r="794">
      <c r="K794" s="7"/>
    </row>
    <row r="795">
      <c r="K795" s="7"/>
    </row>
    <row r="796">
      <c r="K796" s="7"/>
    </row>
    <row r="797">
      <c r="K797" s="7"/>
    </row>
    <row r="798">
      <c r="K798" s="7"/>
    </row>
    <row r="799">
      <c r="K799" s="7"/>
    </row>
    <row r="800">
      <c r="K800" s="7"/>
    </row>
    <row r="801">
      <c r="K801" s="7"/>
    </row>
    <row r="802">
      <c r="K802" s="7"/>
    </row>
    <row r="803">
      <c r="K803" s="7"/>
    </row>
    <row r="804">
      <c r="K804" s="7"/>
    </row>
    <row r="805">
      <c r="K805" s="7"/>
    </row>
    <row r="806">
      <c r="K806" s="7"/>
    </row>
    <row r="807">
      <c r="K807" s="7"/>
    </row>
    <row r="808">
      <c r="K808" s="7"/>
    </row>
    <row r="809">
      <c r="K809" s="7"/>
    </row>
    <row r="810">
      <c r="K810" s="7"/>
    </row>
    <row r="811">
      <c r="K811" s="7"/>
    </row>
    <row r="812">
      <c r="K812" s="7"/>
    </row>
    <row r="813">
      <c r="K813" s="7"/>
    </row>
    <row r="814">
      <c r="K814" s="7"/>
    </row>
    <row r="815">
      <c r="K815" s="7"/>
    </row>
    <row r="816">
      <c r="K816" s="7"/>
    </row>
    <row r="817">
      <c r="K817" s="7"/>
    </row>
    <row r="818">
      <c r="K818" s="7"/>
    </row>
    <row r="819">
      <c r="K819" s="7"/>
    </row>
    <row r="820">
      <c r="K820" s="7"/>
    </row>
    <row r="821">
      <c r="K821" s="7"/>
    </row>
    <row r="822">
      <c r="K822" s="7"/>
    </row>
    <row r="823">
      <c r="K823" s="7"/>
    </row>
    <row r="824">
      <c r="K824" s="7"/>
    </row>
    <row r="825">
      <c r="K825" s="7"/>
    </row>
    <row r="826">
      <c r="K826" s="7"/>
    </row>
    <row r="827">
      <c r="K827" s="7"/>
    </row>
    <row r="828">
      <c r="K828" s="7"/>
    </row>
    <row r="829">
      <c r="K829" s="7"/>
    </row>
    <row r="830">
      <c r="K830" s="7"/>
    </row>
    <row r="831">
      <c r="K831" s="7"/>
    </row>
    <row r="832">
      <c r="K832" s="7"/>
    </row>
    <row r="833">
      <c r="K833" s="7"/>
    </row>
    <row r="834">
      <c r="K834" s="7"/>
    </row>
    <row r="835">
      <c r="K835" s="7"/>
    </row>
    <row r="836">
      <c r="K836" s="7"/>
    </row>
    <row r="837">
      <c r="K837" s="7"/>
    </row>
    <row r="838">
      <c r="K838" s="7"/>
    </row>
    <row r="839">
      <c r="K839" s="7"/>
    </row>
    <row r="840">
      <c r="K840" s="7"/>
    </row>
    <row r="841">
      <c r="K841" s="7"/>
    </row>
    <row r="842">
      <c r="K842" s="7"/>
    </row>
    <row r="843">
      <c r="K843" s="7"/>
    </row>
    <row r="844">
      <c r="K844" s="7"/>
    </row>
    <row r="845">
      <c r="K845" s="7"/>
    </row>
    <row r="846">
      <c r="K846" s="7"/>
    </row>
    <row r="847">
      <c r="K847" s="7"/>
    </row>
    <row r="848">
      <c r="K848" s="7"/>
    </row>
    <row r="849">
      <c r="K849" s="7"/>
    </row>
    <row r="850">
      <c r="K850" s="7"/>
    </row>
    <row r="851">
      <c r="K851" s="7"/>
    </row>
    <row r="852">
      <c r="K852" s="7"/>
    </row>
    <row r="853">
      <c r="K853" s="7"/>
    </row>
    <row r="854">
      <c r="K854" s="7"/>
    </row>
    <row r="855">
      <c r="K855" s="7"/>
    </row>
    <row r="856">
      <c r="K856" s="7"/>
    </row>
    <row r="857">
      <c r="K857" s="7"/>
    </row>
    <row r="858">
      <c r="K858" s="7"/>
    </row>
    <row r="859">
      <c r="K859" s="7"/>
    </row>
    <row r="860">
      <c r="K860" s="7"/>
    </row>
    <row r="861">
      <c r="K861" s="7"/>
    </row>
    <row r="862">
      <c r="K862" s="7"/>
    </row>
    <row r="863">
      <c r="K863" s="7"/>
    </row>
    <row r="864">
      <c r="K864" s="7"/>
    </row>
    <row r="865">
      <c r="K865" s="7"/>
    </row>
    <row r="866">
      <c r="K866" s="7"/>
    </row>
    <row r="867">
      <c r="K867" s="7"/>
    </row>
    <row r="868">
      <c r="K868" s="7"/>
    </row>
    <row r="869">
      <c r="K869" s="7"/>
    </row>
    <row r="870">
      <c r="K870" s="7"/>
    </row>
    <row r="871">
      <c r="K871" s="7"/>
    </row>
    <row r="872">
      <c r="K872" s="7"/>
    </row>
    <row r="873">
      <c r="K873" s="7"/>
    </row>
    <row r="874">
      <c r="K874" s="7"/>
    </row>
    <row r="875">
      <c r="K875" s="7"/>
    </row>
    <row r="876">
      <c r="K876" s="7"/>
    </row>
    <row r="877">
      <c r="K877" s="7"/>
    </row>
    <row r="878">
      <c r="K878" s="7"/>
    </row>
    <row r="879">
      <c r="K879" s="7"/>
    </row>
    <row r="880">
      <c r="K880" s="7"/>
    </row>
    <row r="881">
      <c r="K881" s="7"/>
    </row>
    <row r="882">
      <c r="K882" s="7"/>
    </row>
    <row r="883">
      <c r="K883" s="7"/>
    </row>
    <row r="884">
      <c r="K884" s="7"/>
    </row>
    <row r="885">
      <c r="K885" s="7"/>
    </row>
    <row r="886">
      <c r="K886" s="7"/>
    </row>
    <row r="887">
      <c r="K887" s="7"/>
    </row>
    <row r="888">
      <c r="K888" s="7"/>
    </row>
    <row r="889">
      <c r="K889" s="7"/>
    </row>
    <row r="890">
      <c r="K890" s="7"/>
    </row>
    <row r="891">
      <c r="K891" s="7"/>
    </row>
    <row r="892">
      <c r="K892" s="7"/>
    </row>
    <row r="893">
      <c r="K893" s="7"/>
    </row>
    <row r="894">
      <c r="K894" s="7"/>
    </row>
    <row r="895">
      <c r="K895" s="7"/>
    </row>
    <row r="896">
      <c r="K896" s="7"/>
    </row>
    <row r="897">
      <c r="K897" s="7"/>
    </row>
    <row r="898">
      <c r="K898" s="7"/>
    </row>
    <row r="899">
      <c r="K899" s="7"/>
    </row>
    <row r="900">
      <c r="K900" s="7"/>
    </row>
    <row r="901">
      <c r="K901" s="7"/>
    </row>
    <row r="902">
      <c r="K902" s="7"/>
    </row>
    <row r="903">
      <c r="K903" s="7"/>
    </row>
    <row r="904">
      <c r="K904" s="7"/>
    </row>
    <row r="905">
      <c r="K905" s="7"/>
    </row>
    <row r="906">
      <c r="K906" s="7"/>
    </row>
    <row r="907">
      <c r="K907" s="7"/>
    </row>
    <row r="908">
      <c r="K908" s="7"/>
    </row>
    <row r="909">
      <c r="K909" s="7"/>
    </row>
    <row r="910">
      <c r="K910" s="7"/>
    </row>
    <row r="911">
      <c r="K911" s="7"/>
    </row>
    <row r="912">
      <c r="K912" s="7"/>
    </row>
    <row r="913">
      <c r="K913" s="7"/>
    </row>
    <row r="914">
      <c r="K914" s="7"/>
    </row>
    <row r="915">
      <c r="K915" s="7"/>
    </row>
    <row r="916">
      <c r="K916" s="7"/>
    </row>
    <row r="917">
      <c r="K917" s="7"/>
    </row>
    <row r="918">
      <c r="K918" s="7"/>
    </row>
    <row r="919">
      <c r="K919" s="7"/>
    </row>
    <row r="920">
      <c r="K920" s="7"/>
    </row>
    <row r="921">
      <c r="K921" s="7"/>
    </row>
    <row r="922">
      <c r="K922" s="7"/>
    </row>
    <row r="923">
      <c r="K923" s="7"/>
    </row>
    <row r="924">
      <c r="K924" s="7"/>
    </row>
    <row r="925">
      <c r="K925" s="7"/>
    </row>
    <row r="926">
      <c r="K926" s="7"/>
    </row>
    <row r="927">
      <c r="K927" s="7"/>
    </row>
    <row r="928">
      <c r="K928" s="7"/>
    </row>
    <row r="929">
      <c r="K929" s="7"/>
    </row>
    <row r="930">
      <c r="K930" s="7"/>
    </row>
    <row r="931">
      <c r="K931" s="7"/>
    </row>
    <row r="932">
      <c r="K932" s="7"/>
    </row>
    <row r="933">
      <c r="K933" s="7"/>
    </row>
    <row r="934">
      <c r="K934" s="7"/>
    </row>
    <row r="935">
      <c r="K935" s="7"/>
    </row>
    <row r="936">
      <c r="K936" s="7"/>
    </row>
    <row r="937">
      <c r="K937" s="7"/>
    </row>
    <row r="938">
      <c r="K938" s="7"/>
    </row>
    <row r="939">
      <c r="K939" s="7"/>
    </row>
    <row r="940">
      <c r="K940" s="7"/>
    </row>
    <row r="941">
      <c r="K941" s="7"/>
    </row>
    <row r="942">
      <c r="K942" s="7"/>
    </row>
    <row r="943">
      <c r="K943" s="7"/>
    </row>
    <row r="944">
      <c r="K944" s="7"/>
    </row>
    <row r="945">
      <c r="K945" s="7"/>
    </row>
    <row r="946">
      <c r="K946" s="7"/>
    </row>
    <row r="947">
      <c r="K947" s="7"/>
    </row>
    <row r="948">
      <c r="K948" s="7"/>
    </row>
    <row r="949">
      <c r="K949" s="7"/>
    </row>
    <row r="950">
      <c r="K950" s="7"/>
    </row>
    <row r="951">
      <c r="K951" s="7"/>
    </row>
    <row r="952">
      <c r="K952" s="7"/>
    </row>
    <row r="953">
      <c r="K953" s="7"/>
    </row>
    <row r="954">
      <c r="K954" s="7"/>
    </row>
    <row r="955">
      <c r="K955" s="7"/>
    </row>
    <row r="956">
      <c r="K956" s="7"/>
    </row>
    <row r="957">
      <c r="K957" s="7"/>
    </row>
    <row r="958">
      <c r="K958" s="7"/>
    </row>
    <row r="959">
      <c r="K959" s="7"/>
    </row>
    <row r="960">
      <c r="K960" s="7"/>
    </row>
    <row r="961">
      <c r="K961" s="7"/>
    </row>
    <row r="962">
      <c r="K962" s="7"/>
    </row>
    <row r="963">
      <c r="K963" s="7"/>
    </row>
    <row r="964">
      <c r="K964" s="7"/>
    </row>
    <row r="965">
      <c r="K965" s="7"/>
    </row>
    <row r="966">
      <c r="K966" s="7"/>
    </row>
    <row r="967">
      <c r="K967" s="7"/>
    </row>
    <row r="968">
      <c r="K968" s="7"/>
    </row>
    <row r="969">
      <c r="K969" s="7"/>
    </row>
    <row r="970">
      <c r="K970" s="7"/>
    </row>
    <row r="971">
      <c r="K971" s="7"/>
    </row>
    <row r="972">
      <c r="K972" s="7"/>
    </row>
    <row r="973">
      <c r="K973" s="7"/>
    </row>
    <row r="974">
      <c r="K974" s="7"/>
    </row>
    <row r="975">
      <c r="K975" s="7"/>
    </row>
    <row r="976">
      <c r="K976" s="7"/>
    </row>
    <row r="977">
      <c r="K977" s="7"/>
    </row>
    <row r="978">
      <c r="K978" s="7"/>
    </row>
    <row r="979">
      <c r="K979" s="7"/>
    </row>
    <row r="980">
      <c r="K980" s="7"/>
    </row>
    <row r="981">
      <c r="K981" s="7"/>
    </row>
    <row r="982">
      <c r="K982" s="7"/>
    </row>
    <row r="983">
      <c r="K983" s="7"/>
    </row>
    <row r="984">
      <c r="K984" s="7"/>
    </row>
    <row r="985">
      <c r="K985" s="7"/>
    </row>
    <row r="986">
      <c r="K986" s="7"/>
    </row>
    <row r="987">
      <c r="K987" s="7"/>
    </row>
    <row r="988">
      <c r="K988" s="7"/>
    </row>
    <row r="989">
      <c r="K989" s="7"/>
    </row>
    <row r="990">
      <c r="K990" s="7"/>
    </row>
    <row r="991">
      <c r="K991" s="7"/>
    </row>
    <row r="992">
      <c r="K992" s="7"/>
    </row>
    <row r="993">
      <c r="K993" s="7"/>
    </row>
    <row r="994">
      <c r="K994" s="7"/>
    </row>
    <row r="995">
      <c r="K995" s="7"/>
    </row>
    <row r="996">
      <c r="K996" s="7"/>
    </row>
    <row r="997">
      <c r="K997" s="7"/>
    </row>
    <row r="998">
      <c r="K998" s="7"/>
    </row>
    <row r="999">
      <c r="K999" s="7"/>
    </row>
    <row r="1000">
      <c r="K1000" s="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49</v>
      </c>
      <c r="F1" s="1" t="s">
        <v>5</v>
      </c>
      <c r="G1" s="1" t="s">
        <v>6</v>
      </c>
      <c r="H1" s="1" t="s">
        <v>7</v>
      </c>
      <c r="I1" s="1" t="s">
        <v>8</v>
      </c>
      <c r="J1" s="1" t="s">
        <v>9</v>
      </c>
      <c r="K1" s="10" t="s">
        <v>10</v>
      </c>
      <c r="L1" s="1" t="s">
        <v>11</v>
      </c>
    </row>
    <row r="2">
      <c r="A2" s="3">
        <v>45509.0</v>
      </c>
      <c r="B2" s="4">
        <v>4239.0</v>
      </c>
      <c r="C2" s="4">
        <v>4239.0</v>
      </c>
      <c r="D2" s="4">
        <v>4110.5</v>
      </c>
      <c r="E2" s="4">
        <v>4160.0</v>
      </c>
      <c r="F2" s="4">
        <v>4155.05</v>
      </c>
      <c r="G2" s="4">
        <v>4165.25</v>
      </c>
      <c r="H2" s="1" t="s">
        <v>71</v>
      </c>
      <c r="I2" s="1" t="s">
        <v>72</v>
      </c>
      <c r="J2" s="1" t="s">
        <v>74</v>
      </c>
      <c r="K2" s="7"/>
      <c r="L2" s="7"/>
      <c r="M2" s="1">
        <f t="shared" ref="M2:M496" si="1">VALUE(SUBSTITUTE(H2,",",""))</f>
        <v>2787771</v>
      </c>
    </row>
    <row r="3">
      <c r="A3" s="3">
        <v>45510.0</v>
      </c>
      <c r="B3" s="4">
        <v>4170.95</v>
      </c>
      <c r="C3" s="4">
        <v>4258.25</v>
      </c>
      <c r="D3" s="4">
        <v>4160.8</v>
      </c>
      <c r="E3" s="4">
        <v>4175.1</v>
      </c>
      <c r="F3" s="4">
        <v>4171.2</v>
      </c>
      <c r="G3" s="4">
        <v>4193.98</v>
      </c>
      <c r="H3" s="1" t="s">
        <v>104</v>
      </c>
      <c r="I3" s="1" t="s">
        <v>105</v>
      </c>
      <c r="J3" s="1" t="s">
        <v>106</v>
      </c>
      <c r="K3" s="7">
        <f t="shared" ref="K3:K496" si="2">(F3-F2)/F2</f>
        <v>0.0038868365</v>
      </c>
      <c r="L3" s="7">
        <v>-0.0026210113237665773</v>
      </c>
      <c r="M3" s="1">
        <f t="shared" si="1"/>
        <v>2203067</v>
      </c>
    </row>
    <row r="4">
      <c r="A4" s="3">
        <v>45511.0</v>
      </c>
      <c r="B4" s="4">
        <v>4228.0</v>
      </c>
      <c r="C4" s="4">
        <v>4244.95</v>
      </c>
      <c r="D4" s="4">
        <v>4180.3</v>
      </c>
      <c r="E4" s="4">
        <v>4201.0</v>
      </c>
      <c r="F4" s="4">
        <v>4200.45</v>
      </c>
      <c r="G4" s="4">
        <v>4201.58</v>
      </c>
      <c r="H4" s="1" t="s">
        <v>126</v>
      </c>
      <c r="I4" s="1" t="s">
        <v>128</v>
      </c>
      <c r="J4" s="1" t="s">
        <v>131</v>
      </c>
      <c r="K4" s="7">
        <f t="shared" si="2"/>
        <v>0.007012370541</v>
      </c>
      <c r="L4" s="7">
        <v>0.012710195456506321</v>
      </c>
      <c r="M4" s="1">
        <f t="shared" si="1"/>
        <v>1237666</v>
      </c>
    </row>
    <row r="5">
      <c r="A5" s="3">
        <v>45512.0</v>
      </c>
      <c r="B5" s="4">
        <v>4181.0</v>
      </c>
      <c r="C5" s="4">
        <v>4232.0</v>
      </c>
      <c r="D5" s="4">
        <v>4160.0</v>
      </c>
      <c r="E5" s="4">
        <v>4174.0</v>
      </c>
      <c r="F5" s="4">
        <v>4172.55</v>
      </c>
      <c r="G5" s="4">
        <v>4190.47</v>
      </c>
      <c r="H5" s="1" t="s">
        <v>145</v>
      </c>
      <c r="I5" s="1" t="s">
        <v>147</v>
      </c>
      <c r="J5" s="1" t="s">
        <v>148</v>
      </c>
      <c r="K5" s="7">
        <f t="shared" si="2"/>
        <v>-0.006642145484</v>
      </c>
      <c r="L5" s="7">
        <v>-0.007428747813561066</v>
      </c>
      <c r="M5" s="1">
        <f t="shared" si="1"/>
        <v>2441283</v>
      </c>
    </row>
    <row r="6">
      <c r="A6" s="3">
        <v>45513.0</v>
      </c>
      <c r="B6" s="4">
        <v>4217.0</v>
      </c>
      <c r="C6" s="4">
        <v>4253.65</v>
      </c>
      <c r="D6" s="4">
        <v>4205.55</v>
      </c>
      <c r="E6" s="4">
        <v>4220.0</v>
      </c>
      <c r="F6" s="4">
        <v>4228.75</v>
      </c>
      <c r="G6" s="4">
        <v>4233.82</v>
      </c>
      <c r="H6" s="1" t="s">
        <v>161</v>
      </c>
      <c r="I6" s="1" t="s">
        <v>162</v>
      </c>
      <c r="J6" s="11">
        <v>79876.0</v>
      </c>
      <c r="K6" s="7">
        <f t="shared" si="2"/>
        <v>0.0134689818</v>
      </c>
      <c r="L6" s="7">
        <v>0.010386864037815649</v>
      </c>
      <c r="M6" s="1">
        <f t="shared" si="1"/>
        <v>1302536</v>
      </c>
    </row>
    <row r="7">
      <c r="A7" s="9">
        <v>45516.0</v>
      </c>
      <c r="B7" s="4">
        <v>4230.0</v>
      </c>
      <c r="C7" s="4">
        <v>4239.0</v>
      </c>
      <c r="D7" s="4">
        <v>4186.35</v>
      </c>
      <c r="E7" s="4">
        <v>4193.1</v>
      </c>
      <c r="F7" s="4">
        <v>4195.65</v>
      </c>
      <c r="G7" s="4">
        <v>4210.62</v>
      </c>
      <c r="H7" s="1" t="s">
        <v>181</v>
      </c>
      <c r="I7" s="1" t="s">
        <v>182</v>
      </c>
      <c r="J7" s="11">
        <v>86028.0</v>
      </c>
      <c r="K7" s="7">
        <f t="shared" si="2"/>
        <v>-0.007827372155</v>
      </c>
      <c r="L7" s="7">
        <v>-8.412844977941931E-4</v>
      </c>
      <c r="M7" s="1">
        <f t="shared" si="1"/>
        <v>936912</v>
      </c>
    </row>
    <row r="8">
      <c r="A8" s="9">
        <v>45517.0</v>
      </c>
      <c r="B8" s="4">
        <v>4213.0</v>
      </c>
      <c r="C8" s="4">
        <v>4234.0</v>
      </c>
      <c r="D8" s="4">
        <v>4183.0</v>
      </c>
      <c r="E8" s="4">
        <v>4197.0</v>
      </c>
      <c r="F8" s="4">
        <v>4196.95</v>
      </c>
      <c r="G8" s="4">
        <v>4209.09</v>
      </c>
      <c r="H8" s="1" t="s">
        <v>192</v>
      </c>
      <c r="I8" s="1" t="s">
        <v>195</v>
      </c>
      <c r="J8" s="11">
        <v>99105.0</v>
      </c>
      <c r="K8" s="7">
        <f t="shared" si="2"/>
        <v>0.0003098447201</v>
      </c>
      <c r="L8" s="7">
        <v>-0.008543146999630345</v>
      </c>
      <c r="M8" s="1">
        <f t="shared" si="1"/>
        <v>1495593</v>
      </c>
    </row>
    <row r="9">
      <c r="A9" s="9">
        <v>45518.0</v>
      </c>
      <c r="B9" s="4">
        <v>4209.0</v>
      </c>
      <c r="C9" s="4">
        <v>4306.2</v>
      </c>
      <c r="D9" s="4">
        <v>4188.15</v>
      </c>
      <c r="E9" s="4">
        <v>4293.0</v>
      </c>
      <c r="F9" s="4">
        <v>4295.25</v>
      </c>
      <c r="G9" s="4">
        <v>4265.75</v>
      </c>
      <c r="H9" s="1" t="s">
        <v>207</v>
      </c>
      <c r="I9" s="1" t="s">
        <v>212</v>
      </c>
      <c r="J9" s="1" t="s">
        <v>214</v>
      </c>
      <c r="K9" s="7">
        <f t="shared" si="2"/>
        <v>0.02342177057</v>
      </c>
      <c r="L9" s="7">
        <v>1.9677699987571978E-4</v>
      </c>
      <c r="M9" s="1">
        <f t="shared" si="1"/>
        <v>3226545</v>
      </c>
    </row>
    <row r="10">
      <c r="A10" s="9">
        <v>45520.0</v>
      </c>
      <c r="B10" s="4">
        <v>4350.0</v>
      </c>
      <c r="C10" s="4">
        <v>4427.0</v>
      </c>
      <c r="D10" s="4">
        <v>4325.1</v>
      </c>
      <c r="E10" s="4">
        <v>4414.2</v>
      </c>
      <c r="F10" s="4">
        <v>4416.05</v>
      </c>
      <c r="G10" s="4">
        <v>4395.48</v>
      </c>
      <c r="H10" s="1" t="s">
        <v>223</v>
      </c>
      <c r="I10" s="1" t="s">
        <v>225</v>
      </c>
      <c r="J10" s="1" t="s">
        <v>226</v>
      </c>
      <c r="K10" s="7">
        <f t="shared" si="2"/>
        <v>0.02812409057</v>
      </c>
      <c r="L10" s="7">
        <v>0.01645974631115719</v>
      </c>
      <c r="M10" s="1">
        <f t="shared" si="1"/>
        <v>3457058</v>
      </c>
    </row>
    <row r="11">
      <c r="A11" s="9">
        <v>45523.0</v>
      </c>
      <c r="B11" s="4">
        <v>4421.0</v>
      </c>
      <c r="C11" s="4">
        <v>4494.25</v>
      </c>
      <c r="D11" s="4">
        <v>4390.35</v>
      </c>
      <c r="E11" s="4">
        <v>4490.0</v>
      </c>
      <c r="F11" s="4">
        <v>4490.0</v>
      </c>
      <c r="G11" s="4">
        <v>4459.62</v>
      </c>
      <c r="H11" s="1" t="s">
        <v>233</v>
      </c>
      <c r="I11" s="1" t="s">
        <v>234</v>
      </c>
      <c r="J11" s="1" t="s">
        <v>236</v>
      </c>
      <c r="K11" s="7">
        <f t="shared" si="2"/>
        <v>0.01674573431</v>
      </c>
      <c r="L11" s="7">
        <v>0.0012835584314508488</v>
      </c>
      <c r="M11" s="1">
        <f t="shared" si="1"/>
        <v>2055210</v>
      </c>
    </row>
    <row r="12">
      <c r="A12" s="9">
        <v>45524.0</v>
      </c>
      <c r="B12" s="4">
        <v>4505.0</v>
      </c>
      <c r="C12" s="4">
        <v>4565.0</v>
      </c>
      <c r="D12" s="4">
        <v>4500.0</v>
      </c>
      <c r="E12" s="4">
        <v>4505.0</v>
      </c>
      <c r="F12" s="4">
        <v>4523.3</v>
      </c>
      <c r="G12" s="4">
        <v>4529.5</v>
      </c>
      <c r="H12" s="1" t="s">
        <v>243</v>
      </c>
      <c r="I12" s="1" t="s">
        <v>250</v>
      </c>
      <c r="J12" s="1" t="s">
        <v>252</v>
      </c>
      <c r="K12" s="7">
        <f t="shared" si="2"/>
        <v>0.007416481069</v>
      </c>
      <c r="L12" s="7">
        <v>0.005135791215029599</v>
      </c>
      <c r="M12" s="1">
        <f t="shared" si="1"/>
        <v>2212298</v>
      </c>
    </row>
    <row r="13">
      <c r="A13" s="9">
        <v>45525.0</v>
      </c>
      <c r="B13" s="4">
        <v>4518.0</v>
      </c>
      <c r="C13" s="4">
        <v>4560.0</v>
      </c>
      <c r="D13" s="4">
        <v>4492.55</v>
      </c>
      <c r="E13" s="4">
        <v>4550.0</v>
      </c>
      <c r="F13" s="4">
        <v>4551.5</v>
      </c>
      <c r="G13" s="4">
        <v>4529.61</v>
      </c>
      <c r="H13" s="1" t="s">
        <v>263</v>
      </c>
      <c r="I13" s="1" t="s">
        <v>264</v>
      </c>
      <c r="J13" s="1" t="s">
        <v>265</v>
      </c>
      <c r="K13" s="7">
        <f t="shared" si="2"/>
        <v>0.006234386399</v>
      </c>
      <c r="L13" s="7">
        <v>0.0028887984663254437</v>
      </c>
      <c r="M13" s="1">
        <f t="shared" si="1"/>
        <v>1896990</v>
      </c>
    </row>
    <row r="14">
      <c r="A14" s="9">
        <v>45526.0</v>
      </c>
      <c r="B14" s="4">
        <v>4560.0</v>
      </c>
      <c r="C14" s="4">
        <v>4560.95</v>
      </c>
      <c r="D14" s="4">
        <v>4497.2</v>
      </c>
      <c r="E14" s="4">
        <v>4502.0</v>
      </c>
      <c r="F14" s="4">
        <v>4502.0</v>
      </c>
      <c r="G14" s="4">
        <v>4515.52</v>
      </c>
      <c r="H14" s="1" t="s">
        <v>275</v>
      </c>
      <c r="I14" s="1" t="s">
        <v>276</v>
      </c>
      <c r="J14" s="1" t="s">
        <v>277</v>
      </c>
      <c r="K14" s="7">
        <f t="shared" si="2"/>
        <v>-0.01087553554</v>
      </c>
      <c r="L14" s="7">
        <v>0.0016673260611540994</v>
      </c>
      <c r="M14" s="1">
        <f t="shared" si="1"/>
        <v>1829872</v>
      </c>
    </row>
    <row r="15">
      <c r="A15" s="9">
        <v>45527.0</v>
      </c>
      <c r="B15" s="4">
        <v>4500.0</v>
      </c>
      <c r="C15" s="4">
        <v>4506.0</v>
      </c>
      <c r="D15" s="4">
        <v>4455.0</v>
      </c>
      <c r="E15" s="4">
        <v>4473.05</v>
      </c>
      <c r="F15" s="4">
        <v>4463.9</v>
      </c>
      <c r="G15" s="4">
        <v>4469.04</v>
      </c>
      <c r="H15" s="1" t="s">
        <v>287</v>
      </c>
      <c r="I15" s="1" t="s">
        <v>288</v>
      </c>
      <c r="J15" s="1" t="s">
        <v>289</v>
      </c>
      <c r="K15" s="7">
        <f t="shared" si="2"/>
        <v>-0.008462905375</v>
      </c>
      <c r="L15" s="7">
        <v>4.695403341193179E-4</v>
      </c>
      <c r="M15" s="1">
        <f t="shared" si="1"/>
        <v>1809253</v>
      </c>
    </row>
    <row r="16">
      <c r="A16" s="9">
        <v>45530.0</v>
      </c>
      <c r="B16" s="4">
        <v>4489.0</v>
      </c>
      <c r="C16" s="4">
        <v>4552.15</v>
      </c>
      <c r="D16" s="4">
        <v>4485.0</v>
      </c>
      <c r="E16" s="4">
        <v>4506.6</v>
      </c>
      <c r="F16" s="4">
        <v>4502.45</v>
      </c>
      <c r="G16" s="4">
        <v>4517.26</v>
      </c>
      <c r="H16" s="1" t="s">
        <v>302</v>
      </c>
      <c r="I16" s="1" t="s">
        <v>303</v>
      </c>
      <c r="J16" s="1" t="s">
        <v>304</v>
      </c>
      <c r="K16" s="7">
        <f t="shared" si="2"/>
        <v>0.008635946146</v>
      </c>
      <c r="L16" s="7">
        <v>0.0075514187361393325</v>
      </c>
      <c r="M16" s="1">
        <f t="shared" si="1"/>
        <v>1844164</v>
      </c>
    </row>
    <row r="17">
      <c r="A17" s="9">
        <v>45531.0</v>
      </c>
      <c r="B17" s="4">
        <v>4505.0</v>
      </c>
      <c r="C17" s="4">
        <v>4510.0</v>
      </c>
      <c r="D17" s="4">
        <v>4486.8</v>
      </c>
      <c r="E17" s="4">
        <v>4491.0</v>
      </c>
      <c r="F17" s="4">
        <v>4497.15</v>
      </c>
      <c r="G17" s="4">
        <v>4496.77</v>
      </c>
      <c r="H17" s="1" t="s">
        <v>314</v>
      </c>
      <c r="I17" s="1" t="s">
        <v>315</v>
      </c>
      <c r="J17" s="11">
        <v>65265.0</v>
      </c>
      <c r="K17" s="7">
        <f t="shared" si="2"/>
        <v>-0.001177136892</v>
      </c>
      <c r="L17" s="7">
        <v>2.858787873942031E-4</v>
      </c>
      <c r="M17" s="1">
        <f t="shared" si="1"/>
        <v>930697</v>
      </c>
    </row>
    <row r="18">
      <c r="A18" s="9">
        <v>45532.0</v>
      </c>
      <c r="B18" s="4">
        <v>4498.75</v>
      </c>
      <c r="C18" s="4">
        <v>4562.5</v>
      </c>
      <c r="D18" s="4">
        <v>4457.3</v>
      </c>
      <c r="E18" s="4">
        <v>4513.0</v>
      </c>
      <c r="F18" s="4">
        <v>4506.05</v>
      </c>
      <c r="G18" s="4">
        <v>4515.24</v>
      </c>
      <c r="H18" s="1" t="s">
        <v>327</v>
      </c>
      <c r="I18" s="1" t="s">
        <v>332</v>
      </c>
      <c r="J18" s="1" t="s">
        <v>335</v>
      </c>
      <c r="K18" s="7">
        <f t="shared" si="2"/>
        <v>0.001979031164</v>
      </c>
      <c r="L18" s="7">
        <v>0.0013830180571793446</v>
      </c>
      <c r="M18" s="1">
        <f t="shared" si="1"/>
        <v>1848058</v>
      </c>
    </row>
    <row r="19">
      <c r="A19" s="9">
        <v>45533.0</v>
      </c>
      <c r="B19" s="4">
        <v>4460.0</v>
      </c>
      <c r="C19" s="4">
        <v>4556.0</v>
      </c>
      <c r="D19" s="4">
        <v>4460.0</v>
      </c>
      <c r="E19" s="4">
        <v>4507.0</v>
      </c>
      <c r="F19" s="4">
        <v>4511.8</v>
      </c>
      <c r="G19" s="4">
        <v>4515.71</v>
      </c>
      <c r="H19" s="1" t="s">
        <v>342</v>
      </c>
      <c r="I19" s="1" t="s">
        <v>343</v>
      </c>
      <c r="J19" s="1" t="s">
        <v>344</v>
      </c>
      <c r="K19" s="7">
        <f t="shared" si="2"/>
        <v>0.001276062183</v>
      </c>
      <c r="L19" s="7">
        <v>0.003975674936682674</v>
      </c>
      <c r="M19" s="1">
        <f t="shared" si="1"/>
        <v>2133641</v>
      </c>
    </row>
    <row r="20">
      <c r="A20" s="9">
        <v>45534.0</v>
      </c>
      <c r="B20" s="4">
        <v>4500.0</v>
      </c>
      <c r="C20" s="4">
        <v>4592.25</v>
      </c>
      <c r="D20" s="4">
        <v>4487.8</v>
      </c>
      <c r="E20" s="4">
        <v>4562.7</v>
      </c>
      <c r="F20" s="4">
        <v>4553.75</v>
      </c>
      <c r="G20" s="4">
        <v>4545.75</v>
      </c>
      <c r="H20" s="1" t="s">
        <v>354</v>
      </c>
      <c r="I20" s="1" t="s">
        <v>356</v>
      </c>
      <c r="J20" s="1" t="s">
        <v>358</v>
      </c>
      <c r="K20" s="7">
        <f t="shared" si="2"/>
        <v>0.009297841216</v>
      </c>
      <c r="L20" s="7">
        <v>0.00333771337808801</v>
      </c>
      <c r="M20" s="1">
        <f t="shared" si="1"/>
        <v>3637222</v>
      </c>
    </row>
    <row r="21">
      <c r="A21" s="3">
        <v>45537.0</v>
      </c>
      <c r="B21" s="4">
        <v>4576.0</v>
      </c>
      <c r="C21" s="4">
        <v>4588.0</v>
      </c>
      <c r="D21" s="4">
        <v>4512.0</v>
      </c>
      <c r="E21" s="4">
        <v>4526.4</v>
      </c>
      <c r="F21" s="4">
        <v>4521.05</v>
      </c>
      <c r="G21" s="4">
        <v>4545.25</v>
      </c>
      <c r="H21" s="1" t="s">
        <v>367</v>
      </c>
      <c r="I21" s="1" t="s">
        <v>370</v>
      </c>
      <c r="J21" s="1" t="s">
        <v>372</v>
      </c>
      <c r="K21" s="7">
        <f t="shared" si="2"/>
        <v>-0.007180894867</v>
      </c>
      <c r="L21" s="7">
        <v>0.0016959965763059478</v>
      </c>
      <c r="M21" s="1">
        <f t="shared" si="1"/>
        <v>1216500</v>
      </c>
    </row>
    <row r="22">
      <c r="A22" s="3">
        <v>45538.0</v>
      </c>
      <c r="B22" s="4">
        <v>4521.05</v>
      </c>
      <c r="C22" s="4">
        <v>4555.9</v>
      </c>
      <c r="D22" s="4">
        <v>4495.9</v>
      </c>
      <c r="E22" s="4">
        <v>4512.65</v>
      </c>
      <c r="F22" s="4">
        <v>4512.35</v>
      </c>
      <c r="G22" s="4">
        <v>4523.6</v>
      </c>
      <c r="H22" s="1" t="s">
        <v>384</v>
      </c>
      <c r="I22" s="1" t="s">
        <v>385</v>
      </c>
      <c r="J22" s="1" t="s">
        <v>386</v>
      </c>
      <c r="K22" s="7">
        <f t="shared" si="2"/>
        <v>-0.001924331737</v>
      </c>
      <c r="L22" s="7">
        <v>4.549284575543114E-5</v>
      </c>
      <c r="M22" s="1">
        <f t="shared" si="1"/>
        <v>1717263</v>
      </c>
    </row>
    <row r="23">
      <c r="A23" s="3">
        <v>45539.0</v>
      </c>
      <c r="B23" s="4">
        <v>4476.95</v>
      </c>
      <c r="C23" s="4">
        <v>4487.0</v>
      </c>
      <c r="D23" s="4">
        <v>4436.7</v>
      </c>
      <c r="E23" s="4">
        <v>4484.0</v>
      </c>
      <c r="F23" s="4">
        <v>4479.25</v>
      </c>
      <c r="G23" s="4">
        <v>4468.96</v>
      </c>
      <c r="H23" s="1" t="s">
        <v>396</v>
      </c>
      <c r="I23" s="1" t="s">
        <v>397</v>
      </c>
      <c r="J23" s="1" t="s">
        <v>401</v>
      </c>
      <c r="K23" s="7">
        <f t="shared" si="2"/>
        <v>-0.007335423892</v>
      </c>
      <c r="L23" s="7">
        <v>-0.0032100665154262318</v>
      </c>
      <c r="M23" s="1">
        <f t="shared" si="1"/>
        <v>1265505</v>
      </c>
    </row>
    <row r="24">
      <c r="A24" s="3">
        <v>45540.0</v>
      </c>
      <c r="B24" s="4">
        <v>4481.0</v>
      </c>
      <c r="C24" s="4">
        <v>4499.0</v>
      </c>
      <c r="D24" s="4">
        <v>4454.15</v>
      </c>
      <c r="E24" s="4">
        <v>4490.0</v>
      </c>
      <c r="F24" s="4">
        <v>4475.95</v>
      </c>
      <c r="G24" s="4">
        <v>4469.15</v>
      </c>
      <c r="H24" s="1" t="s">
        <v>417</v>
      </c>
      <c r="I24" s="1" t="s">
        <v>418</v>
      </c>
      <c r="J24" s="1" t="s">
        <v>419</v>
      </c>
      <c r="K24" s="7">
        <f t="shared" si="2"/>
        <v>-0.0007367304794</v>
      </c>
      <c r="L24" s="7">
        <v>-0.0021270938580165715</v>
      </c>
      <c r="M24" s="1">
        <f t="shared" si="1"/>
        <v>1688793</v>
      </c>
    </row>
    <row r="25">
      <c r="A25" s="3">
        <v>45541.0</v>
      </c>
      <c r="B25" s="4">
        <v>4473.95</v>
      </c>
      <c r="C25" s="4">
        <v>4518.95</v>
      </c>
      <c r="D25" s="4">
        <v>4440.0</v>
      </c>
      <c r="E25" s="4">
        <v>4460.5</v>
      </c>
      <c r="F25" s="4">
        <v>4456.75</v>
      </c>
      <c r="G25" s="4">
        <v>4466.8</v>
      </c>
      <c r="H25" s="1" t="s">
        <v>429</v>
      </c>
      <c r="I25" s="1" t="s">
        <v>430</v>
      </c>
      <c r="J25" s="1" t="s">
        <v>431</v>
      </c>
      <c r="K25" s="7">
        <f t="shared" si="2"/>
        <v>-0.004289592154</v>
      </c>
      <c r="L25" s="7">
        <v>-0.011650381187587128</v>
      </c>
      <c r="M25" s="1">
        <f t="shared" si="1"/>
        <v>1649179</v>
      </c>
    </row>
    <row r="26">
      <c r="A26" s="3">
        <v>45544.0</v>
      </c>
      <c r="B26" s="4">
        <v>4455.0</v>
      </c>
      <c r="C26" s="4">
        <v>4490.25</v>
      </c>
      <c r="D26" s="4">
        <v>4430.5</v>
      </c>
      <c r="E26" s="4">
        <v>4458.0</v>
      </c>
      <c r="F26" s="4">
        <v>4449.55</v>
      </c>
      <c r="G26" s="4">
        <v>4459.58</v>
      </c>
      <c r="H26" s="1" t="s">
        <v>441</v>
      </c>
      <c r="I26" s="1" t="s">
        <v>442</v>
      </c>
      <c r="J26" s="11">
        <v>92569.0</v>
      </c>
      <c r="K26" s="7">
        <f t="shared" si="2"/>
        <v>-0.00161552701</v>
      </c>
      <c r="L26" s="7">
        <v>0.0033900487482974306</v>
      </c>
      <c r="M26" s="1">
        <f t="shared" si="1"/>
        <v>1184938</v>
      </c>
    </row>
    <row r="27">
      <c r="A27" s="9">
        <v>45545.0</v>
      </c>
      <c r="B27" s="4">
        <v>4442.45</v>
      </c>
      <c r="C27" s="4">
        <v>4539.95</v>
      </c>
      <c r="D27" s="4">
        <v>4440.45</v>
      </c>
      <c r="E27" s="4">
        <v>4510.0</v>
      </c>
      <c r="F27" s="4">
        <v>4507.85</v>
      </c>
      <c r="G27" s="4">
        <v>4499.44</v>
      </c>
      <c r="H27" s="1" t="s">
        <v>452</v>
      </c>
      <c r="I27" s="1" t="s">
        <v>454</v>
      </c>
      <c r="J27" s="1" t="s">
        <v>458</v>
      </c>
      <c r="K27" s="7">
        <f t="shared" si="2"/>
        <v>0.01310244856</v>
      </c>
      <c r="L27" s="7">
        <v>0.0041986814455974835</v>
      </c>
      <c r="M27" s="1">
        <f t="shared" si="1"/>
        <v>1385591</v>
      </c>
    </row>
    <row r="28">
      <c r="A28" s="9">
        <v>45546.0</v>
      </c>
      <c r="B28" s="4">
        <v>4521.45</v>
      </c>
      <c r="C28" s="4">
        <v>4549.35</v>
      </c>
      <c r="D28" s="4">
        <v>4471.25</v>
      </c>
      <c r="E28" s="4">
        <v>4495.5</v>
      </c>
      <c r="F28" s="4">
        <v>4479.35</v>
      </c>
      <c r="G28" s="4">
        <v>4504.96</v>
      </c>
      <c r="H28" s="1" t="s">
        <v>465</v>
      </c>
      <c r="I28" s="1" t="s">
        <v>469</v>
      </c>
      <c r="J28" s="1" t="s">
        <v>473</v>
      </c>
      <c r="K28" s="7">
        <f t="shared" si="2"/>
        <v>-0.006322304425</v>
      </c>
      <c r="L28" s="7">
        <v>-0.004897947773859688</v>
      </c>
      <c r="M28" s="1">
        <f t="shared" si="1"/>
        <v>1325919</v>
      </c>
    </row>
    <row r="29">
      <c r="A29" s="9">
        <v>45547.0</v>
      </c>
      <c r="B29" s="4">
        <v>4510.25</v>
      </c>
      <c r="C29" s="4">
        <v>4532.6</v>
      </c>
      <c r="D29" s="4">
        <v>4431.3</v>
      </c>
      <c r="E29" s="4">
        <v>4495.3</v>
      </c>
      <c r="F29" s="4">
        <v>4517.7</v>
      </c>
      <c r="G29" s="4">
        <v>4485.01</v>
      </c>
      <c r="H29" s="1" t="s">
        <v>477</v>
      </c>
      <c r="I29" s="1" t="s">
        <v>480</v>
      </c>
      <c r="J29" s="1" t="s">
        <v>482</v>
      </c>
      <c r="K29" s="7">
        <f t="shared" si="2"/>
        <v>0.008561510041</v>
      </c>
      <c r="L29" s="7">
        <v>0.018879585206945083</v>
      </c>
      <c r="M29" s="1">
        <f t="shared" si="1"/>
        <v>2742216</v>
      </c>
    </row>
    <row r="30">
      <c r="A30" s="9">
        <v>45548.0</v>
      </c>
      <c r="B30" s="4">
        <v>4530.0</v>
      </c>
      <c r="C30" s="4">
        <v>4547.0</v>
      </c>
      <c r="D30" s="4">
        <v>4505.0</v>
      </c>
      <c r="E30" s="4">
        <v>4521.75</v>
      </c>
      <c r="F30" s="4">
        <v>4522.6</v>
      </c>
      <c r="G30" s="4">
        <v>4526.87</v>
      </c>
      <c r="H30" s="1" t="s">
        <v>495</v>
      </c>
      <c r="I30" s="1" t="s">
        <v>497</v>
      </c>
      <c r="J30" s="11">
        <v>78892.0</v>
      </c>
      <c r="K30" s="7">
        <f t="shared" si="2"/>
        <v>0.001084622706</v>
      </c>
      <c r="L30" s="7">
        <v>-0.0012761482380095812</v>
      </c>
      <c r="M30" s="1">
        <f t="shared" si="1"/>
        <v>1458786</v>
      </c>
    </row>
    <row r="31">
      <c r="A31" s="9">
        <v>45551.0</v>
      </c>
      <c r="B31" s="4">
        <v>4527.0</v>
      </c>
      <c r="C31" s="4">
        <v>4546.05</v>
      </c>
      <c r="D31" s="4">
        <v>4494.45</v>
      </c>
      <c r="E31" s="4">
        <v>4509.0</v>
      </c>
      <c r="F31" s="4">
        <v>4513.25</v>
      </c>
      <c r="G31" s="4">
        <v>4516.51</v>
      </c>
      <c r="H31" s="1" t="s">
        <v>505</v>
      </c>
      <c r="I31" s="1" t="s">
        <v>507</v>
      </c>
      <c r="J31" s="11">
        <v>61456.0</v>
      </c>
      <c r="K31" s="7">
        <f t="shared" si="2"/>
        <v>-0.002067394861</v>
      </c>
      <c r="L31" s="7">
        <v>0.0010746751326089958</v>
      </c>
      <c r="M31" s="1">
        <f t="shared" si="1"/>
        <v>1155120</v>
      </c>
    </row>
    <row r="32">
      <c r="A32" s="9">
        <v>45552.0</v>
      </c>
      <c r="B32" s="4">
        <v>4513.25</v>
      </c>
      <c r="C32" s="4">
        <v>4535.8</v>
      </c>
      <c r="D32" s="4">
        <v>4466.0</v>
      </c>
      <c r="E32" s="4">
        <v>4511.0</v>
      </c>
      <c r="F32" s="4">
        <v>4505.65</v>
      </c>
      <c r="G32" s="4">
        <v>4505.75</v>
      </c>
      <c r="H32" s="1" t="s">
        <v>519</v>
      </c>
      <c r="I32" s="1" t="s">
        <v>520</v>
      </c>
      <c r="J32" s="11">
        <v>88562.0</v>
      </c>
      <c r="K32" s="7">
        <f t="shared" si="2"/>
        <v>-0.001683930649</v>
      </c>
      <c r="L32" s="7">
        <v>0.0013709558280395637</v>
      </c>
      <c r="M32" s="1">
        <f t="shared" si="1"/>
        <v>1699364</v>
      </c>
    </row>
    <row r="33">
      <c r="A33" s="9">
        <v>45553.0</v>
      </c>
      <c r="B33" s="4">
        <v>4497.05</v>
      </c>
      <c r="C33" s="4">
        <v>4497.05</v>
      </c>
      <c r="D33" s="4">
        <v>4321.0</v>
      </c>
      <c r="E33" s="4">
        <v>4347.9</v>
      </c>
      <c r="F33" s="4">
        <v>4346.15</v>
      </c>
      <c r="G33" s="4">
        <v>4370.07</v>
      </c>
      <c r="H33" s="1" t="s">
        <v>530</v>
      </c>
      <c r="I33" s="1" t="s">
        <v>531</v>
      </c>
      <c r="J33" s="1" t="s">
        <v>532</v>
      </c>
      <c r="K33" s="7">
        <f t="shared" si="2"/>
        <v>-0.03539999778</v>
      </c>
      <c r="L33" s="7">
        <v>-0.001612995233795791</v>
      </c>
      <c r="M33" s="1">
        <f t="shared" si="1"/>
        <v>2961779</v>
      </c>
    </row>
    <row r="34">
      <c r="A34" s="9">
        <v>45554.0</v>
      </c>
      <c r="B34" s="4">
        <v>4390.05</v>
      </c>
      <c r="C34" s="4">
        <v>4422.2</v>
      </c>
      <c r="D34" s="4">
        <v>4281.8</v>
      </c>
      <c r="E34" s="4">
        <v>4307.0</v>
      </c>
      <c r="F34" s="4">
        <v>4296.15</v>
      </c>
      <c r="G34" s="4">
        <v>4321.08</v>
      </c>
      <c r="H34" s="1" t="s">
        <v>542</v>
      </c>
      <c r="I34" s="1" t="s">
        <v>543</v>
      </c>
      <c r="J34" s="1" t="s">
        <v>544</v>
      </c>
      <c r="K34" s="7">
        <f t="shared" si="2"/>
        <v>-0.01150443496</v>
      </c>
      <c r="L34" s="7">
        <v>0.0015072376963103215</v>
      </c>
      <c r="M34" s="1">
        <f t="shared" si="1"/>
        <v>2927551</v>
      </c>
    </row>
    <row r="35">
      <c r="A35" s="9">
        <v>45555.0</v>
      </c>
      <c r="B35" s="4">
        <v>4316.9</v>
      </c>
      <c r="C35" s="4">
        <v>4330.7</v>
      </c>
      <c r="D35" s="4">
        <v>4227.5</v>
      </c>
      <c r="E35" s="4">
        <v>4295.0</v>
      </c>
      <c r="F35" s="4">
        <v>4284.9</v>
      </c>
      <c r="G35" s="4">
        <v>4278.76</v>
      </c>
      <c r="H35" s="1" t="s">
        <v>554</v>
      </c>
      <c r="I35" s="1" t="s">
        <v>555</v>
      </c>
      <c r="J35" s="1" t="s">
        <v>556</v>
      </c>
      <c r="K35" s="7">
        <f t="shared" si="2"/>
        <v>-0.002618623651</v>
      </c>
      <c r="L35" s="7">
        <v>0.014760503308965348</v>
      </c>
      <c r="M35" s="1">
        <f t="shared" si="1"/>
        <v>5447908</v>
      </c>
    </row>
    <row r="36">
      <c r="A36" s="9">
        <v>45558.0</v>
      </c>
      <c r="B36" s="4">
        <v>4300.0</v>
      </c>
      <c r="C36" s="4">
        <v>4309.4</v>
      </c>
      <c r="D36" s="4">
        <v>4253.0</v>
      </c>
      <c r="E36" s="4">
        <v>4266.05</v>
      </c>
      <c r="F36" s="4">
        <v>4268.5</v>
      </c>
      <c r="G36" s="4">
        <v>4270.4</v>
      </c>
      <c r="H36" s="1" t="s">
        <v>566</v>
      </c>
      <c r="I36" s="1" t="s">
        <v>567</v>
      </c>
      <c r="J36" s="1" t="s">
        <v>569</v>
      </c>
      <c r="K36" s="7">
        <f t="shared" si="2"/>
        <v>-0.003827393872</v>
      </c>
      <c r="L36" s="7">
        <v>0.005742324342453401</v>
      </c>
      <c r="M36" s="1">
        <f t="shared" si="1"/>
        <v>1702319</v>
      </c>
    </row>
    <row r="37">
      <c r="A37" s="9">
        <v>45559.0</v>
      </c>
      <c r="B37" s="4">
        <v>4251.65</v>
      </c>
      <c r="C37" s="4">
        <v>4291.0</v>
      </c>
      <c r="D37" s="4">
        <v>4240.0</v>
      </c>
      <c r="E37" s="4">
        <v>4282.0</v>
      </c>
      <c r="F37" s="4">
        <v>4271.3</v>
      </c>
      <c r="G37" s="4">
        <v>4265.03</v>
      </c>
      <c r="H37" s="1" t="s">
        <v>578</v>
      </c>
      <c r="I37" s="1" t="s">
        <v>582</v>
      </c>
      <c r="J37" s="1" t="s">
        <v>586</v>
      </c>
      <c r="K37" s="7">
        <f t="shared" si="2"/>
        <v>0.0006559681387</v>
      </c>
      <c r="L37" s="7">
        <v>5.2045082607195824E-5</v>
      </c>
      <c r="M37" s="1">
        <f t="shared" si="1"/>
        <v>3012026</v>
      </c>
    </row>
    <row r="38">
      <c r="A38" s="9">
        <v>45560.0</v>
      </c>
      <c r="B38" s="4">
        <v>4252.35</v>
      </c>
      <c r="C38" s="4">
        <v>4289.6</v>
      </c>
      <c r="D38" s="4">
        <v>4240.0</v>
      </c>
      <c r="E38" s="4">
        <v>4275.35</v>
      </c>
      <c r="F38" s="4">
        <v>4274.75</v>
      </c>
      <c r="G38" s="4">
        <v>4263.61</v>
      </c>
      <c r="H38" s="1" t="s">
        <v>596</v>
      </c>
      <c r="I38" s="1" t="s">
        <v>599</v>
      </c>
      <c r="J38" s="1" t="s">
        <v>601</v>
      </c>
      <c r="K38" s="7">
        <f t="shared" si="2"/>
        <v>0.0008077166202</v>
      </c>
      <c r="L38" s="7">
        <v>0.0024575565527131422</v>
      </c>
      <c r="M38" s="1">
        <f t="shared" si="1"/>
        <v>2713073</v>
      </c>
    </row>
    <row r="39">
      <c r="A39" s="9">
        <v>45561.0</v>
      </c>
      <c r="B39" s="4">
        <v>4260.0</v>
      </c>
      <c r="C39" s="4">
        <v>4316.8</v>
      </c>
      <c r="D39" s="4">
        <v>4260.0</v>
      </c>
      <c r="E39" s="4">
        <v>4295.0</v>
      </c>
      <c r="F39" s="4">
        <v>4292.5</v>
      </c>
      <c r="G39" s="4">
        <v>4288.28</v>
      </c>
      <c r="H39" s="1" t="s">
        <v>610</v>
      </c>
      <c r="I39" s="1" t="s">
        <v>612</v>
      </c>
      <c r="J39" s="1" t="s">
        <v>613</v>
      </c>
      <c r="K39" s="7">
        <f t="shared" si="2"/>
        <v>0.004152289608</v>
      </c>
      <c r="L39" s="7">
        <v>0.008148699342220293</v>
      </c>
      <c r="M39" s="1">
        <f t="shared" si="1"/>
        <v>3964251</v>
      </c>
    </row>
    <row r="40">
      <c r="A40" s="9">
        <v>45562.0</v>
      </c>
      <c r="B40" s="4">
        <v>4335.0</v>
      </c>
      <c r="C40" s="4">
        <v>4378.0</v>
      </c>
      <c r="D40" s="4">
        <v>4300.05</v>
      </c>
      <c r="E40" s="4">
        <v>4305.0</v>
      </c>
      <c r="F40" s="4">
        <v>4308.7</v>
      </c>
      <c r="G40" s="4">
        <v>4327.38</v>
      </c>
      <c r="H40" s="1" t="s">
        <v>738</v>
      </c>
      <c r="I40" s="1" t="s">
        <v>739</v>
      </c>
      <c r="J40" s="1" t="s">
        <v>740</v>
      </c>
      <c r="K40" s="7">
        <f t="shared" si="2"/>
        <v>0.003774024461</v>
      </c>
      <c r="L40" s="7">
        <v>-0.0014151636116042862</v>
      </c>
      <c r="M40" s="1">
        <f t="shared" si="1"/>
        <v>3012477</v>
      </c>
    </row>
    <row r="41">
      <c r="A41" s="9">
        <v>45565.0</v>
      </c>
      <c r="B41" s="4">
        <v>4286.9</v>
      </c>
      <c r="C41" s="4">
        <v>4298.75</v>
      </c>
      <c r="D41" s="4">
        <v>4260.05</v>
      </c>
      <c r="E41" s="4">
        <v>4271.0</v>
      </c>
      <c r="F41" s="4">
        <v>4268.5</v>
      </c>
      <c r="G41" s="4">
        <v>4272.29</v>
      </c>
      <c r="H41" s="1" t="s">
        <v>747</v>
      </c>
      <c r="I41" s="1" t="s">
        <v>748</v>
      </c>
      <c r="J41" s="1" t="s">
        <v>750</v>
      </c>
      <c r="K41" s="7">
        <f t="shared" si="2"/>
        <v>-0.009329960313</v>
      </c>
      <c r="L41" s="7">
        <v>-0.014060915353748036</v>
      </c>
      <c r="M41" s="1">
        <f t="shared" si="1"/>
        <v>2503416</v>
      </c>
    </row>
    <row r="42">
      <c r="A42" s="3">
        <v>45566.0</v>
      </c>
      <c r="B42" s="4">
        <v>4255.55</v>
      </c>
      <c r="C42" s="4">
        <v>4295.75</v>
      </c>
      <c r="D42" s="4">
        <v>4242.95</v>
      </c>
      <c r="E42" s="4">
        <v>4283.25</v>
      </c>
      <c r="F42" s="4">
        <v>4287.9</v>
      </c>
      <c r="G42" s="4">
        <v>4271.73</v>
      </c>
      <c r="H42" s="1" t="s">
        <v>760</v>
      </c>
      <c r="I42" s="1" t="s">
        <v>763</v>
      </c>
      <c r="J42" s="1" t="s">
        <v>764</v>
      </c>
      <c r="K42" s="7">
        <f t="shared" si="2"/>
        <v>0.004544922104</v>
      </c>
      <c r="L42" s="7">
        <v>-5.40470383578886E-4</v>
      </c>
      <c r="M42" s="1">
        <f t="shared" si="1"/>
        <v>1823365</v>
      </c>
    </row>
    <row r="43">
      <c r="A43" s="3">
        <v>45568.0</v>
      </c>
      <c r="B43" s="4">
        <v>4262.6</v>
      </c>
      <c r="C43" s="4">
        <v>4279.0</v>
      </c>
      <c r="D43" s="4">
        <v>4210.0</v>
      </c>
      <c r="E43" s="4">
        <v>4232.5</v>
      </c>
      <c r="F43" s="4">
        <v>4232.75</v>
      </c>
      <c r="G43" s="4">
        <v>4233.39</v>
      </c>
      <c r="H43" s="1" t="s">
        <v>779</v>
      </c>
      <c r="I43" s="1" t="s">
        <v>784</v>
      </c>
      <c r="J43" s="1" t="s">
        <v>785</v>
      </c>
      <c r="K43" s="7">
        <f t="shared" si="2"/>
        <v>-0.01286177383</v>
      </c>
      <c r="L43" s="7">
        <v>-0.021196345297303278</v>
      </c>
      <c r="M43" s="1">
        <f t="shared" si="1"/>
        <v>3350119</v>
      </c>
    </row>
    <row r="44">
      <c r="A44" s="3">
        <v>45569.0</v>
      </c>
      <c r="B44" s="4">
        <v>4225.0</v>
      </c>
      <c r="C44" s="4">
        <v>4298.0</v>
      </c>
      <c r="D44" s="4">
        <v>4224.05</v>
      </c>
      <c r="E44" s="4">
        <v>4251.9</v>
      </c>
      <c r="F44" s="4">
        <v>4252.25</v>
      </c>
      <c r="G44" s="4">
        <v>4256.15</v>
      </c>
      <c r="H44" s="1" t="s">
        <v>801</v>
      </c>
      <c r="I44" s="1" t="s">
        <v>802</v>
      </c>
      <c r="J44" s="1" t="s">
        <v>803</v>
      </c>
      <c r="K44" s="7">
        <f t="shared" si="2"/>
        <v>0.004606934026</v>
      </c>
      <c r="L44" s="7">
        <v>-0.009326695735858473</v>
      </c>
      <c r="M44" s="1">
        <f t="shared" si="1"/>
        <v>2965463</v>
      </c>
    </row>
    <row r="45">
      <c r="A45" s="3">
        <v>45572.0</v>
      </c>
      <c r="B45" s="4">
        <v>4273.9</v>
      </c>
      <c r="C45" s="4">
        <v>4297.25</v>
      </c>
      <c r="D45" s="4">
        <v>4229.4</v>
      </c>
      <c r="E45" s="4">
        <v>4274.0</v>
      </c>
      <c r="F45" s="4">
        <v>4272.85</v>
      </c>
      <c r="G45" s="4">
        <v>4263.8</v>
      </c>
      <c r="H45" s="1" t="s">
        <v>822</v>
      </c>
      <c r="I45" s="1" t="s">
        <v>823</v>
      </c>
      <c r="J45" s="1" t="s">
        <v>824</v>
      </c>
      <c r="K45" s="7">
        <f t="shared" si="2"/>
        <v>0.004844494091</v>
      </c>
      <c r="L45" s="7">
        <v>-0.008748890647861591</v>
      </c>
      <c r="M45" s="1">
        <f t="shared" si="1"/>
        <v>1472619</v>
      </c>
    </row>
    <row r="46">
      <c r="A46" s="3">
        <v>45573.0</v>
      </c>
      <c r="B46" s="4">
        <v>4272.6</v>
      </c>
      <c r="C46" s="4">
        <v>4279.4</v>
      </c>
      <c r="D46" s="4">
        <v>4203.95</v>
      </c>
      <c r="E46" s="4">
        <v>4259.4</v>
      </c>
      <c r="F46" s="4">
        <v>4253.25</v>
      </c>
      <c r="G46" s="4">
        <v>4239.02</v>
      </c>
      <c r="H46" s="1" t="s">
        <v>837</v>
      </c>
      <c r="I46" s="1" t="s">
        <v>840</v>
      </c>
      <c r="J46" s="1" t="s">
        <v>844</v>
      </c>
      <c r="K46" s="7">
        <f t="shared" si="2"/>
        <v>-0.004587102285</v>
      </c>
      <c r="L46" s="7">
        <v>0.008767631549761611</v>
      </c>
      <c r="M46" s="1">
        <f t="shared" si="1"/>
        <v>1541867</v>
      </c>
    </row>
    <row r="47">
      <c r="A47" s="3">
        <v>45574.0</v>
      </c>
      <c r="B47" s="4">
        <v>4260.0</v>
      </c>
      <c r="C47" s="4">
        <v>4295.0</v>
      </c>
      <c r="D47" s="4">
        <v>4246.7</v>
      </c>
      <c r="E47" s="4">
        <v>4258.95</v>
      </c>
      <c r="F47" s="4">
        <v>4252.95</v>
      </c>
      <c r="G47" s="4">
        <v>4267.11</v>
      </c>
      <c r="H47" s="1" t="s">
        <v>855</v>
      </c>
      <c r="I47" s="1" t="s">
        <v>856</v>
      </c>
      <c r="J47" s="1" t="s">
        <v>858</v>
      </c>
      <c r="K47" s="7">
        <f t="shared" si="2"/>
        <v>-0.0000705342973</v>
      </c>
      <c r="L47" s="7">
        <v>-0.0012473438971101491</v>
      </c>
      <c r="M47" s="1">
        <f t="shared" si="1"/>
        <v>1082504</v>
      </c>
    </row>
    <row r="48">
      <c r="A48" s="9">
        <v>45575.0</v>
      </c>
      <c r="B48" s="4">
        <v>4253.25</v>
      </c>
      <c r="C48" s="4">
        <v>4293.85</v>
      </c>
      <c r="D48" s="4">
        <v>4198.6</v>
      </c>
      <c r="E48" s="4">
        <v>4227.9</v>
      </c>
      <c r="F48" s="4">
        <v>4227.4</v>
      </c>
      <c r="G48" s="4">
        <v>4242.82</v>
      </c>
      <c r="H48" s="1" t="s">
        <v>873</v>
      </c>
      <c r="I48" s="1" t="s">
        <v>874</v>
      </c>
      <c r="J48" s="1" t="s">
        <v>875</v>
      </c>
      <c r="K48" s="7">
        <f t="shared" si="2"/>
        <v>-0.006007594728</v>
      </c>
      <c r="L48" s="7">
        <v>6.604768642960217E-4</v>
      </c>
      <c r="M48" s="1">
        <f t="shared" si="1"/>
        <v>2378875</v>
      </c>
    </row>
    <row r="49">
      <c r="A49" s="9">
        <v>45576.0</v>
      </c>
      <c r="B49" s="4">
        <v>4143.0</v>
      </c>
      <c r="C49" s="4">
        <v>4241.95</v>
      </c>
      <c r="D49" s="4">
        <v>4112.45</v>
      </c>
      <c r="E49" s="4">
        <v>4146.0</v>
      </c>
      <c r="F49" s="4">
        <v>4149.2</v>
      </c>
      <c r="G49" s="4">
        <v>4164.41</v>
      </c>
      <c r="H49" s="1" t="s">
        <v>890</v>
      </c>
      <c r="I49" s="1" t="s">
        <v>892</v>
      </c>
      <c r="J49" s="1" t="s">
        <v>893</v>
      </c>
      <c r="K49" s="7">
        <f t="shared" si="2"/>
        <v>-0.01849836779</v>
      </c>
      <c r="L49" s="7">
        <v>-0.001368084821258947</v>
      </c>
      <c r="M49" s="1">
        <f t="shared" si="1"/>
        <v>5759183</v>
      </c>
    </row>
    <row r="50">
      <c r="A50" s="9">
        <v>45579.0</v>
      </c>
      <c r="B50" s="4">
        <v>4140.0</v>
      </c>
      <c r="C50" s="4">
        <v>4165.4</v>
      </c>
      <c r="D50" s="4">
        <v>4122.2</v>
      </c>
      <c r="E50" s="4">
        <v>4139.0</v>
      </c>
      <c r="F50" s="4">
        <v>4136.65</v>
      </c>
      <c r="G50" s="4">
        <v>4144.11</v>
      </c>
      <c r="H50" s="1" t="s">
        <v>904</v>
      </c>
      <c r="I50" s="1" t="s">
        <v>908</v>
      </c>
      <c r="J50" s="1" t="s">
        <v>910</v>
      </c>
      <c r="K50" s="7">
        <f t="shared" si="2"/>
        <v>-0.003024679456</v>
      </c>
      <c r="L50" s="7">
        <v>0.006557377049180357</v>
      </c>
      <c r="M50" s="1">
        <f t="shared" si="1"/>
        <v>2137590</v>
      </c>
    </row>
    <row r="51">
      <c r="A51" s="9">
        <v>45580.0</v>
      </c>
      <c r="B51" s="4">
        <v>4131.05</v>
      </c>
      <c r="C51" s="4">
        <v>4169.95</v>
      </c>
      <c r="D51" s="4">
        <v>4095.0</v>
      </c>
      <c r="E51" s="4">
        <v>4119.0</v>
      </c>
      <c r="F51" s="4">
        <v>4116.8</v>
      </c>
      <c r="G51" s="4">
        <v>4119.31</v>
      </c>
      <c r="H51" s="1" t="s">
        <v>921</v>
      </c>
      <c r="I51" s="1" t="s">
        <v>922</v>
      </c>
      <c r="J51" s="1" t="s">
        <v>925</v>
      </c>
      <c r="K51" s="7">
        <f t="shared" si="2"/>
        <v>-0.00479856889</v>
      </c>
      <c r="L51" s="7">
        <v>-0.0028096203629823435</v>
      </c>
      <c r="M51" s="1">
        <f t="shared" si="1"/>
        <v>2759474</v>
      </c>
    </row>
    <row r="52">
      <c r="A52" s="9">
        <v>45581.0</v>
      </c>
      <c r="B52" s="4">
        <v>4085.0</v>
      </c>
      <c r="C52" s="4">
        <v>4115.0</v>
      </c>
      <c r="D52" s="4">
        <v>4067.2</v>
      </c>
      <c r="E52" s="4">
        <v>4094.0</v>
      </c>
      <c r="F52" s="4">
        <v>4094.95</v>
      </c>
      <c r="G52" s="4">
        <v>4089.04</v>
      </c>
      <c r="H52" s="1" t="s">
        <v>939</v>
      </c>
      <c r="I52" s="1" t="s">
        <v>940</v>
      </c>
      <c r="J52" s="1" t="s">
        <v>941</v>
      </c>
      <c r="K52" s="7">
        <f t="shared" si="2"/>
        <v>-0.005307520404</v>
      </c>
      <c r="L52" s="7">
        <v>-0.003434122123847864</v>
      </c>
      <c r="M52" s="1">
        <f t="shared" si="1"/>
        <v>2359151</v>
      </c>
    </row>
    <row r="53">
      <c r="A53" s="9">
        <v>45582.0</v>
      </c>
      <c r="B53" s="4">
        <v>4112.8</v>
      </c>
      <c r="C53" s="4">
        <v>4129.95</v>
      </c>
      <c r="D53" s="4">
        <v>4092.95</v>
      </c>
      <c r="E53" s="4">
        <v>4111.25</v>
      </c>
      <c r="F53" s="4">
        <v>4109.0</v>
      </c>
      <c r="G53" s="4">
        <v>4108.84</v>
      </c>
      <c r="H53" s="1" t="s">
        <v>954</v>
      </c>
      <c r="I53" s="1" t="s">
        <v>956</v>
      </c>
      <c r="J53" s="1" t="s">
        <v>959</v>
      </c>
      <c r="K53" s="7">
        <f t="shared" si="2"/>
        <v>0.003431055324</v>
      </c>
      <c r="L53" s="7">
        <v>-0.008868180671410809</v>
      </c>
      <c r="M53" s="1">
        <f t="shared" si="1"/>
        <v>2522659</v>
      </c>
    </row>
    <row r="54">
      <c r="A54" s="9">
        <v>45583.0</v>
      </c>
      <c r="B54" s="4">
        <v>4090.0</v>
      </c>
      <c r="C54" s="4">
        <v>4146.15</v>
      </c>
      <c r="D54" s="4">
        <v>4080.0</v>
      </c>
      <c r="E54" s="4">
        <v>4130.5</v>
      </c>
      <c r="F54" s="4">
        <v>4123.05</v>
      </c>
      <c r="G54" s="4">
        <v>4121.27</v>
      </c>
      <c r="H54" s="1" t="s">
        <v>971</v>
      </c>
      <c r="I54" s="1" t="s">
        <v>973</v>
      </c>
      <c r="J54" s="1" t="s">
        <v>975</v>
      </c>
      <c r="K54" s="7">
        <f t="shared" si="2"/>
        <v>0.003419323436</v>
      </c>
      <c r="L54" s="7">
        <v>0.004210126526019379</v>
      </c>
      <c r="M54" s="1">
        <f t="shared" si="1"/>
        <v>2361000</v>
      </c>
    </row>
    <row r="55">
      <c r="A55" s="9">
        <v>45586.0</v>
      </c>
      <c r="B55" s="4">
        <v>4132.6</v>
      </c>
      <c r="C55" s="4">
        <v>4139.95</v>
      </c>
      <c r="D55" s="4">
        <v>4070.0</v>
      </c>
      <c r="E55" s="4">
        <v>4071.0</v>
      </c>
      <c r="F55" s="4">
        <v>4079.85</v>
      </c>
      <c r="G55" s="4">
        <v>4096.64</v>
      </c>
      <c r="H55" s="1" t="s">
        <v>988</v>
      </c>
      <c r="I55" s="1" t="s">
        <v>991</v>
      </c>
      <c r="J55" s="1" t="s">
        <v>992</v>
      </c>
      <c r="K55" s="7">
        <f t="shared" si="2"/>
        <v>-0.01047768036</v>
      </c>
      <c r="L55" s="7">
        <v>-0.0029351353199981787</v>
      </c>
      <c r="M55" s="1">
        <f t="shared" si="1"/>
        <v>1595450</v>
      </c>
    </row>
    <row r="56">
      <c r="A56" s="9">
        <v>45587.0</v>
      </c>
      <c r="B56" s="4">
        <v>4066.0</v>
      </c>
      <c r="C56" s="4">
        <v>4089.8</v>
      </c>
      <c r="D56" s="4">
        <v>4006.35</v>
      </c>
      <c r="E56" s="4">
        <v>4020.0</v>
      </c>
      <c r="F56" s="4">
        <v>4015.5</v>
      </c>
      <c r="G56" s="4">
        <v>4054.8</v>
      </c>
      <c r="H56" s="1" t="s">
        <v>1002</v>
      </c>
      <c r="I56" s="1" t="s">
        <v>1003</v>
      </c>
      <c r="J56" s="1" t="s">
        <v>1004</v>
      </c>
      <c r="K56" s="7">
        <f t="shared" si="2"/>
        <v>-0.0157726387</v>
      </c>
      <c r="L56" s="7">
        <v>-0.012469180141317376</v>
      </c>
      <c r="M56" s="1">
        <f t="shared" si="1"/>
        <v>1928049</v>
      </c>
    </row>
    <row r="57">
      <c r="A57" s="9">
        <v>45588.0</v>
      </c>
      <c r="B57" s="4">
        <v>3999.6</v>
      </c>
      <c r="C57" s="4">
        <v>4113.55</v>
      </c>
      <c r="D57" s="4">
        <v>3995.15</v>
      </c>
      <c r="E57" s="4">
        <v>4065.15</v>
      </c>
      <c r="F57" s="4">
        <v>4066.25</v>
      </c>
      <c r="G57" s="4">
        <v>4069.32</v>
      </c>
      <c r="H57" s="1" t="s">
        <v>1019</v>
      </c>
      <c r="I57" s="1" t="s">
        <v>1021</v>
      </c>
      <c r="J57" s="1" t="s">
        <v>1022</v>
      </c>
      <c r="K57" s="7">
        <f t="shared" si="2"/>
        <v>0.01263852571</v>
      </c>
      <c r="L57" s="7">
        <v>-0.0014955806816741737</v>
      </c>
      <c r="M57" s="1">
        <f t="shared" si="1"/>
        <v>1966476</v>
      </c>
    </row>
    <row r="58">
      <c r="A58" s="9">
        <v>45589.0</v>
      </c>
      <c r="B58" s="4">
        <v>4004.0</v>
      </c>
      <c r="C58" s="4">
        <v>4079.0</v>
      </c>
      <c r="D58" s="4">
        <v>4004.0</v>
      </c>
      <c r="E58" s="4">
        <v>4050.0</v>
      </c>
      <c r="F58" s="4">
        <v>4047.9</v>
      </c>
      <c r="G58" s="4">
        <v>4048.73</v>
      </c>
      <c r="H58" s="1" t="s">
        <v>1031</v>
      </c>
      <c r="I58" s="1" t="s">
        <v>1032</v>
      </c>
      <c r="J58" s="1" t="s">
        <v>1033</v>
      </c>
      <c r="K58" s="7">
        <f t="shared" si="2"/>
        <v>-0.004512757455</v>
      </c>
      <c r="L58" s="7">
        <v>-0.0014773587608192403</v>
      </c>
      <c r="M58" s="1">
        <f t="shared" si="1"/>
        <v>2676744</v>
      </c>
    </row>
    <row r="59">
      <c r="A59" s="9">
        <v>45590.0</v>
      </c>
      <c r="B59" s="4">
        <v>4057.05</v>
      </c>
      <c r="C59" s="4">
        <v>4092.0</v>
      </c>
      <c r="D59" s="4">
        <v>4032.7</v>
      </c>
      <c r="E59" s="4">
        <v>4060.0</v>
      </c>
      <c r="F59" s="4">
        <v>4057.55</v>
      </c>
      <c r="G59" s="4">
        <v>4063.37</v>
      </c>
      <c r="H59" s="1" t="s">
        <v>1046</v>
      </c>
      <c r="I59" s="1" t="s">
        <v>1049</v>
      </c>
      <c r="J59" s="1" t="s">
        <v>1052</v>
      </c>
      <c r="K59" s="7">
        <f t="shared" si="2"/>
        <v>0.002383952173</v>
      </c>
      <c r="L59" s="7">
        <v>-0.008959236702541954</v>
      </c>
      <c r="M59" s="1">
        <f t="shared" si="1"/>
        <v>1759676</v>
      </c>
    </row>
    <row r="60">
      <c r="A60" s="9">
        <v>45593.0</v>
      </c>
      <c r="B60" s="4">
        <v>4068.95</v>
      </c>
      <c r="C60" s="4">
        <v>4134.0</v>
      </c>
      <c r="D60" s="4">
        <v>4051.0</v>
      </c>
      <c r="E60" s="4">
        <v>4090.05</v>
      </c>
      <c r="F60" s="4">
        <v>4090.85</v>
      </c>
      <c r="G60" s="4">
        <v>4092.04</v>
      </c>
      <c r="H60" s="1" t="s">
        <v>1064</v>
      </c>
      <c r="I60" s="1" t="s">
        <v>1067</v>
      </c>
      <c r="J60" s="11">
        <v>95406.0</v>
      </c>
      <c r="K60" s="7">
        <f t="shared" si="2"/>
        <v>0.008206922897</v>
      </c>
      <c r="L60" s="7">
        <v>0.006548584000529436</v>
      </c>
      <c r="M60" s="1">
        <f t="shared" si="1"/>
        <v>1532534</v>
      </c>
    </row>
    <row r="61">
      <c r="A61" s="9">
        <v>45594.0</v>
      </c>
      <c r="B61" s="4">
        <v>4095.85</v>
      </c>
      <c r="C61" s="4">
        <v>4103.5</v>
      </c>
      <c r="D61" s="4">
        <v>4060.1</v>
      </c>
      <c r="E61" s="4">
        <v>4080.0</v>
      </c>
      <c r="F61" s="4">
        <v>4075.25</v>
      </c>
      <c r="G61" s="4">
        <v>4075.78</v>
      </c>
      <c r="H61" s="1" t="s">
        <v>1076</v>
      </c>
      <c r="I61" s="1" t="s">
        <v>1078</v>
      </c>
      <c r="J61" s="1" t="s">
        <v>1079</v>
      </c>
      <c r="K61" s="7">
        <f t="shared" si="2"/>
        <v>-0.003813388416</v>
      </c>
      <c r="L61" s="7">
        <v>0.005246691030705554</v>
      </c>
      <c r="M61" s="1">
        <f t="shared" si="1"/>
        <v>1445885</v>
      </c>
    </row>
    <row r="62">
      <c r="A62" s="9">
        <v>45595.0</v>
      </c>
      <c r="B62" s="4">
        <v>4075.0</v>
      </c>
      <c r="C62" s="4">
        <v>4107.0</v>
      </c>
      <c r="D62" s="4">
        <v>4060.05</v>
      </c>
      <c r="E62" s="4">
        <v>4071.2</v>
      </c>
      <c r="F62" s="4">
        <v>4084.65</v>
      </c>
      <c r="G62" s="4">
        <v>4093.47</v>
      </c>
      <c r="H62" s="1" t="s">
        <v>1086</v>
      </c>
      <c r="I62" s="1" t="s">
        <v>1090</v>
      </c>
      <c r="J62" s="1" t="s">
        <v>1093</v>
      </c>
      <c r="K62" s="7">
        <f t="shared" si="2"/>
        <v>0.002306606957</v>
      </c>
      <c r="L62" s="7">
        <v>-0.00514982517160975</v>
      </c>
      <c r="M62" s="1">
        <f t="shared" si="1"/>
        <v>1935002</v>
      </c>
    </row>
    <row r="63">
      <c r="A63" s="9">
        <v>45596.0</v>
      </c>
      <c r="B63" s="4">
        <v>4070.0</v>
      </c>
      <c r="C63" s="4">
        <v>4078.3</v>
      </c>
      <c r="D63" s="4">
        <v>3960.0</v>
      </c>
      <c r="E63" s="4">
        <v>3975.0</v>
      </c>
      <c r="F63" s="4">
        <v>3968.45</v>
      </c>
      <c r="G63" s="4">
        <v>3980.19</v>
      </c>
      <c r="H63" s="1" t="s">
        <v>1107</v>
      </c>
      <c r="I63" s="1" t="s">
        <v>1108</v>
      </c>
      <c r="J63" s="1" t="s">
        <v>1110</v>
      </c>
      <c r="K63" s="7">
        <f t="shared" si="2"/>
        <v>-0.02844796984</v>
      </c>
      <c r="L63" s="7">
        <v>-0.005566773551457735</v>
      </c>
      <c r="M63" s="1">
        <f t="shared" si="1"/>
        <v>3740372</v>
      </c>
    </row>
    <row r="64">
      <c r="A64" s="3">
        <v>45597.0</v>
      </c>
      <c r="B64" s="4">
        <v>3989.85</v>
      </c>
      <c r="C64" s="4">
        <v>3998.95</v>
      </c>
      <c r="D64" s="4">
        <v>3976.05</v>
      </c>
      <c r="E64" s="4">
        <v>3983.05</v>
      </c>
      <c r="F64" s="4">
        <v>3984.2</v>
      </c>
      <c r="G64" s="4">
        <v>3987.41</v>
      </c>
      <c r="H64" s="1" t="s">
        <v>1121</v>
      </c>
      <c r="I64" s="1" t="s">
        <v>1124</v>
      </c>
      <c r="J64" s="11">
        <v>18588.0</v>
      </c>
      <c r="K64" s="7">
        <f t="shared" si="2"/>
        <v>0.003968803941</v>
      </c>
      <c r="L64" s="7">
        <v>0.004090004895611921</v>
      </c>
      <c r="M64" s="1">
        <f t="shared" si="1"/>
        <v>154895</v>
      </c>
    </row>
    <row r="65">
      <c r="A65" s="3">
        <v>45600.0</v>
      </c>
      <c r="B65" s="4">
        <v>3966.3</v>
      </c>
      <c r="C65" s="4">
        <v>3991.9</v>
      </c>
      <c r="D65" s="4">
        <v>3913.25</v>
      </c>
      <c r="E65" s="4">
        <v>3967.0</v>
      </c>
      <c r="F65" s="4">
        <v>3964.15</v>
      </c>
      <c r="G65" s="4">
        <v>3950.51</v>
      </c>
      <c r="H65" s="1" t="s">
        <v>1139</v>
      </c>
      <c r="I65" s="1" t="s">
        <v>1140</v>
      </c>
      <c r="J65" s="1" t="s">
        <v>1141</v>
      </c>
      <c r="K65" s="7">
        <f t="shared" si="2"/>
        <v>-0.005032377893</v>
      </c>
      <c r="L65" s="7">
        <v>-0.012713773460306488</v>
      </c>
      <c r="M65" s="1">
        <f t="shared" si="1"/>
        <v>2269192</v>
      </c>
    </row>
    <row r="66">
      <c r="A66" s="3">
        <v>45601.0</v>
      </c>
      <c r="B66" s="4">
        <v>3941.1</v>
      </c>
      <c r="C66" s="4">
        <v>3986.0</v>
      </c>
      <c r="D66" s="4">
        <v>3941.1</v>
      </c>
      <c r="E66" s="4">
        <v>3971.55</v>
      </c>
      <c r="F66" s="4">
        <v>3971.35</v>
      </c>
      <c r="G66" s="4">
        <v>3969.47</v>
      </c>
      <c r="H66" s="1" t="s">
        <v>1151</v>
      </c>
      <c r="I66" s="1" t="s">
        <v>1152</v>
      </c>
      <c r="J66" s="11">
        <v>92042.0</v>
      </c>
      <c r="K66" s="7">
        <f t="shared" si="2"/>
        <v>0.001816278395</v>
      </c>
      <c r="L66" s="7">
        <v>0.009083009833155204</v>
      </c>
      <c r="M66" s="1">
        <f t="shared" si="1"/>
        <v>967590</v>
      </c>
    </row>
    <row r="67">
      <c r="A67" s="3">
        <v>45602.0</v>
      </c>
      <c r="B67" s="4">
        <v>4003.6</v>
      </c>
      <c r="C67" s="4">
        <v>4149.8</v>
      </c>
      <c r="D67" s="4">
        <v>3975.25</v>
      </c>
      <c r="E67" s="4">
        <v>4143.0</v>
      </c>
      <c r="F67" s="4">
        <v>4139.65</v>
      </c>
      <c r="G67" s="4">
        <v>4102.32</v>
      </c>
      <c r="H67" s="1" t="s">
        <v>1168</v>
      </c>
      <c r="I67" s="1" t="s">
        <v>1170</v>
      </c>
      <c r="J67" s="1" t="s">
        <v>1172</v>
      </c>
      <c r="K67" s="7">
        <f t="shared" si="2"/>
        <v>0.04237853627</v>
      </c>
      <c r="L67" s="7">
        <v>0.011181871120417292</v>
      </c>
      <c r="M67" s="1">
        <f t="shared" si="1"/>
        <v>3792017</v>
      </c>
    </row>
    <row r="68">
      <c r="A68" s="3">
        <v>45603.0</v>
      </c>
      <c r="B68" s="4">
        <v>4169.7</v>
      </c>
      <c r="C68" s="4">
        <v>4205.8</v>
      </c>
      <c r="D68" s="4">
        <v>4085.05</v>
      </c>
      <c r="E68" s="4">
        <v>4146.0</v>
      </c>
      <c r="F68" s="4">
        <v>4150.9</v>
      </c>
      <c r="G68" s="4">
        <v>4144.54</v>
      </c>
      <c r="H68" s="1" t="s">
        <v>1183</v>
      </c>
      <c r="I68" s="1" t="s">
        <v>1184</v>
      </c>
      <c r="J68" s="1" t="s">
        <v>1185</v>
      </c>
      <c r="K68" s="7">
        <f t="shared" si="2"/>
        <v>0.002717621055</v>
      </c>
      <c r="L68" s="7">
        <v>-0.01162797821438858</v>
      </c>
      <c r="M68" s="1">
        <f t="shared" si="1"/>
        <v>3724349</v>
      </c>
    </row>
    <row r="69">
      <c r="A69" s="3">
        <v>45604.0</v>
      </c>
      <c r="B69" s="4">
        <v>4155.0</v>
      </c>
      <c r="C69" s="4">
        <v>4169.75</v>
      </c>
      <c r="D69" s="4">
        <v>4117.65</v>
      </c>
      <c r="E69" s="4">
        <v>4135.65</v>
      </c>
      <c r="F69" s="4">
        <v>4147.0</v>
      </c>
      <c r="G69" s="4">
        <v>4141.5</v>
      </c>
      <c r="H69" s="1" t="s">
        <v>1198</v>
      </c>
      <c r="I69" s="1" t="s">
        <v>1199</v>
      </c>
      <c r="J69" s="1" t="s">
        <v>1200</v>
      </c>
      <c r="K69" s="7">
        <f t="shared" si="2"/>
        <v>-0.0009395552772</v>
      </c>
      <c r="L69" s="7">
        <v>-0.0021136931363858044</v>
      </c>
      <c r="M69" s="1">
        <f t="shared" si="1"/>
        <v>1648039</v>
      </c>
    </row>
    <row r="70">
      <c r="A70" s="9">
        <v>45607.0</v>
      </c>
      <c r="B70" s="4">
        <v>4128.2</v>
      </c>
      <c r="C70" s="4">
        <v>4234.3</v>
      </c>
      <c r="D70" s="4">
        <v>4117.65</v>
      </c>
      <c r="E70" s="4">
        <v>4186.5</v>
      </c>
      <c r="F70" s="4">
        <v>4198.7</v>
      </c>
      <c r="G70" s="4">
        <v>4195.46</v>
      </c>
      <c r="H70" s="1" t="s">
        <v>1207</v>
      </c>
      <c r="I70" s="1" t="s">
        <v>1208</v>
      </c>
      <c r="J70" s="1" t="s">
        <v>1209</v>
      </c>
      <c r="K70" s="7">
        <f t="shared" si="2"/>
        <v>0.0124668435</v>
      </c>
      <c r="L70" s="7">
        <v>-2.857355827764163E-4</v>
      </c>
      <c r="M70" s="1">
        <f t="shared" si="1"/>
        <v>1406487</v>
      </c>
    </row>
    <row r="71">
      <c r="A71" s="9">
        <v>45608.0</v>
      </c>
      <c r="B71" s="4">
        <v>4216.0</v>
      </c>
      <c r="C71" s="4">
        <v>4218.0</v>
      </c>
      <c r="D71" s="4">
        <v>4164.35</v>
      </c>
      <c r="E71" s="4">
        <v>4180.0</v>
      </c>
      <c r="F71" s="4">
        <v>4197.4</v>
      </c>
      <c r="G71" s="4">
        <v>4195.93</v>
      </c>
      <c r="H71" s="1" t="s">
        <v>1223</v>
      </c>
      <c r="I71" s="1" t="s">
        <v>1226</v>
      </c>
      <c r="J71" s="1" t="s">
        <v>1227</v>
      </c>
      <c r="K71" s="7">
        <f t="shared" si="2"/>
        <v>-0.0003096196442</v>
      </c>
      <c r="L71" s="7">
        <v>-0.010680866399075383</v>
      </c>
      <c r="M71" s="1">
        <f t="shared" si="1"/>
        <v>1587640</v>
      </c>
    </row>
    <row r="72">
      <c r="A72" s="9">
        <v>45609.0</v>
      </c>
      <c r="B72" s="4">
        <v>4178.1</v>
      </c>
      <c r="C72" s="4">
        <v>4196.75</v>
      </c>
      <c r="D72" s="4">
        <v>4131.05</v>
      </c>
      <c r="E72" s="4">
        <v>4151.65</v>
      </c>
      <c r="F72" s="4">
        <v>4150.35</v>
      </c>
      <c r="G72" s="4">
        <v>4155.05</v>
      </c>
      <c r="H72" s="1" t="s">
        <v>1237</v>
      </c>
      <c r="I72" s="1" t="s">
        <v>1238</v>
      </c>
      <c r="J72" s="1" t="s">
        <v>1240</v>
      </c>
      <c r="K72" s="7">
        <f t="shared" si="2"/>
        <v>-0.01120932006</v>
      </c>
      <c r="L72" s="7">
        <v>-0.013582627300494754</v>
      </c>
      <c r="M72" s="1">
        <f t="shared" si="1"/>
        <v>1098813</v>
      </c>
    </row>
    <row r="73">
      <c r="A73" s="9">
        <v>45610.0</v>
      </c>
      <c r="B73" s="4">
        <v>4135.0</v>
      </c>
      <c r="C73" s="4">
        <v>4160.0</v>
      </c>
      <c r="D73" s="4">
        <v>4116.45</v>
      </c>
      <c r="E73" s="4">
        <v>4148.0</v>
      </c>
      <c r="F73" s="4">
        <v>4145.9</v>
      </c>
      <c r="G73" s="4">
        <v>4142.32</v>
      </c>
      <c r="H73" s="1" t="s">
        <v>1253</v>
      </c>
      <c r="I73" s="1" t="s">
        <v>1254</v>
      </c>
      <c r="J73" s="1" t="s">
        <v>1257</v>
      </c>
      <c r="K73" s="7">
        <f t="shared" si="2"/>
        <v>-0.00107219873</v>
      </c>
      <c r="L73" s="7">
        <v>-0.001118466152073133</v>
      </c>
      <c r="M73" s="1">
        <f t="shared" si="1"/>
        <v>1825432</v>
      </c>
    </row>
    <row r="74">
      <c r="A74" s="9">
        <v>45614.0</v>
      </c>
      <c r="B74" s="4">
        <v>4213.0</v>
      </c>
      <c r="C74" s="4">
        <v>4213.0</v>
      </c>
      <c r="D74" s="4">
        <v>3990.2</v>
      </c>
      <c r="E74" s="4">
        <v>4017.15</v>
      </c>
      <c r="F74" s="4">
        <v>4019.5</v>
      </c>
      <c r="G74" s="4">
        <v>4071.97</v>
      </c>
      <c r="H74" s="1" t="s">
        <v>1270</v>
      </c>
      <c r="I74" s="1" t="s">
        <v>1271</v>
      </c>
      <c r="J74" s="1" t="s">
        <v>1273</v>
      </c>
      <c r="K74" s="7">
        <f t="shared" si="2"/>
        <v>-0.03048795195</v>
      </c>
      <c r="L74" s="7">
        <v>-0.003352781448792593</v>
      </c>
      <c r="M74" s="1">
        <f t="shared" si="1"/>
        <v>3313944</v>
      </c>
    </row>
    <row r="75">
      <c r="A75" s="9">
        <v>45615.0</v>
      </c>
      <c r="B75" s="4">
        <v>4019.9</v>
      </c>
      <c r="C75" s="4">
        <v>4132.15</v>
      </c>
      <c r="D75" s="4">
        <v>4014.1</v>
      </c>
      <c r="E75" s="4">
        <v>4042.0</v>
      </c>
      <c r="F75" s="4">
        <v>4039.55</v>
      </c>
      <c r="G75" s="4">
        <v>4080.53</v>
      </c>
      <c r="H75" s="1" t="s">
        <v>1284</v>
      </c>
      <c r="I75" s="1" t="s">
        <v>1286</v>
      </c>
      <c r="J75" s="1" t="s">
        <v>1288</v>
      </c>
      <c r="K75" s="7">
        <f t="shared" si="2"/>
        <v>0.00498818261</v>
      </c>
      <c r="L75" s="7">
        <v>0.002758614808687749</v>
      </c>
      <c r="M75" s="1">
        <f t="shared" si="1"/>
        <v>1776233</v>
      </c>
    </row>
    <row r="76">
      <c r="A76" s="9">
        <v>45617.0</v>
      </c>
      <c r="B76" s="4">
        <v>4044.9</v>
      </c>
      <c r="C76" s="4">
        <v>4092.45</v>
      </c>
      <c r="D76" s="4">
        <v>4024.0</v>
      </c>
      <c r="E76" s="4">
        <v>4068.0</v>
      </c>
      <c r="F76" s="4">
        <v>4072.85</v>
      </c>
      <c r="G76" s="4">
        <v>4058.28</v>
      </c>
      <c r="H76" s="1" t="s">
        <v>1307</v>
      </c>
      <c r="I76" s="1" t="s">
        <v>1309</v>
      </c>
      <c r="J76" s="1" t="s">
        <v>1310</v>
      </c>
      <c r="K76" s="7">
        <f t="shared" si="2"/>
        <v>0.008243492468</v>
      </c>
      <c r="L76" s="7">
        <v>-0.007168824542381468</v>
      </c>
      <c r="M76" s="1">
        <f t="shared" si="1"/>
        <v>2384347</v>
      </c>
    </row>
    <row r="77">
      <c r="A77" s="9">
        <v>45618.0</v>
      </c>
      <c r="B77" s="4">
        <v>4071.0</v>
      </c>
      <c r="C77" s="4">
        <v>4254.95</v>
      </c>
      <c r="D77" s="4">
        <v>4054.0</v>
      </c>
      <c r="E77" s="4">
        <v>4221.95</v>
      </c>
      <c r="F77" s="4">
        <v>4244.6</v>
      </c>
      <c r="G77" s="4">
        <v>4186.15</v>
      </c>
      <c r="H77" s="1" t="s">
        <v>1320</v>
      </c>
      <c r="I77" s="1" t="s">
        <v>1322</v>
      </c>
      <c r="J77" s="1" t="s">
        <v>1324</v>
      </c>
      <c r="K77" s="7">
        <f t="shared" si="2"/>
        <v>0.0421694882</v>
      </c>
      <c r="L77" s="7">
        <v>0.023869481239748285</v>
      </c>
      <c r="M77" s="1">
        <f t="shared" si="1"/>
        <v>3096553</v>
      </c>
    </row>
    <row r="78">
      <c r="A78" s="9">
        <v>45621.0</v>
      </c>
      <c r="B78" s="4">
        <v>4280.0</v>
      </c>
      <c r="C78" s="4">
        <v>4328.1</v>
      </c>
      <c r="D78" s="4">
        <v>4252.2</v>
      </c>
      <c r="E78" s="4">
        <v>4320.0</v>
      </c>
      <c r="F78" s="4">
        <v>4315.1</v>
      </c>
      <c r="G78" s="4">
        <v>4303.42</v>
      </c>
      <c r="H78" s="1" t="s">
        <v>1340</v>
      </c>
      <c r="I78" s="1" t="s">
        <v>1341</v>
      </c>
      <c r="J78" s="1" t="s">
        <v>1342</v>
      </c>
      <c r="K78" s="7">
        <f t="shared" si="2"/>
        <v>0.01660933892</v>
      </c>
      <c r="L78" s="7">
        <v>0.01316127952817666</v>
      </c>
      <c r="M78" s="1">
        <f t="shared" si="1"/>
        <v>4052167</v>
      </c>
    </row>
    <row r="79">
      <c r="A79" s="9">
        <v>45622.0</v>
      </c>
      <c r="B79" s="4">
        <v>4321.05</v>
      </c>
      <c r="C79" s="4">
        <v>4366.6</v>
      </c>
      <c r="D79" s="4">
        <v>4310.0</v>
      </c>
      <c r="E79" s="4">
        <v>4351.0</v>
      </c>
      <c r="F79" s="4">
        <v>4352.7</v>
      </c>
      <c r="G79" s="4">
        <v>4337.42</v>
      </c>
      <c r="H79" s="1" t="s">
        <v>1352</v>
      </c>
      <c r="I79" s="1" t="s">
        <v>1353</v>
      </c>
      <c r="J79" s="1" t="s">
        <v>1356</v>
      </c>
      <c r="K79" s="7">
        <f t="shared" si="2"/>
        <v>0.008713587171</v>
      </c>
      <c r="L79" s="7">
        <v>-0.0011312077087264605</v>
      </c>
      <c r="M79" s="1">
        <f t="shared" si="1"/>
        <v>2060669</v>
      </c>
    </row>
    <row r="80">
      <c r="A80" s="9">
        <v>45623.0</v>
      </c>
      <c r="B80" s="4">
        <v>4358.95</v>
      </c>
      <c r="C80" s="4">
        <v>4377.4</v>
      </c>
      <c r="D80" s="4">
        <v>4324.05</v>
      </c>
      <c r="E80" s="4">
        <v>4332.95</v>
      </c>
      <c r="F80" s="4">
        <v>4332.55</v>
      </c>
      <c r="G80" s="4">
        <v>4348.89</v>
      </c>
      <c r="H80" s="1" t="s">
        <v>1370</v>
      </c>
      <c r="I80" s="1" t="s">
        <v>1371</v>
      </c>
      <c r="J80" s="1" t="s">
        <v>1372</v>
      </c>
      <c r="K80" s="7">
        <f t="shared" si="2"/>
        <v>-0.004629310543</v>
      </c>
      <c r="L80" s="7">
        <v>0.003323069292607884</v>
      </c>
      <c r="M80" s="1">
        <f t="shared" si="1"/>
        <v>1558993</v>
      </c>
    </row>
    <row r="81">
      <c r="A81" s="9">
        <v>45624.0</v>
      </c>
      <c r="B81" s="4">
        <v>4319.0</v>
      </c>
      <c r="C81" s="4">
        <v>4339.95</v>
      </c>
      <c r="D81" s="4">
        <v>4233.0</v>
      </c>
      <c r="E81" s="4">
        <v>4250.8</v>
      </c>
      <c r="F81" s="4">
        <v>4244.9</v>
      </c>
      <c r="G81" s="4">
        <v>4265.99</v>
      </c>
      <c r="H81" s="1" t="s">
        <v>1385</v>
      </c>
      <c r="I81" s="1" t="s">
        <v>1388</v>
      </c>
      <c r="J81" s="1" t="s">
        <v>1390</v>
      </c>
      <c r="K81" s="7">
        <f t="shared" si="2"/>
        <v>-0.02023058014</v>
      </c>
      <c r="L81" s="7">
        <v>-0.014861029293632517</v>
      </c>
      <c r="M81" s="1">
        <f t="shared" si="1"/>
        <v>2558544</v>
      </c>
    </row>
    <row r="82">
      <c r="A82" s="9">
        <v>45625.0</v>
      </c>
      <c r="B82" s="4">
        <v>4220.0</v>
      </c>
      <c r="C82" s="4">
        <v>4298.7</v>
      </c>
      <c r="D82" s="4">
        <v>4195.65</v>
      </c>
      <c r="E82" s="4">
        <v>4266.0</v>
      </c>
      <c r="F82" s="4">
        <v>4270.85</v>
      </c>
      <c r="G82" s="4">
        <v>4262.53</v>
      </c>
      <c r="H82" s="1" t="s">
        <v>1400</v>
      </c>
      <c r="I82" s="1" t="s">
        <v>1401</v>
      </c>
      <c r="J82" s="1" t="s">
        <v>1402</v>
      </c>
      <c r="K82" s="7">
        <f t="shared" si="2"/>
        <v>0.006113218215</v>
      </c>
      <c r="L82" s="7">
        <v>0.009072034757664273</v>
      </c>
      <c r="M82" s="1">
        <f t="shared" si="1"/>
        <v>2017425</v>
      </c>
    </row>
    <row r="83">
      <c r="A83" s="3">
        <v>45628.0</v>
      </c>
      <c r="B83" s="4">
        <v>4270.0</v>
      </c>
      <c r="C83" s="4">
        <v>4288.2</v>
      </c>
      <c r="D83" s="4">
        <v>4230.05</v>
      </c>
      <c r="E83" s="4">
        <v>4268.85</v>
      </c>
      <c r="F83" s="4">
        <v>4276.65</v>
      </c>
      <c r="G83" s="4">
        <v>4267.97</v>
      </c>
      <c r="H83" s="1" t="s">
        <v>1414</v>
      </c>
      <c r="I83" s="1" t="s">
        <v>1419</v>
      </c>
      <c r="J83" s="1" t="s">
        <v>1420</v>
      </c>
      <c r="K83" s="7">
        <f t="shared" si="2"/>
        <v>0.001358043481</v>
      </c>
      <c r="L83" s="7">
        <v>0.006006771344862055</v>
      </c>
      <c r="M83" s="1">
        <f t="shared" si="1"/>
        <v>1670944</v>
      </c>
    </row>
    <row r="84">
      <c r="A84" s="3">
        <v>45629.0</v>
      </c>
      <c r="B84" s="4">
        <v>4314.35</v>
      </c>
      <c r="C84" s="4">
        <v>4325.0</v>
      </c>
      <c r="D84" s="4">
        <v>4265.45</v>
      </c>
      <c r="E84" s="4">
        <v>4303.0</v>
      </c>
      <c r="F84" s="4">
        <v>4302.75</v>
      </c>
      <c r="G84" s="4">
        <v>4298.86</v>
      </c>
      <c r="H84" s="1" t="s">
        <v>1432</v>
      </c>
      <c r="I84" s="1" t="s">
        <v>1434</v>
      </c>
      <c r="J84" s="1" t="s">
        <v>1436</v>
      </c>
      <c r="K84" s="7">
        <f t="shared" si="2"/>
        <v>0.00610290765</v>
      </c>
      <c r="L84" s="7">
        <v>0.007460027475639661</v>
      </c>
      <c r="M84" s="1">
        <f t="shared" si="1"/>
        <v>2010905</v>
      </c>
    </row>
    <row r="85">
      <c r="A85" s="3">
        <v>45630.0</v>
      </c>
      <c r="B85" s="4">
        <v>4313.55</v>
      </c>
      <c r="C85" s="4">
        <v>4386.95</v>
      </c>
      <c r="D85" s="4">
        <v>4289.05</v>
      </c>
      <c r="E85" s="4">
        <v>4342.0</v>
      </c>
      <c r="F85" s="4">
        <v>4354.4</v>
      </c>
      <c r="G85" s="4">
        <v>4360.32</v>
      </c>
      <c r="H85" s="1" t="s">
        <v>1451</v>
      </c>
      <c r="I85" s="1" t="s">
        <v>1454</v>
      </c>
      <c r="J85" s="1" t="s">
        <v>1456</v>
      </c>
      <c r="K85" s="7">
        <f t="shared" si="2"/>
        <v>0.01200395096</v>
      </c>
      <c r="L85" s="7">
        <v>4.211447368151756E-4</v>
      </c>
      <c r="M85" s="1">
        <f t="shared" si="1"/>
        <v>3302642</v>
      </c>
    </row>
    <row r="86">
      <c r="A86" s="3">
        <v>45631.0</v>
      </c>
      <c r="B86" s="4">
        <v>4400.8</v>
      </c>
      <c r="C86" s="4">
        <v>4489.0</v>
      </c>
      <c r="D86" s="4">
        <v>4360.0</v>
      </c>
      <c r="E86" s="4">
        <v>4455.15</v>
      </c>
      <c r="F86" s="4">
        <v>4464.05</v>
      </c>
      <c r="G86" s="4">
        <v>4430.75</v>
      </c>
      <c r="H86" s="1" t="s">
        <v>1465</v>
      </c>
      <c r="I86" s="1" t="s">
        <v>1466</v>
      </c>
      <c r="J86" s="1" t="s">
        <v>1468</v>
      </c>
      <c r="K86" s="7">
        <f t="shared" si="2"/>
        <v>0.02518142568</v>
      </c>
      <c r="L86" s="7">
        <v>0.009847777353177415</v>
      </c>
      <c r="M86" s="1">
        <f t="shared" si="1"/>
        <v>3746747</v>
      </c>
    </row>
    <row r="87">
      <c r="A87" s="3">
        <v>45632.0</v>
      </c>
      <c r="B87" s="4">
        <v>4453.0</v>
      </c>
      <c r="C87" s="4">
        <v>4465.0</v>
      </c>
      <c r="D87" s="4">
        <v>4412.75</v>
      </c>
      <c r="E87" s="4">
        <v>4444.15</v>
      </c>
      <c r="F87" s="4">
        <v>4445.5</v>
      </c>
      <c r="G87" s="4">
        <v>4439.27</v>
      </c>
      <c r="H87" s="1" t="s">
        <v>1480</v>
      </c>
      <c r="I87" s="1" t="s">
        <v>1481</v>
      </c>
      <c r="J87" s="1" t="s">
        <v>1482</v>
      </c>
      <c r="K87" s="7">
        <f t="shared" si="2"/>
        <v>-0.004155419406</v>
      </c>
      <c r="L87" s="7">
        <v>-0.0012384452251057204</v>
      </c>
      <c r="M87" s="1">
        <f t="shared" si="1"/>
        <v>1842087</v>
      </c>
    </row>
    <row r="88">
      <c r="A88" s="3">
        <v>45635.0</v>
      </c>
      <c r="B88" s="4">
        <v>4430.45</v>
      </c>
      <c r="C88" s="4">
        <v>4469.4</v>
      </c>
      <c r="D88" s="4">
        <v>4415.55</v>
      </c>
      <c r="E88" s="4">
        <v>4445.6</v>
      </c>
      <c r="F88" s="4">
        <v>4452.15</v>
      </c>
      <c r="G88" s="4">
        <v>4446.54</v>
      </c>
      <c r="H88" s="1" t="s">
        <v>1492</v>
      </c>
      <c r="I88" s="1" t="s">
        <v>1494</v>
      </c>
      <c r="J88" s="1" t="s">
        <v>1496</v>
      </c>
      <c r="K88" s="7">
        <f t="shared" si="2"/>
        <v>0.001495894725</v>
      </c>
      <c r="L88" s="7">
        <v>-0.0023827083451522938</v>
      </c>
      <c r="M88" s="1">
        <f t="shared" si="1"/>
        <v>2066639</v>
      </c>
    </row>
    <row r="89">
      <c r="A89" s="9">
        <v>45636.0</v>
      </c>
      <c r="B89" s="4">
        <v>4426.15</v>
      </c>
      <c r="C89" s="4">
        <v>4493.8</v>
      </c>
      <c r="D89" s="4">
        <v>4412.1</v>
      </c>
      <c r="E89" s="4">
        <v>4437.8</v>
      </c>
      <c r="F89" s="4">
        <v>4432.55</v>
      </c>
      <c r="G89" s="4">
        <v>4440.97</v>
      </c>
      <c r="H89" s="1" t="s">
        <v>1507</v>
      </c>
      <c r="I89" s="1" t="s">
        <v>1510</v>
      </c>
      <c r="J89" s="1" t="s">
        <v>1514</v>
      </c>
      <c r="K89" s="7">
        <f t="shared" si="2"/>
        <v>-0.004402367396</v>
      </c>
      <c r="L89" s="7">
        <v>-3.635403550103874E-4</v>
      </c>
      <c r="M89" s="1">
        <f t="shared" si="1"/>
        <v>2087828</v>
      </c>
    </row>
    <row r="90">
      <c r="A90" s="9">
        <v>45637.0</v>
      </c>
      <c r="B90" s="4">
        <v>4431.85</v>
      </c>
      <c r="C90" s="4">
        <v>4448.65</v>
      </c>
      <c r="D90" s="4">
        <v>4407.0</v>
      </c>
      <c r="E90" s="4">
        <v>4423.0</v>
      </c>
      <c r="F90" s="4">
        <v>4427.45</v>
      </c>
      <c r="G90" s="4">
        <v>4425.28</v>
      </c>
      <c r="H90" s="1" t="s">
        <v>1525</v>
      </c>
      <c r="I90" s="1" t="s">
        <v>1526</v>
      </c>
      <c r="J90" s="1" t="s">
        <v>1527</v>
      </c>
      <c r="K90" s="7">
        <f t="shared" si="2"/>
        <v>-0.001150579238</v>
      </c>
      <c r="L90" s="7">
        <v>0.00129012334391844</v>
      </c>
      <c r="M90" s="1">
        <f t="shared" si="1"/>
        <v>1635256</v>
      </c>
    </row>
    <row r="91">
      <c r="A91" s="9">
        <v>45638.0</v>
      </c>
      <c r="B91" s="4">
        <v>4430.05</v>
      </c>
      <c r="C91" s="4">
        <v>4485.0</v>
      </c>
      <c r="D91" s="4">
        <v>4426.0</v>
      </c>
      <c r="E91" s="4">
        <v>4460.0</v>
      </c>
      <c r="F91" s="4">
        <v>4454.95</v>
      </c>
      <c r="G91" s="4">
        <v>4461.52</v>
      </c>
      <c r="H91" s="1" t="s">
        <v>1545</v>
      </c>
      <c r="I91" s="1" t="s">
        <v>1550</v>
      </c>
      <c r="J91" s="1" t="s">
        <v>1551</v>
      </c>
      <c r="K91" s="7">
        <f t="shared" si="2"/>
        <v>0.006211250268</v>
      </c>
      <c r="L91" s="7">
        <v>-0.00377813309092674</v>
      </c>
      <c r="M91" s="1">
        <f t="shared" si="1"/>
        <v>1914642</v>
      </c>
    </row>
    <row r="92">
      <c r="A92" s="9">
        <v>45639.0</v>
      </c>
      <c r="B92" s="4">
        <v>4434.95</v>
      </c>
      <c r="C92" s="4">
        <v>4494.9</v>
      </c>
      <c r="D92" s="4">
        <v>4394.4</v>
      </c>
      <c r="E92" s="4">
        <v>4474.9</v>
      </c>
      <c r="F92" s="4">
        <v>4473.9</v>
      </c>
      <c r="G92" s="4">
        <v>4457.63</v>
      </c>
      <c r="H92" s="1" t="s">
        <v>1567</v>
      </c>
      <c r="I92" s="1" t="s">
        <v>1568</v>
      </c>
      <c r="J92" s="1" t="s">
        <v>1570</v>
      </c>
      <c r="K92" s="7">
        <f t="shared" si="2"/>
        <v>0.004253695328</v>
      </c>
      <c r="L92" s="7">
        <v>0.008945483874909814</v>
      </c>
      <c r="M92" s="1">
        <f t="shared" si="1"/>
        <v>1967048</v>
      </c>
    </row>
    <row r="93">
      <c r="A93" s="9">
        <v>45642.0</v>
      </c>
      <c r="B93" s="4">
        <v>4459.0</v>
      </c>
      <c r="C93" s="4">
        <v>4475.0</v>
      </c>
      <c r="D93" s="4">
        <v>4397.0</v>
      </c>
      <c r="E93" s="4">
        <v>4416.0</v>
      </c>
      <c r="F93" s="4">
        <v>4415.2</v>
      </c>
      <c r="G93" s="4">
        <v>4425.19</v>
      </c>
      <c r="H93" s="1" t="s">
        <v>1596</v>
      </c>
      <c r="I93" s="1" t="s">
        <v>1601</v>
      </c>
      <c r="J93" s="1" t="s">
        <v>1602</v>
      </c>
      <c r="K93" s="7">
        <f t="shared" si="2"/>
        <v>-0.0131205436</v>
      </c>
      <c r="L93" s="7">
        <v>-0.004039437506813115</v>
      </c>
      <c r="M93" s="1">
        <f t="shared" si="1"/>
        <v>1646224</v>
      </c>
    </row>
    <row r="94">
      <c r="A94" s="9">
        <v>45643.0</v>
      </c>
      <c r="B94" s="4">
        <v>4410.0</v>
      </c>
      <c r="C94" s="4">
        <v>4432.95</v>
      </c>
      <c r="D94" s="4">
        <v>4318.0</v>
      </c>
      <c r="E94" s="4">
        <v>4322.7</v>
      </c>
      <c r="F94" s="4">
        <v>4328.5</v>
      </c>
      <c r="G94" s="4">
        <v>4346.26</v>
      </c>
      <c r="H94" s="1" t="s">
        <v>1612</v>
      </c>
      <c r="I94" s="1" t="s">
        <v>1613</v>
      </c>
      <c r="J94" s="1" t="s">
        <v>1615</v>
      </c>
      <c r="K94" s="7">
        <f t="shared" si="2"/>
        <v>-0.01963670955</v>
      </c>
      <c r="L94" s="7">
        <v>-0.013468730047733423</v>
      </c>
      <c r="M94" s="1">
        <f t="shared" si="1"/>
        <v>3225027</v>
      </c>
    </row>
    <row r="95">
      <c r="A95" s="9">
        <v>45644.0</v>
      </c>
      <c r="B95" s="4">
        <v>4311.7</v>
      </c>
      <c r="C95" s="4">
        <v>4362.0</v>
      </c>
      <c r="D95" s="4">
        <v>4289.6</v>
      </c>
      <c r="E95" s="4">
        <v>4355.65</v>
      </c>
      <c r="F95" s="4">
        <v>4347.85</v>
      </c>
      <c r="G95" s="4">
        <v>4333.96</v>
      </c>
      <c r="H95" s="1" t="s">
        <v>1630</v>
      </c>
      <c r="I95" s="1" t="s">
        <v>1631</v>
      </c>
      <c r="J95" s="1" t="s">
        <v>1632</v>
      </c>
      <c r="K95" s="7">
        <f t="shared" si="2"/>
        <v>0.004470370798</v>
      </c>
      <c r="L95" s="7">
        <v>-0.0056356837606838205</v>
      </c>
      <c r="M95" s="1">
        <f t="shared" si="1"/>
        <v>1575404</v>
      </c>
    </row>
    <row r="96">
      <c r="A96" s="9">
        <v>45645.0</v>
      </c>
      <c r="B96" s="4">
        <v>4282.0</v>
      </c>
      <c r="C96" s="4">
        <v>4364.0</v>
      </c>
      <c r="D96" s="4">
        <v>4262.0</v>
      </c>
      <c r="E96" s="4">
        <v>4281.0</v>
      </c>
      <c r="F96" s="4">
        <v>4271.9</v>
      </c>
      <c r="G96" s="4">
        <v>4302.28</v>
      </c>
      <c r="H96" s="1" t="s">
        <v>1642</v>
      </c>
      <c r="I96" s="1" t="s">
        <v>1644</v>
      </c>
      <c r="J96" s="1" t="s">
        <v>1646</v>
      </c>
      <c r="K96" s="7">
        <f t="shared" si="2"/>
        <v>-0.01746840392</v>
      </c>
      <c r="L96" s="7">
        <v>-0.010213295259898624</v>
      </c>
      <c r="M96" s="1">
        <f t="shared" si="1"/>
        <v>3015763</v>
      </c>
    </row>
    <row r="97">
      <c r="A97" s="9">
        <v>45646.0</v>
      </c>
      <c r="B97" s="4">
        <v>4329.0</v>
      </c>
      <c r="C97" s="4">
        <v>4382.0</v>
      </c>
      <c r="D97" s="4">
        <v>4152.5</v>
      </c>
      <c r="E97" s="4">
        <v>4177.05</v>
      </c>
      <c r="F97" s="4">
        <v>4170.3</v>
      </c>
      <c r="G97" s="4">
        <v>4239.81</v>
      </c>
      <c r="H97" s="1" t="s">
        <v>1657</v>
      </c>
      <c r="I97" s="1" t="s">
        <v>1659</v>
      </c>
      <c r="J97" s="1" t="s">
        <v>1662</v>
      </c>
      <c r="K97" s="7">
        <f t="shared" si="2"/>
        <v>-0.02378332826</v>
      </c>
      <c r="L97" s="7">
        <v>-0.01520560127256106</v>
      </c>
      <c r="M97" s="1">
        <f t="shared" si="1"/>
        <v>4116989</v>
      </c>
    </row>
    <row r="98">
      <c r="A98" s="9">
        <v>45649.0</v>
      </c>
      <c r="B98" s="4">
        <v>4200.05</v>
      </c>
      <c r="C98" s="4">
        <v>4217.0</v>
      </c>
      <c r="D98" s="4">
        <v>4114.9</v>
      </c>
      <c r="E98" s="4">
        <v>4157.05</v>
      </c>
      <c r="F98" s="4">
        <v>4158.3</v>
      </c>
      <c r="G98" s="4">
        <v>4150.99</v>
      </c>
      <c r="H98" s="1" t="s">
        <v>1672</v>
      </c>
      <c r="I98" s="1" t="s">
        <v>1673</v>
      </c>
      <c r="J98" s="1" t="s">
        <v>1674</v>
      </c>
      <c r="K98" s="7">
        <f t="shared" si="2"/>
        <v>-0.002877490828</v>
      </c>
      <c r="L98" s="7">
        <v>0.007035506094329655</v>
      </c>
      <c r="M98" s="1">
        <f t="shared" si="1"/>
        <v>2195338</v>
      </c>
    </row>
    <row r="99">
      <c r="A99" s="9">
        <v>45650.0</v>
      </c>
      <c r="B99" s="4">
        <v>4158.3</v>
      </c>
      <c r="C99" s="4">
        <v>4218.0</v>
      </c>
      <c r="D99" s="4">
        <v>4158.3</v>
      </c>
      <c r="E99" s="4">
        <v>4182.0</v>
      </c>
      <c r="F99" s="4">
        <v>4179.5</v>
      </c>
      <c r="G99" s="4">
        <v>4186.17</v>
      </c>
      <c r="H99" s="1" t="s">
        <v>1684</v>
      </c>
      <c r="I99" s="1" t="s">
        <v>1687</v>
      </c>
      <c r="J99" s="11">
        <v>77609.0</v>
      </c>
      <c r="K99" s="7">
        <f t="shared" si="2"/>
        <v>0.00509823726</v>
      </c>
      <c r="L99" s="7">
        <v>-0.0010861580107310422</v>
      </c>
      <c r="M99" s="1">
        <f t="shared" si="1"/>
        <v>1181886</v>
      </c>
    </row>
    <row r="100">
      <c r="A100" s="9">
        <v>45652.0</v>
      </c>
      <c r="B100" s="4">
        <v>4179.5</v>
      </c>
      <c r="C100" s="4">
        <v>4199.95</v>
      </c>
      <c r="D100" s="4">
        <v>4143.15</v>
      </c>
      <c r="E100" s="4">
        <v>4170.0</v>
      </c>
      <c r="F100" s="4">
        <v>4169.1</v>
      </c>
      <c r="G100" s="4">
        <v>4163.43</v>
      </c>
      <c r="H100" s="1" t="s">
        <v>1699</v>
      </c>
      <c r="I100" s="1" t="s">
        <v>1701</v>
      </c>
      <c r="J100" s="1" t="s">
        <v>1704</v>
      </c>
      <c r="K100" s="7">
        <f t="shared" si="2"/>
        <v>-0.002488335925</v>
      </c>
      <c r="L100" s="7">
        <v>9.5036803054661E-4</v>
      </c>
      <c r="M100" s="1">
        <f t="shared" si="1"/>
        <v>1208464</v>
      </c>
    </row>
    <row r="101">
      <c r="A101" s="9">
        <v>45653.0</v>
      </c>
      <c r="B101" s="4">
        <v>4163.0</v>
      </c>
      <c r="C101" s="4">
        <v>4180.95</v>
      </c>
      <c r="D101" s="4">
        <v>4147.25</v>
      </c>
      <c r="E101" s="4">
        <v>4157.1</v>
      </c>
      <c r="F101" s="4">
        <v>4164.85</v>
      </c>
      <c r="G101" s="4">
        <v>4163.19</v>
      </c>
      <c r="H101" s="1" t="s">
        <v>1715</v>
      </c>
      <c r="I101" s="1" t="s">
        <v>1718</v>
      </c>
      <c r="J101" s="11">
        <v>88194.0</v>
      </c>
      <c r="K101" s="7">
        <f t="shared" si="2"/>
        <v>-0.001019404668</v>
      </c>
      <c r="L101" s="7">
        <v>0.0026610302229034166</v>
      </c>
      <c r="M101" s="1">
        <f t="shared" si="1"/>
        <v>858100</v>
      </c>
    </row>
    <row r="102">
      <c r="A102" s="9">
        <v>45656.0</v>
      </c>
      <c r="B102" s="4">
        <v>4151.0</v>
      </c>
      <c r="C102" s="4">
        <v>4199.3</v>
      </c>
      <c r="D102" s="4">
        <v>4112.0</v>
      </c>
      <c r="E102" s="4">
        <v>4150.0</v>
      </c>
      <c r="F102" s="4">
        <v>4158.8</v>
      </c>
      <c r="G102" s="4">
        <v>4152.08</v>
      </c>
      <c r="H102" s="1" t="s">
        <v>1730</v>
      </c>
      <c r="I102" s="1" t="s">
        <v>1731</v>
      </c>
      <c r="J102" s="1" t="s">
        <v>1732</v>
      </c>
      <c r="K102" s="7">
        <f t="shared" si="2"/>
        <v>-0.001452633348</v>
      </c>
      <c r="L102" s="7">
        <v>-0.007075848051937144</v>
      </c>
      <c r="M102" s="1">
        <f t="shared" si="1"/>
        <v>1527169</v>
      </c>
    </row>
    <row r="103">
      <c r="A103" s="9">
        <v>45657.0</v>
      </c>
      <c r="B103" s="4">
        <v>4135.0</v>
      </c>
      <c r="C103" s="4">
        <v>4139.95</v>
      </c>
      <c r="D103" s="4">
        <v>4032.05</v>
      </c>
      <c r="E103" s="4">
        <v>4106.0</v>
      </c>
      <c r="F103" s="4">
        <v>4094.8</v>
      </c>
      <c r="G103" s="4">
        <v>4079.71</v>
      </c>
      <c r="H103" s="1" t="s">
        <v>1744</v>
      </c>
      <c r="I103" s="1" t="s">
        <v>1746</v>
      </c>
      <c r="J103" s="1" t="s">
        <v>1747</v>
      </c>
      <c r="K103" s="7">
        <f t="shared" si="2"/>
        <v>-0.01538905453</v>
      </c>
      <c r="L103" s="7">
        <v>-4.2292418239105594E-6</v>
      </c>
      <c r="M103" s="1">
        <f t="shared" si="1"/>
        <v>1555429</v>
      </c>
    </row>
    <row r="104">
      <c r="A104" s="3">
        <v>45658.0</v>
      </c>
      <c r="B104" s="4">
        <v>4094.4</v>
      </c>
      <c r="C104" s="4">
        <v>4134.0</v>
      </c>
      <c r="D104" s="4">
        <v>4085.45</v>
      </c>
      <c r="E104" s="4">
        <v>4112.0</v>
      </c>
      <c r="F104" s="4">
        <v>4112.45</v>
      </c>
      <c r="G104" s="4">
        <v>4112.75</v>
      </c>
      <c r="H104" s="1" t="s">
        <v>1757</v>
      </c>
      <c r="I104" s="1" t="s">
        <v>1759</v>
      </c>
      <c r="J104" s="11">
        <v>99498.0</v>
      </c>
      <c r="K104" s="7">
        <f t="shared" si="2"/>
        <v>0.004310344828</v>
      </c>
      <c r="L104" s="7">
        <v>0.004148903775883162</v>
      </c>
      <c r="M104" s="1">
        <f t="shared" si="1"/>
        <v>763161</v>
      </c>
    </row>
    <row r="105">
      <c r="A105" s="3">
        <v>45659.0</v>
      </c>
      <c r="B105" s="4">
        <v>4120.0</v>
      </c>
      <c r="C105" s="4">
        <v>4183.0</v>
      </c>
      <c r="D105" s="4">
        <v>4096.95</v>
      </c>
      <c r="E105" s="4">
        <v>4166.0</v>
      </c>
      <c r="F105" s="4">
        <v>4175.75</v>
      </c>
      <c r="G105" s="4">
        <v>4159.77</v>
      </c>
      <c r="H105" s="1" t="s">
        <v>1774</v>
      </c>
      <c r="I105" s="1" t="s">
        <v>1775</v>
      </c>
      <c r="J105" s="1" t="s">
        <v>1776</v>
      </c>
      <c r="K105" s="7">
        <f t="shared" si="2"/>
        <v>0.0153922844</v>
      </c>
      <c r="L105" s="7">
        <v>0.01877403350054121</v>
      </c>
      <c r="M105" s="1">
        <f t="shared" si="1"/>
        <v>1720835</v>
      </c>
    </row>
    <row r="106">
      <c r="A106" s="3">
        <v>45660.0</v>
      </c>
      <c r="B106" s="4">
        <v>4179.95</v>
      </c>
      <c r="C106" s="4">
        <v>4179.95</v>
      </c>
      <c r="D106" s="4">
        <v>4092.3</v>
      </c>
      <c r="E106" s="4">
        <v>4097.0</v>
      </c>
      <c r="F106" s="4">
        <v>4099.9</v>
      </c>
      <c r="G106" s="4">
        <v>4114.17</v>
      </c>
      <c r="H106" s="1" t="s">
        <v>1789</v>
      </c>
      <c r="I106" s="1" t="s">
        <v>1791</v>
      </c>
      <c r="J106" s="1" t="s">
        <v>1795</v>
      </c>
      <c r="K106" s="7">
        <f t="shared" si="2"/>
        <v>-0.0181644016</v>
      </c>
      <c r="L106" s="7">
        <v>-0.0076027393012839265</v>
      </c>
      <c r="M106" s="1">
        <f t="shared" si="1"/>
        <v>1791953</v>
      </c>
    </row>
    <row r="107">
      <c r="A107" s="3">
        <v>45663.0</v>
      </c>
      <c r="B107" s="4">
        <v>4105.5</v>
      </c>
      <c r="C107" s="4">
        <v>4149.65</v>
      </c>
      <c r="D107" s="4">
        <v>4066.4</v>
      </c>
      <c r="E107" s="4">
        <v>4090.0</v>
      </c>
      <c r="F107" s="4">
        <v>4095.0</v>
      </c>
      <c r="G107" s="4">
        <v>4107.14</v>
      </c>
      <c r="H107" s="1" t="s">
        <v>1805</v>
      </c>
      <c r="I107" s="1" t="s">
        <v>1808</v>
      </c>
      <c r="J107" s="1" t="s">
        <v>1810</v>
      </c>
      <c r="K107" s="7">
        <f t="shared" si="2"/>
        <v>-0.001195151101</v>
      </c>
      <c r="L107" s="7">
        <v>-0.016192628542267707</v>
      </c>
      <c r="M107" s="1">
        <f t="shared" si="1"/>
        <v>2085593</v>
      </c>
    </row>
    <row r="108">
      <c r="A108" s="3">
        <v>45664.0</v>
      </c>
      <c r="B108" s="4">
        <v>4114.95</v>
      </c>
      <c r="C108" s="4">
        <v>4140.35</v>
      </c>
      <c r="D108" s="4">
        <v>4011.55</v>
      </c>
      <c r="E108" s="4">
        <v>4031.0</v>
      </c>
      <c r="F108" s="4">
        <v>4028.3</v>
      </c>
      <c r="G108" s="4">
        <v>4045.86</v>
      </c>
      <c r="H108" s="1" t="s">
        <v>1821</v>
      </c>
      <c r="I108" s="1" t="s">
        <v>1822</v>
      </c>
      <c r="J108" s="1" t="s">
        <v>1823</v>
      </c>
      <c r="K108" s="7">
        <f t="shared" si="2"/>
        <v>-0.01628815629</v>
      </c>
      <c r="L108" s="7">
        <v>0.003889304096155038</v>
      </c>
      <c r="M108" s="1">
        <f t="shared" si="1"/>
        <v>2669054</v>
      </c>
    </row>
    <row r="109">
      <c r="A109" s="3">
        <v>45665.0</v>
      </c>
      <c r="B109" s="4">
        <v>4034.9</v>
      </c>
      <c r="C109" s="4">
        <v>4126.0</v>
      </c>
      <c r="D109" s="4">
        <v>4017.75</v>
      </c>
      <c r="E109" s="4">
        <v>4095.05</v>
      </c>
      <c r="F109" s="4">
        <v>4108.4</v>
      </c>
      <c r="G109" s="4">
        <v>4056.18</v>
      </c>
      <c r="H109" s="1" t="s">
        <v>1839</v>
      </c>
      <c r="I109" s="1" t="s">
        <v>1841</v>
      </c>
      <c r="J109" s="1" t="s">
        <v>1843</v>
      </c>
      <c r="K109" s="7">
        <f t="shared" si="2"/>
        <v>0.01988431845</v>
      </c>
      <c r="L109" s="7">
        <v>-7.993116218644725E-4</v>
      </c>
      <c r="M109" s="1">
        <f t="shared" si="1"/>
        <v>2181277</v>
      </c>
    </row>
    <row r="110">
      <c r="A110" s="3">
        <v>45666.0</v>
      </c>
      <c r="B110" s="4">
        <v>4101.0</v>
      </c>
      <c r="C110" s="4">
        <v>4137.75</v>
      </c>
      <c r="D110" s="4">
        <v>4025.3</v>
      </c>
      <c r="E110" s="4">
        <v>4044.0</v>
      </c>
      <c r="F110" s="4">
        <v>4038.85</v>
      </c>
      <c r="G110" s="4">
        <v>4073.67</v>
      </c>
      <c r="H110" s="1" t="s">
        <v>1857</v>
      </c>
      <c r="I110" s="1" t="s">
        <v>1858</v>
      </c>
      <c r="J110" s="1" t="s">
        <v>1859</v>
      </c>
      <c r="K110" s="7">
        <f t="shared" si="2"/>
        <v>-0.01692873138</v>
      </c>
      <c r="L110" s="7">
        <v>-0.006857627712498896</v>
      </c>
      <c r="M110" s="1">
        <f t="shared" si="1"/>
        <v>2392472</v>
      </c>
    </row>
    <row r="111">
      <c r="A111" s="9">
        <v>45667.0</v>
      </c>
      <c r="B111" s="4">
        <v>4200.0</v>
      </c>
      <c r="C111" s="4">
        <v>4297.0</v>
      </c>
      <c r="D111" s="4">
        <v>4170.0</v>
      </c>
      <c r="E111" s="4">
        <v>4265.0</v>
      </c>
      <c r="F111" s="4">
        <v>4265.65</v>
      </c>
      <c r="G111" s="4">
        <v>4240.63</v>
      </c>
      <c r="H111" s="1" t="s">
        <v>1871</v>
      </c>
      <c r="I111" s="1" t="s">
        <v>1874</v>
      </c>
      <c r="J111" s="1" t="s">
        <v>1877</v>
      </c>
      <c r="K111" s="7">
        <f t="shared" si="2"/>
        <v>0.05615459846</v>
      </c>
      <c r="L111" s="7">
        <v>-0.00403799970246318</v>
      </c>
      <c r="M111" s="1">
        <f t="shared" si="1"/>
        <v>7894300</v>
      </c>
    </row>
    <row r="112">
      <c r="A112" s="9">
        <v>45670.0</v>
      </c>
      <c r="B112" s="4">
        <v>4245.0</v>
      </c>
      <c r="C112" s="4">
        <v>4322.95</v>
      </c>
      <c r="D112" s="4">
        <v>4227.4</v>
      </c>
      <c r="E112" s="4">
        <v>4299.0</v>
      </c>
      <c r="F112" s="4">
        <v>4291.1</v>
      </c>
      <c r="G112" s="4">
        <v>4294.04</v>
      </c>
      <c r="H112" s="1" t="s">
        <v>1890</v>
      </c>
      <c r="I112" s="1" t="s">
        <v>1891</v>
      </c>
      <c r="J112" s="1" t="s">
        <v>1893</v>
      </c>
      <c r="K112" s="7">
        <f t="shared" si="2"/>
        <v>0.005966265399</v>
      </c>
      <c r="L112" s="7">
        <v>-0.014747241960608552</v>
      </c>
      <c r="M112" s="1">
        <f t="shared" si="1"/>
        <v>4003771</v>
      </c>
    </row>
    <row r="113">
      <c r="A113" s="9">
        <v>45671.0</v>
      </c>
      <c r="B113" s="4">
        <v>4302.0</v>
      </c>
      <c r="C113" s="4">
        <v>4313.9</v>
      </c>
      <c r="D113" s="4">
        <v>4219.05</v>
      </c>
      <c r="E113" s="4">
        <v>4241.15</v>
      </c>
      <c r="F113" s="4">
        <v>4233.05</v>
      </c>
      <c r="G113" s="4">
        <v>4252.06</v>
      </c>
      <c r="H113" s="1" t="s">
        <v>1907</v>
      </c>
      <c r="I113" s="1" t="s">
        <v>1909</v>
      </c>
      <c r="J113" s="1" t="s">
        <v>1910</v>
      </c>
      <c r="K113" s="7">
        <f t="shared" si="2"/>
        <v>-0.01352799981</v>
      </c>
      <c r="L113" s="7">
        <v>0.0039028066854514777</v>
      </c>
      <c r="M113" s="1">
        <f t="shared" si="1"/>
        <v>3441709</v>
      </c>
    </row>
    <row r="114">
      <c r="A114" s="9">
        <v>45672.0</v>
      </c>
      <c r="B114" s="4">
        <v>4218.0</v>
      </c>
      <c r="C114" s="4">
        <v>4256.45</v>
      </c>
      <c r="D114" s="4">
        <v>4207.45</v>
      </c>
      <c r="E114" s="4">
        <v>4255.4</v>
      </c>
      <c r="F114" s="4">
        <v>4249.6</v>
      </c>
      <c r="G114" s="4">
        <v>4229.68</v>
      </c>
      <c r="H114" s="1" t="s">
        <v>1920</v>
      </c>
      <c r="I114" s="1" t="s">
        <v>1922</v>
      </c>
      <c r="J114" s="1" t="s">
        <v>1924</v>
      </c>
      <c r="K114" s="7">
        <f t="shared" si="2"/>
        <v>0.003909710492</v>
      </c>
      <c r="L114" s="7">
        <v>0.0016029478707545702</v>
      </c>
      <c r="M114" s="1">
        <f t="shared" si="1"/>
        <v>1653474</v>
      </c>
    </row>
    <row r="115">
      <c r="A115" s="9">
        <v>45673.0</v>
      </c>
      <c r="B115" s="4">
        <v>4260.0</v>
      </c>
      <c r="C115" s="4">
        <v>4294.0</v>
      </c>
      <c r="D115" s="4">
        <v>4191.85</v>
      </c>
      <c r="E115" s="4">
        <v>4215.0</v>
      </c>
      <c r="F115" s="4">
        <v>4206.3</v>
      </c>
      <c r="G115" s="4">
        <v>4212.91</v>
      </c>
      <c r="H115" s="1" t="s">
        <v>1938</v>
      </c>
      <c r="I115" s="1" t="s">
        <v>1939</v>
      </c>
      <c r="J115" s="1" t="s">
        <v>1940</v>
      </c>
      <c r="K115" s="7">
        <f t="shared" si="2"/>
        <v>-0.01018919428</v>
      </c>
      <c r="L115" s="7">
        <v>0.004247583271586793</v>
      </c>
      <c r="M115" s="1">
        <f t="shared" si="1"/>
        <v>2637705</v>
      </c>
    </row>
    <row r="116">
      <c r="A116" s="9">
        <v>45674.0</v>
      </c>
      <c r="B116" s="4">
        <v>4159.9</v>
      </c>
      <c r="C116" s="4">
        <v>4160.6</v>
      </c>
      <c r="D116" s="4">
        <v>4100.05</v>
      </c>
      <c r="E116" s="4">
        <v>4130.0</v>
      </c>
      <c r="F116" s="4">
        <v>4124.3</v>
      </c>
      <c r="G116" s="4">
        <v>4132.6</v>
      </c>
      <c r="H116" s="1" t="s">
        <v>1953</v>
      </c>
      <c r="I116" s="1" t="s">
        <v>1954</v>
      </c>
      <c r="J116" s="1" t="s">
        <v>1957</v>
      </c>
      <c r="K116" s="7">
        <f t="shared" si="2"/>
        <v>-0.01949456767</v>
      </c>
      <c r="L116" s="7">
        <v>-0.0046585849226571325</v>
      </c>
      <c r="M116" s="1">
        <f t="shared" si="1"/>
        <v>1761466</v>
      </c>
    </row>
    <row r="117">
      <c r="A117" s="9">
        <v>45677.0</v>
      </c>
      <c r="B117" s="4">
        <v>4145.8</v>
      </c>
      <c r="C117" s="4">
        <v>4145.8</v>
      </c>
      <c r="D117" s="4">
        <v>4068.1</v>
      </c>
      <c r="E117" s="4">
        <v>4080.0</v>
      </c>
      <c r="F117" s="4">
        <v>4077.8</v>
      </c>
      <c r="G117" s="4">
        <v>4085.51</v>
      </c>
      <c r="H117" s="1" t="s">
        <v>1970</v>
      </c>
      <c r="I117" s="1" t="s">
        <v>1972</v>
      </c>
      <c r="J117" s="1" t="s">
        <v>1973</v>
      </c>
      <c r="K117" s="7">
        <f t="shared" si="2"/>
        <v>-0.01127464055</v>
      </c>
      <c r="L117" s="7">
        <v>0.006100451661839715</v>
      </c>
      <c r="M117" s="1">
        <f t="shared" si="1"/>
        <v>1287799</v>
      </c>
    </row>
    <row r="118">
      <c r="A118" s="9">
        <v>45678.0</v>
      </c>
      <c r="B118" s="4">
        <v>4095.3</v>
      </c>
      <c r="C118" s="4">
        <v>4111.0</v>
      </c>
      <c r="D118" s="4">
        <v>4030.0</v>
      </c>
      <c r="E118" s="4">
        <v>4038.0</v>
      </c>
      <c r="F118" s="4">
        <v>4035.85</v>
      </c>
      <c r="G118" s="4">
        <v>4065.27</v>
      </c>
      <c r="H118" s="1" t="s">
        <v>1986</v>
      </c>
      <c r="I118" s="1" t="s">
        <v>1987</v>
      </c>
      <c r="J118" s="1" t="s">
        <v>1988</v>
      </c>
      <c r="K118" s="7">
        <f t="shared" si="2"/>
        <v>-0.01028740988</v>
      </c>
      <c r="L118" s="7">
        <v>-0.013711862410177815</v>
      </c>
      <c r="M118" s="1">
        <f t="shared" si="1"/>
        <v>1971591</v>
      </c>
    </row>
    <row r="119">
      <c r="A119" s="9">
        <v>45679.0</v>
      </c>
      <c r="B119" s="4">
        <v>4050.0</v>
      </c>
      <c r="C119" s="4">
        <v>4163.15</v>
      </c>
      <c r="D119" s="4">
        <v>4044.2</v>
      </c>
      <c r="E119" s="4">
        <v>4152.0</v>
      </c>
      <c r="F119" s="4">
        <v>4156.6</v>
      </c>
      <c r="G119" s="4">
        <v>4132.48</v>
      </c>
      <c r="H119" s="1" t="s">
        <v>1998</v>
      </c>
      <c r="I119" s="1" t="s">
        <v>1999</v>
      </c>
      <c r="J119" s="1" t="s">
        <v>2000</v>
      </c>
      <c r="K119" s="7">
        <f t="shared" si="2"/>
        <v>0.02991934784</v>
      </c>
      <c r="L119" s="7">
        <v>0.005676524941747088</v>
      </c>
      <c r="M119" s="1">
        <f t="shared" si="1"/>
        <v>2409223</v>
      </c>
    </row>
    <row r="120">
      <c r="A120" s="9">
        <v>45680.0</v>
      </c>
      <c r="B120" s="4">
        <v>4168.0</v>
      </c>
      <c r="C120" s="4">
        <v>4191.35</v>
      </c>
      <c r="D120" s="4">
        <v>4140.05</v>
      </c>
      <c r="E120" s="4">
        <v>4148.0</v>
      </c>
      <c r="F120" s="4">
        <v>4145.45</v>
      </c>
      <c r="G120" s="4">
        <v>4161.12</v>
      </c>
      <c r="H120" s="1" t="s">
        <v>2013</v>
      </c>
      <c r="I120" s="1" t="s">
        <v>2014</v>
      </c>
      <c r="J120" s="1" t="s">
        <v>2015</v>
      </c>
      <c r="K120" s="7">
        <f t="shared" si="2"/>
        <v>-0.002682480874</v>
      </c>
      <c r="L120" s="7">
        <v>0.0021593281898135853</v>
      </c>
      <c r="M120" s="1">
        <f t="shared" si="1"/>
        <v>1822998</v>
      </c>
    </row>
    <row r="121">
      <c r="A121" s="9">
        <v>45681.0</v>
      </c>
      <c r="B121" s="4">
        <v>4104.0</v>
      </c>
      <c r="C121" s="4">
        <v>4178.0</v>
      </c>
      <c r="D121" s="4">
        <v>4104.0</v>
      </c>
      <c r="E121" s="4">
        <v>4153.1</v>
      </c>
      <c r="F121" s="4">
        <v>4152.35</v>
      </c>
      <c r="G121" s="4">
        <v>4155.62</v>
      </c>
      <c r="H121" s="1" t="s">
        <v>2025</v>
      </c>
      <c r="I121" s="1" t="s">
        <v>2026</v>
      </c>
      <c r="J121" s="11">
        <v>99760.0</v>
      </c>
      <c r="K121" s="7">
        <f t="shared" si="2"/>
        <v>0.001664475509</v>
      </c>
      <c r="L121" s="7">
        <v>-0.004876030742910485</v>
      </c>
      <c r="M121" s="1">
        <f t="shared" si="1"/>
        <v>1910099</v>
      </c>
    </row>
    <row r="122">
      <c r="A122" s="9">
        <v>45684.0</v>
      </c>
      <c r="B122" s="4">
        <v>4102.0</v>
      </c>
      <c r="C122" s="4">
        <v>4156.35</v>
      </c>
      <c r="D122" s="4">
        <v>4041.05</v>
      </c>
      <c r="E122" s="4">
        <v>4067.0</v>
      </c>
      <c r="F122" s="4">
        <v>4065.15</v>
      </c>
      <c r="G122" s="4">
        <v>4088.62</v>
      </c>
      <c r="H122" s="1" t="s">
        <v>2036</v>
      </c>
      <c r="I122" s="1" t="s">
        <v>2037</v>
      </c>
      <c r="J122" s="1" t="s">
        <v>2039</v>
      </c>
      <c r="K122" s="7">
        <f t="shared" si="2"/>
        <v>-0.02100015654</v>
      </c>
      <c r="L122" s="7">
        <v>-0.011391292297832136</v>
      </c>
      <c r="M122" s="1">
        <f t="shared" si="1"/>
        <v>1551782</v>
      </c>
    </row>
    <row r="123">
      <c r="A123" s="9">
        <v>45685.0</v>
      </c>
      <c r="B123" s="4">
        <v>4070.8</v>
      </c>
      <c r="C123" s="4">
        <v>4102.0</v>
      </c>
      <c r="D123" s="4">
        <v>4028.3</v>
      </c>
      <c r="E123" s="4">
        <v>4040.0</v>
      </c>
      <c r="F123" s="4">
        <v>4040.3</v>
      </c>
      <c r="G123" s="4">
        <v>4057.3</v>
      </c>
      <c r="H123" s="1" t="s">
        <v>2050</v>
      </c>
      <c r="I123" s="1" t="s">
        <v>2053</v>
      </c>
      <c r="J123" s="1" t="s">
        <v>2056</v>
      </c>
      <c r="K123" s="7">
        <f t="shared" si="2"/>
        <v>-0.006112935562</v>
      </c>
      <c r="L123" s="7">
        <v>0.005611247024089751</v>
      </c>
      <c r="M123" s="1">
        <f t="shared" si="1"/>
        <v>2468272</v>
      </c>
    </row>
    <row r="124">
      <c r="A124" s="9">
        <v>45686.0</v>
      </c>
      <c r="B124" s="4">
        <v>4054.0</v>
      </c>
      <c r="C124" s="4">
        <v>4107.85</v>
      </c>
      <c r="D124" s="4">
        <v>4054.0</v>
      </c>
      <c r="E124" s="4">
        <v>4105.0</v>
      </c>
      <c r="F124" s="4">
        <v>4099.8</v>
      </c>
      <c r="G124" s="4">
        <v>4091.12</v>
      </c>
      <c r="H124" s="1" t="s">
        <v>2068</v>
      </c>
      <c r="I124" s="1" t="s">
        <v>2069</v>
      </c>
      <c r="J124" s="1" t="s">
        <v>2070</v>
      </c>
      <c r="K124" s="7">
        <f t="shared" si="2"/>
        <v>0.01472662921</v>
      </c>
      <c r="L124" s="7">
        <v>0.008966666303673067</v>
      </c>
      <c r="M124" s="1">
        <f t="shared" si="1"/>
        <v>1217089</v>
      </c>
    </row>
    <row r="125">
      <c r="A125" s="9">
        <v>45687.0</v>
      </c>
      <c r="B125" s="4">
        <v>4099.9</v>
      </c>
      <c r="C125" s="4">
        <v>4129.9</v>
      </c>
      <c r="D125" s="4">
        <v>4058.5</v>
      </c>
      <c r="E125" s="4">
        <v>4100.0</v>
      </c>
      <c r="F125" s="4">
        <v>4100.05</v>
      </c>
      <c r="G125" s="4">
        <v>4098.87</v>
      </c>
      <c r="H125" s="1" t="s">
        <v>2080</v>
      </c>
      <c r="I125" s="1" t="s">
        <v>2081</v>
      </c>
      <c r="J125" s="11">
        <v>97767.0</v>
      </c>
      <c r="K125" s="7">
        <f t="shared" si="2"/>
        <v>0.00006097858432</v>
      </c>
      <c r="L125" s="7">
        <v>0.00373007067275112</v>
      </c>
      <c r="M125" s="1">
        <f t="shared" si="1"/>
        <v>1531251</v>
      </c>
    </row>
    <row r="126">
      <c r="A126" s="9">
        <v>45688.0</v>
      </c>
      <c r="B126" s="4">
        <v>4110.0</v>
      </c>
      <c r="C126" s="4">
        <v>4128.45</v>
      </c>
      <c r="D126" s="4">
        <v>4085.25</v>
      </c>
      <c r="E126" s="4">
        <v>4114.15</v>
      </c>
      <c r="F126" s="4">
        <v>4112.4</v>
      </c>
      <c r="G126" s="4">
        <v>4106.05</v>
      </c>
      <c r="H126" s="1" t="s">
        <v>2094</v>
      </c>
      <c r="I126" s="1" t="s">
        <v>2096</v>
      </c>
      <c r="J126" s="1" t="s">
        <v>2098</v>
      </c>
      <c r="K126" s="7">
        <f t="shared" si="2"/>
        <v>0.003012158388</v>
      </c>
      <c r="L126" s="7">
        <v>0.011135723348889286</v>
      </c>
      <c r="M126" s="1">
        <f t="shared" si="1"/>
        <v>1492943</v>
      </c>
    </row>
    <row r="127">
      <c r="A127" s="3">
        <v>45689.0</v>
      </c>
      <c r="B127" s="4">
        <v>4113.0</v>
      </c>
      <c r="C127" s="4">
        <v>4135.9</v>
      </c>
      <c r="D127" s="4">
        <v>4056.0</v>
      </c>
      <c r="E127" s="4">
        <v>4073.0</v>
      </c>
      <c r="F127" s="4">
        <v>4073.15</v>
      </c>
      <c r="G127" s="4">
        <v>4082.48</v>
      </c>
      <c r="H127" s="1" t="s">
        <v>2109</v>
      </c>
      <c r="I127" s="1" t="s">
        <v>2111</v>
      </c>
      <c r="J127" s="11">
        <v>49186.0</v>
      </c>
      <c r="K127" s="7">
        <f t="shared" si="2"/>
        <v>-0.009544305029</v>
      </c>
      <c r="L127" s="7">
        <v>-0.0011166221435742116</v>
      </c>
      <c r="M127" s="1">
        <f t="shared" si="1"/>
        <v>437172</v>
      </c>
    </row>
    <row r="128">
      <c r="A128" s="3">
        <v>45691.0</v>
      </c>
      <c r="B128" s="4">
        <v>4030.9</v>
      </c>
      <c r="C128" s="4">
        <v>4077.0</v>
      </c>
      <c r="D128" s="4">
        <v>3998.7</v>
      </c>
      <c r="E128" s="4">
        <v>4064.0</v>
      </c>
      <c r="F128" s="4">
        <v>4068.65</v>
      </c>
      <c r="G128" s="4">
        <v>4045.97</v>
      </c>
      <c r="H128" s="1" t="s">
        <v>2124</v>
      </c>
      <c r="I128" s="1" t="s">
        <v>2126</v>
      </c>
      <c r="J128" s="1" t="s">
        <v>2130</v>
      </c>
      <c r="K128" s="7">
        <f t="shared" si="2"/>
        <v>-0.001104796042</v>
      </c>
      <c r="L128" s="7">
        <v>-0.005157108697457523</v>
      </c>
      <c r="M128" s="1">
        <f t="shared" si="1"/>
        <v>1265713</v>
      </c>
    </row>
    <row r="129">
      <c r="A129" s="3">
        <v>45692.0</v>
      </c>
      <c r="B129" s="4">
        <v>4083.7</v>
      </c>
      <c r="C129" s="4">
        <v>4118.85</v>
      </c>
      <c r="D129" s="4">
        <v>4066.05</v>
      </c>
      <c r="E129" s="4">
        <v>4105.15</v>
      </c>
      <c r="F129" s="4">
        <v>4107.05</v>
      </c>
      <c r="G129" s="4">
        <v>4098.0</v>
      </c>
      <c r="H129" s="1" t="s">
        <v>2140</v>
      </c>
      <c r="I129" s="1" t="s">
        <v>2141</v>
      </c>
      <c r="J129" s="1" t="s">
        <v>2142</v>
      </c>
      <c r="K129" s="7">
        <f t="shared" si="2"/>
        <v>0.009438019982</v>
      </c>
      <c r="L129" s="7">
        <v>0.016189340804458736</v>
      </c>
      <c r="M129" s="1">
        <f t="shared" si="1"/>
        <v>2547132</v>
      </c>
    </row>
    <row r="130">
      <c r="A130" s="3">
        <v>45693.0</v>
      </c>
      <c r="B130" s="4">
        <v>4150.0</v>
      </c>
      <c r="C130" s="4">
        <v>4150.0</v>
      </c>
      <c r="D130" s="4">
        <v>4076.0</v>
      </c>
      <c r="E130" s="4">
        <v>4086.0</v>
      </c>
      <c r="F130" s="4">
        <v>4091.1</v>
      </c>
      <c r="G130" s="4">
        <v>4096.29</v>
      </c>
      <c r="H130" s="1" t="s">
        <v>2150</v>
      </c>
      <c r="I130" s="1" t="s">
        <v>2153</v>
      </c>
      <c r="J130" s="1" t="s">
        <v>2154</v>
      </c>
      <c r="K130" s="7">
        <f t="shared" si="2"/>
        <v>-0.003883566063</v>
      </c>
      <c r="L130" s="7">
        <v>-0.0018092399717767296</v>
      </c>
      <c r="M130" s="1">
        <f t="shared" si="1"/>
        <v>1693912</v>
      </c>
    </row>
    <row r="131">
      <c r="A131" s="3">
        <v>45694.0</v>
      </c>
      <c r="B131" s="4">
        <v>4105.4</v>
      </c>
      <c r="C131" s="4">
        <v>4139.5</v>
      </c>
      <c r="D131" s="4">
        <v>4051.55</v>
      </c>
      <c r="E131" s="4">
        <v>4087.0</v>
      </c>
      <c r="F131" s="4">
        <v>4082.75</v>
      </c>
      <c r="G131" s="4">
        <v>4080.65</v>
      </c>
      <c r="H131" s="1" t="s">
        <v>2164</v>
      </c>
      <c r="I131" s="1" t="s">
        <v>2166</v>
      </c>
      <c r="J131" s="1" t="s">
        <v>2168</v>
      </c>
      <c r="K131" s="7">
        <f t="shared" si="2"/>
        <v>-0.002041015864</v>
      </c>
      <c r="L131" s="7">
        <v>-0.0039225533100104544</v>
      </c>
      <c r="M131" s="1">
        <f t="shared" si="1"/>
        <v>2284536</v>
      </c>
    </row>
    <row r="132">
      <c r="A132" s="3">
        <v>45695.0</v>
      </c>
      <c r="B132" s="4">
        <v>4090.0</v>
      </c>
      <c r="C132" s="4">
        <v>4090.0</v>
      </c>
      <c r="D132" s="4">
        <v>4008.0</v>
      </c>
      <c r="E132" s="4">
        <v>4032.0</v>
      </c>
      <c r="F132" s="4">
        <v>4029.4</v>
      </c>
      <c r="G132" s="4">
        <v>4033.06</v>
      </c>
      <c r="H132" s="1" t="s">
        <v>2190</v>
      </c>
      <c r="I132" s="1" t="s">
        <v>2192</v>
      </c>
      <c r="J132" s="1" t="s">
        <v>2193</v>
      </c>
      <c r="K132" s="7">
        <f t="shared" si="2"/>
        <v>-0.01306717286</v>
      </c>
      <c r="L132" s="7">
        <v>-0.0018387220458112013</v>
      </c>
      <c r="M132" s="1">
        <f t="shared" si="1"/>
        <v>1548940</v>
      </c>
    </row>
    <row r="133">
      <c r="A133" s="9">
        <v>45698.0</v>
      </c>
      <c r="B133" s="4">
        <v>4040.0</v>
      </c>
      <c r="C133" s="4">
        <v>4052.0</v>
      </c>
      <c r="D133" s="4">
        <v>4014.35</v>
      </c>
      <c r="E133" s="4">
        <v>4034.0</v>
      </c>
      <c r="F133" s="4">
        <v>4036.95</v>
      </c>
      <c r="G133" s="4">
        <v>4035.26</v>
      </c>
      <c r="H133" s="1" t="s">
        <v>2208</v>
      </c>
      <c r="I133" s="1" t="s">
        <v>2210</v>
      </c>
      <c r="J133" s="1" t="s">
        <v>2211</v>
      </c>
      <c r="K133" s="7">
        <f t="shared" si="2"/>
        <v>0.001873728098</v>
      </c>
      <c r="L133" s="7">
        <v>-0.00757005002132866</v>
      </c>
      <c r="M133" s="1">
        <f t="shared" si="1"/>
        <v>1339511</v>
      </c>
    </row>
    <row r="134">
      <c r="A134" s="9">
        <v>45699.0</v>
      </c>
      <c r="B134" s="4">
        <v>4018.4</v>
      </c>
      <c r="C134" s="4">
        <v>4040.0</v>
      </c>
      <c r="D134" s="4">
        <v>3955.0</v>
      </c>
      <c r="E134" s="4">
        <v>3967.0</v>
      </c>
      <c r="F134" s="4">
        <v>3963.55</v>
      </c>
      <c r="G134" s="4">
        <v>3989.58</v>
      </c>
      <c r="H134" s="1" t="s">
        <v>2221</v>
      </c>
      <c r="I134" s="1" t="s">
        <v>2222</v>
      </c>
      <c r="J134" s="1" t="s">
        <v>2223</v>
      </c>
      <c r="K134" s="7">
        <f t="shared" si="2"/>
        <v>-0.01818204337</v>
      </c>
      <c r="L134" s="7">
        <v>-0.013249734834228593</v>
      </c>
      <c r="M134" s="1">
        <f t="shared" si="1"/>
        <v>1810908</v>
      </c>
    </row>
    <row r="135">
      <c r="A135" s="9">
        <v>45700.0</v>
      </c>
      <c r="B135" s="4">
        <v>3971.1</v>
      </c>
      <c r="C135" s="4">
        <v>4021.75</v>
      </c>
      <c r="D135" s="4">
        <v>3940.15</v>
      </c>
      <c r="E135" s="4">
        <v>3956.25</v>
      </c>
      <c r="F135" s="4">
        <v>3950.15</v>
      </c>
      <c r="G135" s="4">
        <v>3978.32</v>
      </c>
      <c r="H135" s="1" t="s">
        <v>2233</v>
      </c>
      <c r="I135" s="1" t="s">
        <v>2234</v>
      </c>
      <c r="J135" s="1" t="s">
        <v>2235</v>
      </c>
      <c r="K135" s="7">
        <f t="shared" si="2"/>
        <v>-0.003380807609</v>
      </c>
      <c r="L135" s="7">
        <v>-0.001150755467713801</v>
      </c>
      <c r="M135" s="1">
        <f t="shared" si="1"/>
        <v>1678002</v>
      </c>
    </row>
    <row r="136">
      <c r="A136" s="9">
        <v>45701.0</v>
      </c>
      <c r="B136" s="4">
        <v>3968.0</v>
      </c>
      <c r="C136" s="4">
        <v>3984.45</v>
      </c>
      <c r="D136" s="4">
        <v>3902.25</v>
      </c>
      <c r="E136" s="4">
        <v>3920.0</v>
      </c>
      <c r="F136" s="4">
        <v>3910.15</v>
      </c>
      <c r="G136" s="4">
        <v>3930.8</v>
      </c>
      <c r="H136" s="1" t="s">
        <v>2245</v>
      </c>
      <c r="I136" s="1" t="s">
        <v>2247</v>
      </c>
      <c r="J136" s="1" t="s">
        <v>2249</v>
      </c>
      <c r="K136" s="7">
        <f t="shared" si="2"/>
        <v>-0.01012619774</v>
      </c>
      <c r="L136" s="7">
        <v>-6.009915275381497E-4</v>
      </c>
      <c r="M136" s="1">
        <f t="shared" si="1"/>
        <v>2277310</v>
      </c>
    </row>
    <row r="137">
      <c r="A137" s="9">
        <v>45702.0</v>
      </c>
      <c r="B137" s="4">
        <v>3925.0</v>
      </c>
      <c r="C137" s="4">
        <v>3948.0</v>
      </c>
      <c r="D137" s="4">
        <v>3900.0</v>
      </c>
      <c r="E137" s="4">
        <v>3928.0</v>
      </c>
      <c r="F137" s="4">
        <v>3934.85</v>
      </c>
      <c r="G137" s="4">
        <v>3921.57</v>
      </c>
      <c r="H137" s="1" t="s">
        <v>2263</v>
      </c>
      <c r="I137" s="1" t="s">
        <v>2264</v>
      </c>
      <c r="J137" s="1" t="s">
        <v>2265</v>
      </c>
      <c r="K137" s="7">
        <f t="shared" si="2"/>
        <v>0.006316893214</v>
      </c>
      <c r="L137" s="7">
        <v>-0.004435249268390173</v>
      </c>
      <c r="M137" s="1">
        <f t="shared" si="1"/>
        <v>1681975</v>
      </c>
    </row>
    <row r="138">
      <c r="A138" s="9">
        <v>45705.0</v>
      </c>
      <c r="B138" s="4">
        <v>3856.5</v>
      </c>
      <c r="C138" s="4">
        <v>3934.0</v>
      </c>
      <c r="D138" s="4">
        <v>3856.2</v>
      </c>
      <c r="E138" s="4">
        <v>3908.0</v>
      </c>
      <c r="F138" s="4">
        <v>3904.5</v>
      </c>
      <c r="G138" s="4">
        <v>3911.78</v>
      </c>
      <c r="H138" s="1" t="s">
        <v>2275</v>
      </c>
      <c r="I138" s="1" t="s">
        <v>2276</v>
      </c>
      <c r="J138" s="1" t="s">
        <v>2278</v>
      </c>
      <c r="K138" s="7">
        <f t="shared" si="2"/>
        <v>-0.007713127565</v>
      </c>
      <c r="L138" s="7">
        <v>0.001319275597762683</v>
      </c>
      <c r="M138" s="1">
        <f t="shared" si="1"/>
        <v>1799806</v>
      </c>
    </row>
    <row r="139">
      <c r="A139" s="9">
        <v>45706.0</v>
      </c>
      <c r="B139" s="4">
        <v>3898.4</v>
      </c>
      <c r="C139" s="4">
        <v>3924.4</v>
      </c>
      <c r="D139" s="4">
        <v>3864.5</v>
      </c>
      <c r="E139" s="4">
        <v>3873.0</v>
      </c>
      <c r="F139" s="4">
        <v>3873.2</v>
      </c>
      <c r="G139" s="4">
        <v>3891.66</v>
      </c>
      <c r="H139" s="1" t="s">
        <v>2287</v>
      </c>
      <c r="I139" s="1" t="s">
        <v>2289</v>
      </c>
      <c r="J139" s="1" t="s">
        <v>2291</v>
      </c>
      <c r="K139" s="7">
        <f t="shared" si="2"/>
        <v>-0.008016391343</v>
      </c>
      <c r="L139" s="7">
        <v>-6.184803676038558E-4</v>
      </c>
      <c r="M139" s="1">
        <f t="shared" si="1"/>
        <v>2149879</v>
      </c>
    </row>
    <row r="140">
      <c r="A140" s="9">
        <v>45707.0</v>
      </c>
      <c r="B140" s="4">
        <v>3872.2</v>
      </c>
      <c r="C140" s="4">
        <v>3874.95</v>
      </c>
      <c r="D140" s="4">
        <v>3768.15</v>
      </c>
      <c r="E140" s="4">
        <v>3785.0</v>
      </c>
      <c r="F140" s="4">
        <v>3784.1</v>
      </c>
      <c r="G140" s="4">
        <v>3796.48</v>
      </c>
      <c r="H140" s="1" t="s">
        <v>2308</v>
      </c>
      <c r="I140" s="1" t="s">
        <v>2309</v>
      </c>
      <c r="J140" s="1" t="s">
        <v>2310</v>
      </c>
      <c r="K140" s="7">
        <f t="shared" si="2"/>
        <v>-0.02300423422</v>
      </c>
      <c r="L140" s="7">
        <v>-5.404156842576832E-4</v>
      </c>
      <c r="M140" s="1">
        <f t="shared" si="1"/>
        <v>4366672</v>
      </c>
    </row>
    <row r="141">
      <c r="A141" s="9">
        <v>45708.0</v>
      </c>
      <c r="B141" s="4">
        <v>3761.5</v>
      </c>
      <c r="C141" s="4">
        <v>3788.0</v>
      </c>
      <c r="D141" s="4">
        <v>3751.3</v>
      </c>
      <c r="E141" s="4">
        <v>3788.0</v>
      </c>
      <c r="F141" s="4">
        <v>3779.4</v>
      </c>
      <c r="G141" s="4">
        <v>3772.99</v>
      </c>
      <c r="H141" s="1" t="s">
        <v>2320</v>
      </c>
      <c r="I141" s="1" t="s">
        <v>2321</v>
      </c>
      <c r="J141" s="1" t="s">
        <v>2323</v>
      </c>
      <c r="K141" s="7">
        <f t="shared" si="2"/>
        <v>-0.001242039058</v>
      </c>
      <c r="L141" s="7">
        <v>-8.612081332932162E-4</v>
      </c>
      <c r="M141" s="1">
        <f t="shared" si="1"/>
        <v>2888572</v>
      </c>
    </row>
    <row r="142">
      <c r="A142" s="9">
        <v>45709.0</v>
      </c>
      <c r="B142" s="4">
        <v>3776.1</v>
      </c>
      <c r="C142" s="4">
        <v>3817.0</v>
      </c>
      <c r="D142" s="4">
        <v>3775.0</v>
      </c>
      <c r="E142" s="4">
        <v>3789.9</v>
      </c>
      <c r="F142" s="4">
        <v>3786.0</v>
      </c>
      <c r="G142" s="4">
        <v>3792.04</v>
      </c>
      <c r="H142" s="1" t="s">
        <v>2337</v>
      </c>
      <c r="I142" s="1" t="s">
        <v>2342</v>
      </c>
      <c r="J142" s="1" t="s">
        <v>2343</v>
      </c>
      <c r="K142" s="7">
        <f t="shared" si="2"/>
        <v>0.001746308938</v>
      </c>
      <c r="L142" s="7">
        <v>-0.005117148886119979</v>
      </c>
      <c r="M142" s="1">
        <f t="shared" si="1"/>
        <v>1833931</v>
      </c>
    </row>
    <row r="143">
      <c r="A143" s="9">
        <v>45712.0</v>
      </c>
      <c r="B143" s="4">
        <v>3743.15</v>
      </c>
      <c r="C143" s="4">
        <v>3763.2</v>
      </c>
      <c r="D143" s="4">
        <v>3670.0</v>
      </c>
      <c r="E143" s="4">
        <v>3671.0</v>
      </c>
      <c r="F143" s="4">
        <v>3675.6</v>
      </c>
      <c r="G143" s="4">
        <v>3701.2</v>
      </c>
      <c r="H143" s="1" t="s">
        <v>2353</v>
      </c>
      <c r="I143" s="1" t="s">
        <v>2355</v>
      </c>
      <c r="J143" s="1" t="s">
        <v>2358</v>
      </c>
      <c r="K143" s="7">
        <f t="shared" si="2"/>
        <v>-0.02916006339</v>
      </c>
      <c r="L143" s="7">
        <v>-0.010640071240881163</v>
      </c>
      <c r="M143" s="1">
        <f t="shared" si="1"/>
        <v>2508516</v>
      </c>
    </row>
    <row r="144">
      <c r="A144" s="9">
        <v>45713.0</v>
      </c>
      <c r="B144" s="4">
        <v>3625.0</v>
      </c>
      <c r="C144" s="4">
        <v>3658.0</v>
      </c>
      <c r="D144" s="4">
        <v>3621.25</v>
      </c>
      <c r="E144" s="4">
        <v>3627.0</v>
      </c>
      <c r="F144" s="4">
        <v>3629.55</v>
      </c>
      <c r="G144" s="4">
        <v>3638.67</v>
      </c>
      <c r="H144" s="1" t="s">
        <v>2368</v>
      </c>
      <c r="I144" s="1" t="s">
        <v>2371</v>
      </c>
      <c r="J144" s="1" t="s">
        <v>2375</v>
      </c>
      <c r="K144" s="7">
        <f t="shared" si="2"/>
        <v>-0.01252856676</v>
      </c>
      <c r="L144" s="7">
        <v>-2.571680038663557E-4</v>
      </c>
      <c r="M144" s="1">
        <f t="shared" si="1"/>
        <v>4101954</v>
      </c>
    </row>
    <row r="145">
      <c r="A145" s="9">
        <v>45715.0</v>
      </c>
      <c r="B145" s="4">
        <v>3611.7</v>
      </c>
      <c r="C145" s="4">
        <v>3638.0</v>
      </c>
      <c r="D145" s="4">
        <v>3600.7</v>
      </c>
      <c r="E145" s="4">
        <v>3608.05</v>
      </c>
      <c r="F145" s="4">
        <v>3612.55</v>
      </c>
      <c r="G145" s="4">
        <v>3613.5</v>
      </c>
      <c r="H145" s="1" t="s">
        <v>2386</v>
      </c>
      <c r="I145" s="1" t="s">
        <v>2387</v>
      </c>
      <c r="J145" s="1" t="s">
        <v>2388</v>
      </c>
      <c r="K145" s="7">
        <f t="shared" si="2"/>
        <v>-0.004683776226</v>
      </c>
      <c r="L145" s="7">
        <v>-1.1087679149175853E-4</v>
      </c>
      <c r="M145" s="1">
        <f t="shared" si="1"/>
        <v>3823856</v>
      </c>
    </row>
    <row r="146">
      <c r="A146" s="9">
        <v>45716.0</v>
      </c>
      <c r="B146" s="4">
        <v>3584.95</v>
      </c>
      <c r="C146" s="4">
        <v>3600.0</v>
      </c>
      <c r="D146" s="4">
        <v>3457.0</v>
      </c>
      <c r="E146" s="4">
        <v>3478.0</v>
      </c>
      <c r="F146" s="4">
        <v>3483.25</v>
      </c>
      <c r="G146" s="4">
        <v>3491.8</v>
      </c>
      <c r="H146" s="1" t="s">
        <v>2398</v>
      </c>
      <c r="I146" s="1" t="s">
        <v>2399</v>
      </c>
      <c r="J146" s="1" t="s">
        <v>2400</v>
      </c>
      <c r="K146" s="7">
        <f t="shared" si="2"/>
        <v>-0.03579189215</v>
      </c>
      <c r="L146" s="7">
        <v>-0.018644891007116797</v>
      </c>
      <c r="M146" s="1">
        <f t="shared" si="1"/>
        <v>7085018</v>
      </c>
    </row>
    <row r="147">
      <c r="A147" s="3">
        <v>45719.0</v>
      </c>
      <c r="B147" s="4">
        <v>3485.0</v>
      </c>
      <c r="C147" s="4">
        <v>3523.25</v>
      </c>
      <c r="D147" s="4">
        <v>3476.15</v>
      </c>
      <c r="E147" s="4">
        <v>3506.0</v>
      </c>
      <c r="F147" s="4">
        <v>3493.05</v>
      </c>
      <c r="G147" s="4">
        <v>3497.97</v>
      </c>
      <c r="H147" s="1" t="s">
        <v>2410</v>
      </c>
      <c r="I147" s="1" t="s">
        <v>2411</v>
      </c>
      <c r="J147" s="1" t="s">
        <v>2413</v>
      </c>
      <c r="K147" s="7">
        <f t="shared" si="2"/>
        <v>0.002813464437</v>
      </c>
      <c r="L147" s="7">
        <v>-2.4407110604896133E-4</v>
      </c>
      <c r="M147" s="1">
        <f t="shared" si="1"/>
        <v>4990439</v>
      </c>
    </row>
    <row r="148">
      <c r="A148" s="3">
        <v>45720.0</v>
      </c>
      <c r="B148" s="4">
        <v>3474.0</v>
      </c>
      <c r="C148" s="4">
        <v>3551.0</v>
      </c>
      <c r="D148" s="4">
        <v>3464.3</v>
      </c>
      <c r="E148" s="4">
        <v>3533.0</v>
      </c>
      <c r="F148" s="4">
        <v>3532.05</v>
      </c>
      <c r="G148" s="4">
        <v>3518.16</v>
      </c>
      <c r="H148" s="1" t="s">
        <v>2426</v>
      </c>
      <c r="I148" s="1" t="s">
        <v>2428</v>
      </c>
      <c r="J148" s="1" t="s">
        <v>2430</v>
      </c>
      <c r="K148" s="7">
        <f t="shared" si="2"/>
        <v>0.0111650277</v>
      </c>
      <c r="L148" s="7">
        <v>-0.001656924043708337</v>
      </c>
      <c r="M148" s="1">
        <f t="shared" si="1"/>
        <v>2797737</v>
      </c>
    </row>
    <row r="149">
      <c r="A149" s="3">
        <v>45721.0</v>
      </c>
      <c r="B149" s="4">
        <v>3520.85</v>
      </c>
      <c r="C149" s="4">
        <v>3600.35</v>
      </c>
      <c r="D149" s="4">
        <v>3520.85</v>
      </c>
      <c r="E149" s="4">
        <v>3557.0</v>
      </c>
      <c r="F149" s="4">
        <v>3547.05</v>
      </c>
      <c r="G149" s="4">
        <v>3561.68</v>
      </c>
      <c r="H149" s="1" t="s">
        <v>2443</v>
      </c>
      <c r="I149" s="1" t="s">
        <v>2444</v>
      </c>
      <c r="J149" s="1" t="s">
        <v>2445</v>
      </c>
      <c r="K149" s="7">
        <f t="shared" si="2"/>
        <v>0.004246825498</v>
      </c>
      <c r="L149" s="7">
        <v>0.011531677583985519</v>
      </c>
      <c r="M149" s="1">
        <f t="shared" si="1"/>
        <v>2501894</v>
      </c>
    </row>
    <row r="150">
      <c r="A150" s="3">
        <v>45722.0</v>
      </c>
      <c r="B150" s="4">
        <v>3557.0</v>
      </c>
      <c r="C150" s="4">
        <v>3609.45</v>
      </c>
      <c r="D150" s="4">
        <v>3536.1</v>
      </c>
      <c r="E150" s="4">
        <v>3592.1</v>
      </c>
      <c r="F150" s="4">
        <v>3601.6</v>
      </c>
      <c r="G150" s="4">
        <v>3571.61</v>
      </c>
      <c r="H150" s="1" t="s">
        <v>2458</v>
      </c>
      <c r="I150" s="1" t="s">
        <v>2459</v>
      </c>
      <c r="J150" s="1" t="s">
        <v>2460</v>
      </c>
      <c r="K150" s="7">
        <f t="shared" si="2"/>
        <v>0.0153789769</v>
      </c>
      <c r="L150" s="7">
        <v>0.009284918051868466</v>
      </c>
      <c r="M150" s="1">
        <f t="shared" si="1"/>
        <v>2786513</v>
      </c>
    </row>
    <row r="151">
      <c r="A151" s="3">
        <v>45723.0</v>
      </c>
      <c r="B151" s="4">
        <v>3600.0</v>
      </c>
      <c r="C151" s="4">
        <v>3625.0</v>
      </c>
      <c r="D151" s="4">
        <v>3574.4</v>
      </c>
      <c r="E151" s="4">
        <v>3602.0</v>
      </c>
      <c r="F151" s="4">
        <v>3611.2</v>
      </c>
      <c r="G151" s="4">
        <v>3605.34</v>
      </c>
      <c r="H151" s="1" t="s">
        <v>2471</v>
      </c>
      <c r="I151" s="1" t="s">
        <v>2473</v>
      </c>
      <c r="J151" s="1" t="s">
        <v>2475</v>
      </c>
      <c r="K151" s="7">
        <f t="shared" si="2"/>
        <v>0.002665482008</v>
      </c>
      <c r="L151" s="7">
        <v>3.459793210820846E-4</v>
      </c>
      <c r="M151" s="1">
        <f t="shared" si="1"/>
        <v>2051315</v>
      </c>
    </row>
    <row r="152">
      <c r="A152" s="9">
        <v>45726.0</v>
      </c>
      <c r="B152" s="4">
        <v>3606.5</v>
      </c>
      <c r="C152" s="4">
        <v>3622.1</v>
      </c>
      <c r="D152" s="4">
        <v>3582.6</v>
      </c>
      <c r="E152" s="4">
        <v>3589.0</v>
      </c>
      <c r="F152" s="4">
        <v>3589.65</v>
      </c>
      <c r="G152" s="4">
        <v>3602.11</v>
      </c>
      <c r="H152" s="1" t="s">
        <v>2485</v>
      </c>
      <c r="I152" s="1" t="s">
        <v>2486</v>
      </c>
      <c r="J152" s="11">
        <v>75981.0</v>
      </c>
      <c r="K152" s="7">
        <f t="shared" si="2"/>
        <v>-0.005967545414</v>
      </c>
      <c r="L152" s="7">
        <v>-0.004088238554484014</v>
      </c>
      <c r="M152" s="1">
        <f t="shared" si="1"/>
        <v>1004626</v>
      </c>
    </row>
    <row r="153">
      <c r="A153" s="9">
        <v>45727.0</v>
      </c>
      <c r="B153" s="4">
        <v>3558.0</v>
      </c>
      <c r="C153" s="4">
        <v>3588.75</v>
      </c>
      <c r="D153" s="4">
        <v>3537.65</v>
      </c>
      <c r="E153" s="4">
        <v>3585.0</v>
      </c>
      <c r="F153" s="4">
        <v>3575.3</v>
      </c>
      <c r="G153" s="4">
        <v>3567.93</v>
      </c>
      <c r="H153" s="1" t="s">
        <v>2496</v>
      </c>
      <c r="I153" s="1" t="s">
        <v>2497</v>
      </c>
      <c r="J153" s="1" t="s">
        <v>2499</v>
      </c>
      <c r="K153" s="7">
        <f t="shared" si="2"/>
        <v>-0.003997604223</v>
      </c>
      <c r="L153" s="7">
        <v>0.0016740649056335927</v>
      </c>
      <c r="M153" s="1">
        <f t="shared" si="1"/>
        <v>1995450</v>
      </c>
    </row>
    <row r="154">
      <c r="A154" s="9">
        <v>45728.0</v>
      </c>
      <c r="B154" s="4">
        <v>3565.0</v>
      </c>
      <c r="C154" s="4">
        <v>3569.25</v>
      </c>
      <c r="D154" s="4">
        <v>3486.85</v>
      </c>
      <c r="E154" s="4">
        <v>3507.8</v>
      </c>
      <c r="F154" s="4">
        <v>3506.2</v>
      </c>
      <c r="G154" s="4">
        <v>3504.81</v>
      </c>
      <c r="H154" s="1" t="s">
        <v>2511</v>
      </c>
      <c r="I154" s="1" t="s">
        <v>2512</v>
      </c>
      <c r="J154" s="1" t="s">
        <v>2514</v>
      </c>
      <c r="K154" s="7">
        <f t="shared" si="2"/>
        <v>-0.01932704948</v>
      </c>
      <c r="L154" s="7">
        <v>-0.0012178914476462894</v>
      </c>
      <c r="M154" s="1">
        <f t="shared" si="1"/>
        <v>3174167</v>
      </c>
    </row>
    <row r="155">
      <c r="A155" s="9">
        <v>45729.0</v>
      </c>
      <c r="B155" s="4">
        <v>3502.3</v>
      </c>
      <c r="C155" s="4">
        <v>3524.3</v>
      </c>
      <c r="D155" s="4">
        <v>3484.1</v>
      </c>
      <c r="E155" s="4">
        <v>3509.05</v>
      </c>
      <c r="F155" s="4">
        <v>3511.05</v>
      </c>
      <c r="G155" s="4">
        <v>3504.71</v>
      </c>
      <c r="H155" s="1" t="s">
        <v>2524</v>
      </c>
      <c r="I155" s="1" t="s">
        <v>2527</v>
      </c>
      <c r="J155" s="11">
        <v>98963.0</v>
      </c>
      <c r="K155" s="7">
        <f t="shared" si="2"/>
        <v>0.001383263932</v>
      </c>
      <c r="L155" s="7">
        <v>-0.003262054693932012</v>
      </c>
      <c r="M155" s="1">
        <f t="shared" si="1"/>
        <v>1693004</v>
      </c>
    </row>
    <row r="156">
      <c r="A156" s="9">
        <v>45733.0</v>
      </c>
      <c r="B156" s="4">
        <v>3489.0</v>
      </c>
      <c r="C156" s="4">
        <v>3530.45</v>
      </c>
      <c r="D156" s="4">
        <v>3477.35</v>
      </c>
      <c r="E156" s="4">
        <v>3499.9</v>
      </c>
      <c r="F156" s="4">
        <v>3497.7</v>
      </c>
      <c r="G156" s="4">
        <v>3496.62</v>
      </c>
      <c r="H156" s="1" t="s">
        <v>2540</v>
      </c>
      <c r="I156" s="1" t="s">
        <v>2543</v>
      </c>
      <c r="J156" s="1" t="s">
        <v>2545</v>
      </c>
      <c r="K156" s="7">
        <f t="shared" si="2"/>
        <v>-0.003802281369</v>
      </c>
      <c r="L156" s="7">
        <v>0.0049805332809458</v>
      </c>
      <c r="M156" s="1">
        <f t="shared" si="1"/>
        <v>2690906</v>
      </c>
    </row>
    <row r="157">
      <c r="A157" s="9">
        <v>45734.0</v>
      </c>
      <c r="B157" s="4">
        <v>3502.35</v>
      </c>
      <c r="C157" s="4">
        <v>3556.95</v>
      </c>
      <c r="D157" s="4">
        <v>3478.45</v>
      </c>
      <c r="E157" s="4">
        <v>3545.65</v>
      </c>
      <c r="F157" s="4">
        <v>3552.45</v>
      </c>
      <c r="G157" s="4">
        <v>3530.44</v>
      </c>
      <c r="H157" s="1" t="s">
        <v>2555</v>
      </c>
      <c r="I157" s="1" t="s">
        <v>2556</v>
      </c>
      <c r="J157" s="1" t="s">
        <v>2557</v>
      </c>
      <c r="K157" s="7">
        <f t="shared" si="2"/>
        <v>0.01565314349</v>
      </c>
      <c r="L157" s="7">
        <v>0.014463264286110925</v>
      </c>
      <c r="M157" s="1">
        <f t="shared" si="1"/>
        <v>3069109</v>
      </c>
    </row>
    <row r="158">
      <c r="A158" s="9">
        <v>45735.0</v>
      </c>
      <c r="B158" s="4">
        <v>3547.0</v>
      </c>
      <c r="C158" s="4">
        <v>3547.0</v>
      </c>
      <c r="D158" s="4">
        <v>3462.75</v>
      </c>
      <c r="E158" s="4">
        <v>3505.0</v>
      </c>
      <c r="F158" s="4">
        <v>3497.1</v>
      </c>
      <c r="G158" s="4">
        <v>3484.81</v>
      </c>
      <c r="H158" s="1" t="s">
        <v>2570</v>
      </c>
      <c r="I158" s="1" t="s">
        <v>2571</v>
      </c>
      <c r="J158" s="1" t="s">
        <v>2572</v>
      </c>
      <c r="K158" s="7">
        <f t="shared" si="2"/>
        <v>-0.01558079635</v>
      </c>
      <c r="L158" s="7">
        <v>0.0032100830767748203</v>
      </c>
      <c r="M158" s="1">
        <f t="shared" si="1"/>
        <v>3051244</v>
      </c>
    </row>
    <row r="159">
      <c r="A159" s="9">
        <v>45736.0</v>
      </c>
      <c r="B159" s="4">
        <v>3512.0</v>
      </c>
      <c r="C159" s="4">
        <v>3578.95</v>
      </c>
      <c r="D159" s="4">
        <v>3512.0</v>
      </c>
      <c r="E159" s="4">
        <v>3556.5</v>
      </c>
      <c r="F159" s="4">
        <v>3563.15</v>
      </c>
      <c r="G159" s="4">
        <v>3559.81</v>
      </c>
      <c r="H159" s="1" t="s">
        <v>2582</v>
      </c>
      <c r="I159" s="1" t="s">
        <v>2583</v>
      </c>
      <c r="J159" s="1" t="s">
        <v>2585</v>
      </c>
      <c r="K159" s="7">
        <f t="shared" si="2"/>
        <v>0.01888707786</v>
      </c>
      <c r="L159" s="7">
        <v>0.0123561612739878</v>
      </c>
      <c r="M159" s="1">
        <f t="shared" si="1"/>
        <v>2845192</v>
      </c>
    </row>
    <row r="160">
      <c r="A160" s="9">
        <v>45737.0</v>
      </c>
      <c r="B160" s="4">
        <v>3475.0</v>
      </c>
      <c r="C160" s="4">
        <v>3616.25</v>
      </c>
      <c r="D160" s="4">
        <v>3465.0</v>
      </c>
      <c r="E160" s="4">
        <v>3578.0</v>
      </c>
      <c r="F160" s="4">
        <v>3578.1</v>
      </c>
      <c r="G160" s="4">
        <v>3561.68</v>
      </c>
      <c r="H160" s="1" t="s">
        <v>2595</v>
      </c>
      <c r="I160" s="1" t="s">
        <v>2597</v>
      </c>
      <c r="J160" s="1" t="s">
        <v>2599</v>
      </c>
      <c r="K160" s="7">
        <f t="shared" si="2"/>
        <v>0.004195725692</v>
      </c>
      <c r="L160" s="7">
        <v>0.0068885520673202345</v>
      </c>
      <c r="M160" s="1">
        <f t="shared" si="1"/>
        <v>4161925</v>
      </c>
    </row>
    <row r="161">
      <c r="A161" s="9">
        <v>45740.0</v>
      </c>
      <c r="B161" s="4">
        <v>3600.0</v>
      </c>
      <c r="C161" s="4">
        <v>3649.75</v>
      </c>
      <c r="D161" s="4">
        <v>3566.6</v>
      </c>
      <c r="E161" s="4">
        <v>3633.0</v>
      </c>
      <c r="F161" s="4">
        <v>3628.95</v>
      </c>
      <c r="G161" s="4">
        <v>3615.19</v>
      </c>
      <c r="H161" s="1" t="s">
        <v>2609</v>
      </c>
      <c r="I161" s="1" t="s">
        <v>2610</v>
      </c>
      <c r="J161" s="1" t="s">
        <v>2611</v>
      </c>
      <c r="K161" s="7">
        <f t="shared" si="2"/>
        <v>0.01421145301</v>
      </c>
      <c r="L161" s="7">
        <v>0.013188210908592447</v>
      </c>
      <c r="M161" s="1">
        <f t="shared" si="1"/>
        <v>1834751</v>
      </c>
    </row>
    <row r="162">
      <c r="A162" s="9">
        <v>45741.0</v>
      </c>
      <c r="B162" s="4">
        <v>3645.0</v>
      </c>
      <c r="C162" s="4">
        <v>3710.0</v>
      </c>
      <c r="D162" s="4">
        <v>3638.0</v>
      </c>
      <c r="E162" s="4">
        <v>3641.0</v>
      </c>
      <c r="F162" s="4">
        <v>3657.75</v>
      </c>
      <c r="G162" s="4">
        <v>3673.54</v>
      </c>
      <c r="H162" s="1" t="s">
        <v>2621</v>
      </c>
      <c r="I162" s="1" t="s">
        <v>2623</v>
      </c>
      <c r="J162" s="1" t="s">
        <v>2627</v>
      </c>
      <c r="K162" s="7">
        <f t="shared" si="2"/>
        <v>0.007936179887</v>
      </c>
      <c r="L162" s="7">
        <v>4.353642582852528E-4</v>
      </c>
      <c r="M162" s="1">
        <f t="shared" si="1"/>
        <v>3135390</v>
      </c>
    </row>
    <row r="163">
      <c r="A163" s="9">
        <v>45742.0</v>
      </c>
      <c r="B163" s="4">
        <v>3647.75</v>
      </c>
      <c r="C163" s="4">
        <v>3680.5</v>
      </c>
      <c r="D163" s="4">
        <v>3625.85</v>
      </c>
      <c r="E163" s="4">
        <v>3630.55</v>
      </c>
      <c r="F163" s="4">
        <v>3635.8</v>
      </c>
      <c r="G163" s="4">
        <v>3656.16</v>
      </c>
      <c r="H163" s="1" t="s">
        <v>2636</v>
      </c>
      <c r="I163" s="1" t="s">
        <v>2638</v>
      </c>
      <c r="J163" s="1" t="s">
        <v>2640</v>
      </c>
      <c r="K163" s="7">
        <f t="shared" si="2"/>
        <v>-0.006000956872</v>
      </c>
      <c r="L163" s="7">
        <v>-0.007681046447516141</v>
      </c>
      <c r="M163" s="1">
        <f t="shared" si="1"/>
        <v>1734499</v>
      </c>
    </row>
    <row r="164">
      <c r="A164" s="9">
        <v>45743.0</v>
      </c>
      <c r="B164" s="4">
        <v>3614.85</v>
      </c>
      <c r="C164" s="4">
        <v>3663.0</v>
      </c>
      <c r="D164" s="4">
        <v>3610.5</v>
      </c>
      <c r="E164" s="4">
        <v>3645.0</v>
      </c>
      <c r="F164" s="4">
        <v>3651.2</v>
      </c>
      <c r="G164" s="4">
        <v>3649.02</v>
      </c>
      <c r="H164" s="1" t="s">
        <v>2652</v>
      </c>
      <c r="I164" s="1" t="s">
        <v>2655</v>
      </c>
      <c r="J164" s="1" t="s">
        <v>2658</v>
      </c>
      <c r="K164" s="7">
        <f t="shared" si="2"/>
        <v>0.004235656527</v>
      </c>
      <c r="L164" s="7">
        <v>0.004474844434226054</v>
      </c>
      <c r="M164" s="1">
        <f t="shared" si="1"/>
        <v>2528474</v>
      </c>
    </row>
    <row r="165">
      <c r="A165" s="9">
        <v>45744.0</v>
      </c>
      <c r="B165" s="4">
        <v>3651.0</v>
      </c>
      <c r="C165" s="4">
        <v>3660.95</v>
      </c>
      <c r="D165" s="4">
        <v>3591.9</v>
      </c>
      <c r="E165" s="4">
        <v>3604.0</v>
      </c>
      <c r="F165" s="4">
        <v>3606.15</v>
      </c>
      <c r="G165" s="4">
        <v>3613.75</v>
      </c>
      <c r="H165" s="1" t="s">
        <v>2687</v>
      </c>
      <c r="I165" s="1" t="s">
        <v>2688</v>
      </c>
      <c r="J165" s="1" t="s">
        <v>2689</v>
      </c>
      <c r="K165" s="7">
        <f t="shared" si="2"/>
        <v>-0.01233840929</v>
      </c>
      <c r="L165" s="7">
        <v>-0.003077320865803894</v>
      </c>
      <c r="M165" s="1">
        <f t="shared" si="1"/>
        <v>2051919</v>
      </c>
    </row>
    <row r="166">
      <c r="A166" s="3">
        <v>45748.0</v>
      </c>
      <c r="B166" s="4">
        <v>3572.7</v>
      </c>
      <c r="C166" s="4">
        <v>3584.0</v>
      </c>
      <c r="D166" s="4">
        <v>3525.0</v>
      </c>
      <c r="E166" s="4">
        <v>3556.45</v>
      </c>
      <c r="F166" s="4">
        <v>3550.8</v>
      </c>
      <c r="G166" s="4">
        <v>3548.01</v>
      </c>
      <c r="H166" s="1" t="s">
        <v>2708</v>
      </c>
      <c r="I166" s="1" t="s">
        <v>2710</v>
      </c>
      <c r="J166" s="1" t="s">
        <v>2714</v>
      </c>
      <c r="K166" s="7">
        <f t="shared" si="2"/>
        <v>-0.01534877917</v>
      </c>
      <c r="L166" s="7">
        <v>-0.015036555006834706</v>
      </c>
      <c r="M166" s="1">
        <f t="shared" si="1"/>
        <v>2618493</v>
      </c>
    </row>
    <row r="167">
      <c r="A167" s="3">
        <v>45749.0</v>
      </c>
      <c r="B167" s="4">
        <v>3544.0</v>
      </c>
      <c r="C167" s="4">
        <v>3564.1</v>
      </c>
      <c r="D167" s="4">
        <v>3530.05</v>
      </c>
      <c r="E167" s="4">
        <v>3545.0</v>
      </c>
      <c r="F167" s="4">
        <v>3543.95</v>
      </c>
      <c r="G167" s="4">
        <v>3547.15</v>
      </c>
      <c r="H167" s="1" t="s">
        <v>2726</v>
      </c>
      <c r="I167" s="1" t="s">
        <v>2727</v>
      </c>
      <c r="J167" s="11">
        <v>80651.0</v>
      </c>
      <c r="K167" s="7">
        <f t="shared" si="2"/>
        <v>-0.001929142728</v>
      </c>
      <c r="L167" s="7">
        <v>0.007193825353863592</v>
      </c>
      <c r="M167" s="1">
        <f t="shared" si="1"/>
        <v>1764313</v>
      </c>
    </row>
    <row r="168">
      <c r="A168" s="3">
        <v>45750.0</v>
      </c>
      <c r="B168" s="4">
        <v>3491.0</v>
      </c>
      <c r="C168" s="4">
        <v>3502.0</v>
      </c>
      <c r="D168" s="4">
        <v>3396.15</v>
      </c>
      <c r="E168" s="4">
        <v>3403.3</v>
      </c>
      <c r="F168" s="4">
        <v>3403.15</v>
      </c>
      <c r="G168" s="4">
        <v>3422.75</v>
      </c>
      <c r="H168" s="1" t="s">
        <v>2736</v>
      </c>
      <c r="I168" s="1" t="s">
        <v>2737</v>
      </c>
      <c r="J168" s="1" t="s">
        <v>2739</v>
      </c>
      <c r="K168" s="7">
        <f t="shared" si="2"/>
        <v>-0.03972968016</v>
      </c>
      <c r="L168" s="7">
        <v>-0.0035251485598321647</v>
      </c>
      <c r="M168" s="1">
        <f t="shared" si="1"/>
        <v>4537821</v>
      </c>
    </row>
    <row r="169">
      <c r="A169" s="3">
        <v>45751.0</v>
      </c>
      <c r="B169" s="4">
        <v>3362.6</v>
      </c>
      <c r="C169" s="4">
        <v>3399.65</v>
      </c>
      <c r="D169" s="4">
        <v>3295.5</v>
      </c>
      <c r="E169" s="4">
        <v>3304.85</v>
      </c>
      <c r="F169" s="4">
        <v>3299.4</v>
      </c>
      <c r="G169" s="4">
        <v>3318.1</v>
      </c>
      <c r="H169" s="1" t="s">
        <v>2752</v>
      </c>
      <c r="I169" s="1" t="s">
        <v>2755</v>
      </c>
      <c r="J169" s="1" t="s">
        <v>2756</v>
      </c>
      <c r="K169" s="7">
        <f t="shared" si="2"/>
        <v>-0.03048646107</v>
      </c>
      <c r="L169" s="7">
        <v>-0.014866602724289265</v>
      </c>
      <c r="M169" s="1">
        <f t="shared" si="1"/>
        <v>5317367</v>
      </c>
    </row>
    <row r="170">
      <c r="A170" s="3">
        <v>45754.0</v>
      </c>
      <c r="B170" s="4">
        <v>3100.0</v>
      </c>
      <c r="C170" s="4">
        <v>3291.4</v>
      </c>
      <c r="D170" s="4">
        <v>3056.05</v>
      </c>
      <c r="E170" s="4">
        <v>3285.0</v>
      </c>
      <c r="F170" s="4">
        <v>3274.05</v>
      </c>
      <c r="G170" s="4">
        <v>3167.51</v>
      </c>
      <c r="H170" s="1" t="s">
        <v>2766</v>
      </c>
      <c r="I170" s="1" t="s">
        <v>2767</v>
      </c>
      <c r="J170" s="1" t="s">
        <v>2768</v>
      </c>
      <c r="K170" s="7">
        <f t="shared" si="2"/>
        <v>-0.00768321513</v>
      </c>
      <c r="L170" s="7">
        <v>-0.03243256223135688</v>
      </c>
      <c r="M170" s="1">
        <f t="shared" si="1"/>
        <v>6623955</v>
      </c>
    </row>
    <row r="171">
      <c r="A171" s="3">
        <v>45755.0</v>
      </c>
      <c r="B171" s="4">
        <v>3302.05</v>
      </c>
      <c r="C171" s="4">
        <v>3349.0</v>
      </c>
      <c r="D171" s="4">
        <v>3255.3</v>
      </c>
      <c r="E171" s="4">
        <v>3292.8</v>
      </c>
      <c r="F171" s="4">
        <v>3292.95</v>
      </c>
      <c r="G171" s="4">
        <v>3296.22</v>
      </c>
      <c r="H171" s="1" t="s">
        <v>2784</v>
      </c>
      <c r="I171" s="1" t="s">
        <v>2785</v>
      </c>
      <c r="J171" s="1" t="s">
        <v>2786</v>
      </c>
      <c r="K171" s="7">
        <f t="shared" si="2"/>
        <v>0.00577266688</v>
      </c>
      <c r="L171" s="7">
        <v>0.016887318605154862</v>
      </c>
      <c r="M171" s="1">
        <f t="shared" si="1"/>
        <v>5557558</v>
      </c>
    </row>
    <row r="172">
      <c r="A172" s="3">
        <v>45756.0</v>
      </c>
      <c r="B172" s="4">
        <v>3260.55</v>
      </c>
      <c r="C172" s="4">
        <v>3270.0</v>
      </c>
      <c r="D172" s="4">
        <v>3212.05</v>
      </c>
      <c r="E172" s="4">
        <v>3239.0</v>
      </c>
      <c r="F172" s="4">
        <v>3246.6</v>
      </c>
      <c r="G172" s="4">
        <v>3248.58</v>
      </c>
      <c r="H172" s="1" t="s">
        <v>2797</v>
      </c>
      <c r="I172" s="1" t="s">
        <v>2802</v>
      </c>
      <c r="J172" s="1" t="s">
        <v>2805</v>
      </c>
      <c r="K172" s="7">
        <f t="shared" si="2"/>
        <v>-0.01407552499</v>
      </c>
      <c r="L172" s="7">
        <v>-0.00606589056991403</v>
      </c>
      <c r="M172" s="1">
        <f t="shared" si="1"/>
        <v>2990265</v>
      </c>
    </row>
    <row r="173">
      <c r="A173" s="9">
        <v>45758.0</v>
      </c>
      <c r="B173" s="4">
        <v>3289.55</v>
      </c>
      <c r="C173" s="4">
        <v>3298.95</v>
      </c>
      <c r="D173" s="4">
        <v>3206.0</v>
      </c>
      <c r="E173" s="4">
        <v>3238.0</v>
      </c>
      <c r="F173" s="4">
        <v>3231.5</v>
      </c>
      <c r="G173" s="4">
        <v>3243.04</v>
      </c>
      <c r="H173" s="1" t="s">
        <v>2823</v>
      </c>
      <c r="I173" s="1" t="s">
        <v>2824</v>
      </c>
      <c r="J173" s="1" t="s">
        <v>2825</v>
      </c>
      <c r="K173" s="7">
        <f t="shared" si="2"/>
        <v>-0.004651019528</v>
      </c>
      <c r="L173" s="7">
        <v>0.019170370304230196</v>
      </c>
      <c r="M173" s="1">
        <f t="shared" si="1"/>
        <v>7108961</v>
      </c>
    </row>
    <row r="174">
      <c r="A174" s="9">
        <v>45762.0</v>
      </c>
      <c r="B174" s="4">
        <v>3314.4</v>
      </c>
      <c r="C174" s="4">
        <v>3314.4</v>
      </c>
      <c r="D174" s="4">
        <v>3238.6</v>
      </c>
      <c r="E174" s="4">
        <v>3255.0</v>
      </c>
      <c r="F174" s="4">
        <v>3248.2</v>
      </c>
      <c r="G174" s="4">
        <v>3257.87</v>
      </c>
      <c r="H174" s="1" t="s">
        <v>2836</v>
      </c>
      <c r="I174" s="1" t="s">
        <v>2839</v>
      </c>
      <c r="J174" s="1" t="s">
        <v>2840</v>
      </c>
      <c r="K174" s="7">
        <f t="shared" si="2"/>
        <v>0.005167878694</v>
      </c>
      <c r="L174" s="7">
        <v>0.021902398531663203</v>
      </c>
      <c r="M174" s="1">
        <f t="shared" si="1"/>
        <v>3512160</v>
      </c>
    </row>
    <row r="175">
      <c r="A175" s="9">
        <v>45763.0</v>
      </c>
      <c r="B175" s="4">
        <v>3248.2</v>
      </c>
      <c r="C175" s="4">
        <v>3278.1</v>
      </c>
      <c r="D175" s="4">
        <v>3229.0</v>
      </c>
      <c r="E175" s="4">
        <v>3274.0</v>
      </c>
      <c r="F175" s="4">
        <v>3273.8</v>
      </c>
      <c r="G175" s="4">
        <v>3260.92</v>
      </c>
      <c r="H175" s="1" t="s">
        <v>2858</v>
      </c>
      <c r="I175" s="1" t="s">
        <v>2860</v>
      </c>
      <c r="J175" s="1" t="s">
        <v>2861</v>
      </c>
      <c r="K175" s="7">
        <f t="shared" si="2"/>
        <v>0.007881288098</v>
      </c>
      <c r="L175" s="7">
        <v>0.0046573833350123115</v>
      </c>
      <c r="M175" s="1">
        <f t="shared" si="1"/>
        <v>2384391</v>
      </c>
    </row>
    <row r="176">
      <c r="A176" s="9">
        <v>45764.0</v>
      </c>
      <c r="B176" s="4">
        <v>3245.5</v>
      </c>
      <c r="C176" s="4">
        <v>3303.6</v>
      </c>
      <c r="D176" s="4">
        <v>3218.0</v>
      </c>
      <c r="E176" s="4">
        <v>3297.4</v>
      </c>
      <c r="F176" s="4">
        <v>3298.9</v>
      </c>
      <c r="G176" s="4">
        <v>3262.86</v>
      </c>
      <c r="H176" s="1" t="s">
        <v>2868</v>
      </c>
      <c r="I176" s="1" t="s">
        <v>2871</v>
      </c>
      <c r="J176" s="1" t="s">
        <v>2875</v>
      </c>
      <c r="K176" s="7">
        <f t="shared" si="2"/>
        <v>0.007666931395</v>
      </c>
      <c r="L176" s="7">
        <v>0.017683426347857283</v>
      </c>
      <c r="M176" s="1">
        <f t="shared" si="1"/>
        <v>2932346</v>
      </c>
    </row>
    <row r="177">
      <c r="A177" s="9">
        <v>45768.0</v>
      </c>
      <c r="B177" s="4">
        <v>3290.1</v>
      </c>
      <c r="C177" s="4">
        <v>3354.0</v>
      </c>
      <c r="D177" s="4">
        <v>3284.1</v>
      </c>
      <c r="E177" s="4">
        <v>3319.0</v>
      </c>
      <c r="F177" s="4">
        <v>3321.6</v>
      </c>
      <c r="G177" s="4">
        <v>3325.96</v>
      </c>
      <c r="H177" s="1" t="s">
        <v>2884</v>
      </c>
      <c r="I177" s="1" t="s">
        <v>2886</v>
      </c>
      <c r="J177" s="1" t="s">
        <v>2889</v>
      </c>
      <c r="K177" s="7">
        <f t="shared" si="2"/>
        <v>0.006881081573</v>
      </c>
      <c r="L177" s="7">
        <v>0.011483482274811085</v>
      </c>
      <c r="M177" s="1">
        <f t="shared" si="1"/>
        <v>2432946</v>
      </c>
    </row>
    <row r="178">
      <c r="A178" s="9">
        <v>45769.0</v>
      </c>
      <c r="B178" s="4">
        <v>3322.6</v>
      </c>
      <c r="C178" s="4">
        <v>3333.9</v>
      </c>
      <c r="D178" s="4">
        <v>3295.0</v>
      </c>
      <c r="E178" s="4">
        <v>3312.5</v>
      </c>
      <c r="F178" s="4">
        <v>3314.4</v>
      </c>
      <c r="G178" s="4">
        <v>3315.22</v>
      </c>
      <c r="H178" s="1" t="s">
        <v>2903</v>
      </c>
      <c r="I178" s="1" t="s">
        <v>2905</v>
      </c>
      <c r="J178" s="1" t="s">
        <v>2906</v>
      </c>
      <c r="K178" s="7">
        <f t="shared" si="2"/>
        <v>-0.002167630058</v>
      </c>
      <c r="L178" s="7">
        <v>0.0017284580040662588</v>
      </c>
      <c r="M178" s="1">
        <f t="shared" si="1"/>
        <v>2710498</v>
      </c>
    </row>
    <row r="179">
      <c r="A179" s="9">
        <v>45770.0</v>
      </c>
      <c r="B179" s="4">
        <v>3365.0</v>
      </c>
      <c r="C179" s="4">
        <v>3420.9</v>
      </c>
      <c r="D179" s="4">
        <v>3337.3</v>
      </c>
      <c r="E179" s="4">
        <v>3405.0</v>
      </c>
      <c r="F179" s="4">
        <v>3413.0</v>
      </c>
      <c r="G179" s="4">
        <v>3398.75</v>
      </c>
      <c r="H179" s="1" t="s">
        <v>2916</v>
      </c>
      <c r="I179" s="1" t="s">
        <v>2917</v>
      </c>
      <c r="J179" s="1" t="s">
        <v>2918</v>
      </c>
      <c r="K179" s="7">
        <f t="shared" si="2"/>
        <v>0.02974897417</v>
      </c>
      <c r="L179" s="7">
        <v>0.006690872978928125</v>
      </c>
      <c r="M179" s="1">
        <f t="shared" si="1"/>
        <v>3543923</v>
      </c>
    </row>
    <row r="180">
      <c r="A180" s="9">
        <v>45771.0</v>
      </c>
      <c r="B180" s="4">
        <v>3401.1</v>
      </c>
      <c r="C180" s="4">
        <v>3412.5</v>
      </c>
      <c r="D180" s="4">
        <v>3387.7</v>
      </c>
      <c r="E180" s="4">
        <v>3406.0</v>
      </c>
      <c r="F180" s="4">
        <v>3401.6</v>
      </c>
      <c r="G180" s="4">
        <v>3398.95</v>
      </c>
      <c r="H180" s="1" t="s">
        <v>2930</v>
      </c>
      <c r="I180" s="1" t="s">
        <v>2932</v>
      </c>
      <c r="J180" s="1" t="s">
        <v>2933</v>
      </c>
      <c r="K180" s="7">
        <f t="shared" si="2"/>
        <v>-0.003340169938</v>
      </c>
      <c r="L180" s="7">
        <v>-0.0033807459836943227</v>
      </c>
      <c r="M180" s="1">
        <f t="shared" si="1"/>
        <v>2252175</v>
      </c>
    </row>
    <row r="181">
      <c r="A181" s="9">
        <v>45772.0</v>
      </c>
      <c r="B181" s="4">
        <v>3420.0</v>
      </c>
      <c r="C181" s="4">
        <v>3477.8</v>
      </c>
      <c r="D181" s="4">
        <v>3405.0</v>
      </c>
      <c r="E181" s="4">
        <v>3434.0</v>
      </c>
      <c r="F181" s="4">
        <v>3448.0</v>
      </c>
      <c r="G181" s="4">
        <v>3442.01</v>
      </c>
      <c r="H181" s="1" t="s">
        <v>2940</v>
      </c>
      <c r="I181" s="1" t="s">
        <v>2941</v>
      </c>
      <c r="J181" s="1" t="s">
        <v>2942</v>
      </c>
      <c r="K181" s="7">
        <f t="shared" si="2"/>
        <v>0.0136406397</v>
      </c>
      <c r="L181" s="7">
        <v>-0.008551679197581616</v>
      </c>
      <c r="M181" s="1">
        <f t="shared" si="1"/>
        <v>2742991</v>
      </c>
    </row>
    <row r="182">
      <c r="A182" s="9">
        <v>45775.0</v>
      </c>
      <c r="B182" s="4">
        <v>3435.0</v>
      </c>
      <c r="C182" s="4">
        <v>3457.8</v>
      </c>
      <c r="D182" s="4">
        <v>3405.0</v>
      </c>
      <c r="E182" s="4">
        <v>3441.0</v>
      </c>
      <c r="F182" s="4">
        <v>3443.5</v>
      </c>
      <c r="G182" s="4">
        <v>3438.58</v>
      </c>
      <c r="H182" s="1" t="s">
        <v>2952</v>
      </c>
      <c r="I182" s="1" t="s">
        <v>2953</v>
      </c>
      <c r="J182" s="11">
        <v>94204.0</v>
      </c>
      <c r="K182" s="7">
        <f t="shared" si="2"/>
        <v>-0.001305104408</v>
      </c>
      <c r="L182" s="7">
        <v>0.012028195437896677</v>
      </c>
      <c r="M182" s="1">
        <f t="shared" si="1"/>
        <v>1593296</v>
      </c>
    </row>
    <row r="183">
      <c r="A183" s="9">
        <v>45776.0</v>
      </c>
      <c r="B183" s="4">
        <v>3455.0</v>
      </c>
      <c r="C183" s="4">
        <v>3495.0</v>
      </c>
      <c r="D183" s="4">
        <v>3430.4</v>
      </c>
      <c r="E183" s="4">
        <v>3473.0</v>
      </c>
      <c r="F183" s="4">
        <v>3472.5</v>
      </c>
      <c r="G183" s="4">
        <v>3470.18</v>
      </c>
      <c r="H183" s="1" t="s">
        <v>2964</v>
      </c>
      <c r="I183" s="1" t="s">
        <v>2968</v>
      </c>
      <c r="J183" s="11">
        <v>95060.0</v>
      </c>
      <c r="K183" s="7">
        <f t="shared" si="2"/>
        <v>0.008421664005</v>
      </c>
      <c r="L183" s="7">
        <v>3.062252091169093E-4</v>
      </c>
      <c r="M183" s="1">
        <f t="shared" si="1"/>
        <v>1578332</v>
      </c>
    </row>
    <row r="184">
      <c r="A184" s="9">
        <v>45777.0</v>
      </c>
      <c r="B184" s="4">
        <v>3472.0</v>
      </c>
      <c r="C184" s="4">
        <v>3509.9</v>
      </c>
      <c r="D184" s="4">
        <v>3366.0</v>
      </c>
      <c r="E184" s="4">
        <v>3431.8</v>
      </c>
      <c r="F184" s="4">
        <v>3453.7</v>
      </c>
      <c r="G184" s="4">
        <v>3464.02</v>
      </c>
      <c r="H184" s="1" t="s">
        <v>2980</v>
      </c>
      <c r="I184" s="1" t="s">
        <v>2981</v>
      </c>
      <c r="J184" s="1" t="s">
        <v>2983</v>
      </c>
      <c r="K184" s="7">
        <f t="shared" si="2"/>
        <v>-0.005413966883</v>
      </c>
      <c r="L184" s="7">
        <v>-7.191007542339626E-5</v>
      </c>
      <c r="M184" s="1">
        <f t="shared" si="1"/>
        <v>2809332</v>
      </c>
    </row>
    <row r="185">
      <c r="A185" s="12">
        <v>45779.0</v>
      </c>
      <c r="B185" s="4">
        <v>3472.0</v>
      </c>
      <c r="C185" s="4">
        <v>3491.5</v>
      </c>
      <c r="D185" s="4">
        <v>3420.0</v>
      </c>
      <c r="E185" s="4">
        <v>3438.0</v>
      </c>
      <c r="F185" s="4">
        <v>3444.7</v>
      </c>
      <c r="G185" s="4">
        <v>3450.76</v>
      </c>
      <c r="H185" s="1" t="s">
        <v>2995</v>
      </c>
      <c r="I185" s="1" t="s">
        <v>2998</v>
      </c>
      <c r="J185" s="1" t="s">
        <v>3000</v>
      </c>
      <c r="K185" s="7">
        <f t="shared" si="2"/>
        <v>-0.002605900918</v>
      </c>
      <c r="L185" s="7">
        <v>5.136803346730116E-4</v>
      </c>
      <c r="M185" s="1">
        <f t="shared" si="1"/>
        <v>2115624</v>
      </c>
    </row>
    <row r="186">
      <c r="A186" s="12">
        <v>45782.0</v>
      </c>
      <c r="B186" s="4">
        <v>3450.0</v>
      </c>
      <c r="C186" s="4">
        <v>3504.5</v>
      </c>
      <c r="D186" s="4">
        <v>3446.4</v>
      </c>
      <c r="E186" s="4">
        <v>3454.6</v>
      </c>
      <c r="F186" s="4">
        <v>3454.3</v>
      </c>
      <c r="G186" s="4">
        <v>3466.59</v>
      </c>
      <c r="H186" s="1" t="s">
        <v>3008</v>
      </c>
      <c r="I186" s="1" t="s">
        <v>3010</v>
      </c>
      <c r="J186" s="11">
        <v>96657.0</v>
      </c>
      <c r="K186" s="7">
        <f t="shared" si="2"/>
        <v>0.002786890005</v>
      </c>
      <c r="L186" s="7">
        <v>0.004700842413961675</v>
      </c>
      <c r="M186" s="1">
        <f t="shared" si="1"/>
        <v>1284443</v>
      </c>
    </row>
    <row r="187">
      <c r="A187" s="12">
        <v>45783.0</v>
      </c>
      <c r="B187" s="4">
        <v>3460.0</v>
      </c>
      <c r="C187" s="4">
        <v>3473.0</v>
      </c>
      <c r="D187" s="4">
        <v>3437.0</v>
      </c>
      <c r="E187" s="4">
        <v>3451.6</v>
      </c>
      <c r="F187" s="4">
        <v>3460.0</v>
      </c>
      <c r="G187" s="4">
        <v>3458.05</v>
      </c>
      <c r="H187" s="1" t="s">
        <v>3021</v>
      </c>
      <c r="I187" s="1" t="s">
        <v>3022</v>
      </c>
      <c r="J187" s="11">
        <v>65526.0</v>
      </c>
      <c r="K187" s="7">
        <f t="shared" si="2"/>
        <v>0.001650117245</v>
      </c>
      <c r="L187" s="7">
        <v>-0.003333857974788712</v>
      </c>
      <c r="M187" s="1">
        <f t="shared" si="1"/>
        <v>1324763</v>
      </c>
    </row>
    <row r="188">
      <c r="A188" s="12">
        <v>45784.0</v>
      </c>
      <c r="B188" s="4">
        <v>3420.6</v>
      </c>
      <c r="C188" s="4">
        <v>3459.5</v>
      </c>
      <c r="D188" s="4">
        <v>3420.6</v>
      </c>
      <c r="E188" s="4">
        <v>3448.0</v>
      </c>
      <c r="F188" s="4">
        <v>3445.1</v>
      </c>
      <c r="G188" s="4">
        <v>3442.07</v>
      </c>
      <c r="H188" s="1" t="s">
        <v>3036</v>
      </c>
      <c r="I188" s="1" t="s">
        <v>3038</v>
      </c>
      <c r="J188" s="11">
        <v>89334.0</v>
      </c>
      <c r="K188" s="7">
        <f t="shared" si="2"/>
        <v>-0.004306358382</v>
      </c>
      <c r="L188" s="7">
        <v>0.0014274229273656218</v>
      </c>
      <c r="M188" s="1">
        <f t="shared" si="1"/>
        <v>1477128</v>
      </c>
    </row>
    <row r="189">
      <c r="A189" s="12">
        <v>45785.0</v>
      </c>
      <c r="B189" s="4">
        <v>3448.0</v>
      </c>
      <c r="C189" s="4">
        <v>3477.0</v>
      </c>
      <c r="D189" s="4">
        <v>3428.7</v>
      </c>
      <c r="E189" s="4">
        <v>3434.2</v>
      </c>
      <c r="F189" s="4">
        <v>3448.9</v>
      </c>
      <c r="G189" s="4">
        <v>3451.58</v>
      </c>
      <c r="H189" s="1" t="s">
        <v>3049</v>
      </c>
      <c r="I189" s="1" t="s">
        <v>3050</v>
      </c>
      <c r="J189" s="1" t="s">
        <v>3051</v>
      </c>
      <c r="K189" s="7">
        <f t="shared" si="2"/>
        <v>0.001103015878</v>
      </c>
      <c r="L189" s="7">
        <v>-0.005758896389016407</v>
      </c>
      <c r="M189" s="1">
        <f t="shared" si="1"/>
        <v>2543591</v>
      </c>
    </row>
    <row r="190">
      <c r="A190" s="12">
        <v>45786.0</v>
      </c>
      <c r="B190" s="4">
        <v>3399.0</v>
      </c>
      <c r="C190" s="4">
        <v>3446.2</v>
      </c>
      <c r="D190" s="4">
        <v>3398.1</v>
      </c>
      <c r="E190" s="4">
        <v>3439.9</v>
      </c>
      <c r="F190" s="4">
        <v>3440.3</v>
      </c>
      <c r="G190" s="4">
        <v>3428.44</v>
      </c>
      <c r="H190" s="1" t="s">
        <v>3064</v>
      </c>
      <c r="I190" s="1" t="s">
        <v>3065</v>
      </c>
      <c r="J190" s="1" t="s">
        <v>3066</v>
      </c>
      <c r="K190" s="7">
        <f t="shared" si="2"/>
        <v>-0.002493548668</v>
      </c>
      <c r="L190" s="7">
        <v>-0.01095007786172743</v>
      </c>
      <c r="M190" s="1">
        <f t="shared" si="1"/>
        <v>2531757</v>
      </c>
    </row>
    <row r="191">
      <c r="A191" s="13">
        <v>45789.0</v>
      </c>
      <c r="B191" s="4">
        <v>3505.0</v>
      </c>
      <c r="C191" s="4">
        <v>3630.5</v>
      </c>
      <c r="D191" s="4">
        <v>3502.2</v>
      </c>
      <c r="E191" s="4">
        <v>3626.5</v>
      </c>
      <c r="F191" s="4">
        <v>3620.4</v>
      </c>
      <c r="G191" s="4">
        <v>3577.93</v>
      </c>
      <c r="H191" s="1" t="s">
        <v>3079</v>
      </c>
      <c r="I191" s="1" t="s">
        <v>3082</v>
      </c>
      <c r="J191" s="1" t="s">
        <v>3084</v>
      </c>
      <c r="K191" s="7">
        <f t="shared" si="2"/>
        <v>0.05235008575</v>
      </c>
      <c r="L191" s="7">
        <v>0.03818310563145621</v>
      </c>
      <c r="M191" s="1">
        <f t="shared" si="1"/>
        <v>2228678</v>
      </c>
    </row>
    <row r="192">
      <c r="A192" s="13">
        <v>45790.0</v>
      </c>
      <c r="B192" s="4">
        <v>3620.4</v>
      </c>
      <c r="C192" s="4">
        <v>3623.0</v>
      </c>
      <c r="D192" s="4">
        <v>3510.5</v>
      </c>
      <c r="E192" s="4">
        <v>3518.0</v>
      </c>
      <c r="F192" s="4">
        <v>3515.0</v>
      </c>
      <c r="G192" s="4">
        <v>3541.51</v>
      </c>
      <c r="H192" s="1" t="s">
        <v>3101</v>
      </c>
      <c r="I192" s="1" t="s">
        <v>3102</v>
      </c>
      <c r="J192" s="1" t="s">
        <v>3103</v>
      </c>
      <c r="K192" s="7">
        <f t="shared" si="2"/>
        <v>-0.02911280521</v>
      </c>
      <c r="L192" s="7">
        <v>-0.01389585431319142</v>
      </c>
      <c r="M192" s="1">
        <f t="shared" si="1"/>
        <v>3062887</v>
      </c>
    </row>
    <row r="193">
      <c r="A193" s="13">
        <v>45791.0</v>
      </c>
      <c r="B193" s="4">
        <v>3521.0</v>
      </c>
      <c r="C193" s="4">
        <v>3561.0</v>
      </c>
      <c r="D193" s="4">
        <v>3508.6</v>
      </c>
      <c r="E193" s="4">
        <v>3547.0</v>
      </c>
      <c r="F193" s="4">
        <v>3548.7</v>
      </c>
      <c r="G193" s="4">
        <v>3543.04</v>
      </c>
      <c r="H193" s="1" t="s">
        <v>3117</v>
      </c>
      <c r="I193" s="1" t="s">
        <v>3119</v>
      </c>
      <c r="J193" s="1" t="s">
        <v>3121</v>
      </c>
      <c r="K193" s="7">
        <f t="shared" si="2"/>
        <v>0.009587482219</v>
      </c>
      <c r="L193" s="7">
        <v>0.0036027642213575326</v>
      </c>
      <c r="M193" s="1">
        <f t="shared" si="1"/>
        <v>2119499</v>
      </c>
    </row>
    <row r="194">
      <c r="A194" s="13">
        <v>45792.0</v>
      </c>
      <c r="B194" s="4">
        <v>3564.0</v>
      </c>
      <c r="C194" s="4">
        <v>3600.0</v>
      </c>
      <c r="D194" s="4">
        <v>3514.1</v>
      </c>
      <c r="E194" s="4">
        <v>3576.5</v>
      </c>
      <c r="F194" s="4">
        <v>3579.9</v>
      </c>
      <c r="G194" s="4">
        <v>3565.55</v>
      </c>
      <c r="H194" s="1" t="s">
        <v>3132</v>
      </c>
      <c r="I194" s="1" t="s">
        <v>3134</v>
      </c>
      <c r="J194" s="1" t="s">
        <v>3137</v>
      </c>
      <c r="K194" s="7">
        <f t="shared" si="2"/>
        <v>0.008791951982</v>
      </c>
      <c r="L194" s="7">
        <v>0.01602147006717492</v>
      </c>
      <c r="M194" s="1">
        <f t="shared" si="1"/>
        <v>3548330</v>
      </c>
    </row>
    <row r="195">
      <c r="A195" s="13">
        <v>45793.0</v>
      </c>
      <c r="B195" s="4">
        <v>3593.9</v>
      </c>
      <c r="C195" s="4">
        <v>3593.9</v>
      </c>
      <c r="D195" s="4">
        <v>3546.1</v>
      </c>
      <c r="E195" s="4">
        <v>3561.3</v>
      </c>
      <c r="F195" s="4">
        <v>3561.3</v>
      </c>
      <c r="G195" s="4">
        <v>3559.81</v>
      </c>
      <c r="H195" s="1" t="s">
        <v>3147</v>
      </c>
      <c r="I195" s="1" t="s">
        <v>3149</v>
      </c>
      <c r="J195" s="1" t="s">
        <v>3151</v>
      </c>
      <c r="K195" s="7">
        <f t="shared" si="2"/>
        <v>-0.005195675857</v>
      </c>
      <c r="L195" s="7">
        <v>-0.0016878074862042396</v>
      </c>
      <c r="M195" s="1">
        <f t="shared" si="1"/>
        <v>1666727</v>
      </c>
    </row>
    <row r="196">
      <c r="A196" s="13">
        <v>45796.0</v>
      </c>
      <c r="B196" s="4">
        <v>3550.0</v>
      </c>
      <c r="C196" s="4">
        <v>3550.0</v>
      </c>
      <c r="D196" s="4">
        <v>3503.7</v>
      </c>
      <c r="E196" s="4">
        <v>3518.0</v>
      </c>
      <c r="F196" s="4">
        <v>3518.8</v>
      </c>
      <c r="G196" s="4">
        <v>3522.37</v>
      </c>
      <c r="H196" s="1" t="s">
        <v>3161</v>
      </c>
      <c r="I196" s="1" t="s">
        <v>3162</v>
      </c>
      <c r="J196" s="1" t="s">
        <v>3163</v>
      </c>
      <c r="K196" s="7">
        <f t="shared" si="2"/>
        <v>-0.01193384438</v>
      </c>
      <c r="L196" s="7">
        <v>-0.0029716464560067845</v>
      </c>
      <c r="M196" s="1">
        <f t="shared" si="1"/>
        <v>2537377</v>
      </c>
    </row>
    <row r="197">
      <c r="A197" s="13">
        <v>45797.0</v>
      </c>
      <c r="B197" s="4">
        <v>3531.8</v>
      </c>
      <c r="C197" s="4">
        <v>3558.0</v>
      </c>
      <c r="D197" s="4">
        <v>3494.0</v>
      </c>
      <c r="E197" s="4">
        <v>3503.0</v>
      </c>
      <c r="F197" s="4">
        <v>3498.3</v>
      </c>
      <c r="G197" s="4">
        <v>3515.81</v>
      </c>
      <c r="H197" s="1" t="s">
        <v>3176</v>
      </c>
      <c r="I197" s="1" t="s">
        <v>3179</v>
      </c>
      <c r="J197" s="1" t="s">
        <v>3181</v>
      </c>
      <c r="K197" s="7">
        <f t="shared" si="2"/>
        <v>-0.005825849721</v>
      </c>
      <c r="L197" s="7">
        <v>-0.01048487800380427</v>
      </c>
      <c r="M197" s="1">
        <f t="shared" si="1"/>
        <v>2038374</v>
      </c>
    </row>
    <row r="198">
      <c r="A198" s="13">
        <v>45798.0</v>
      </c>
      <c r="B198" s="4">
        <v>3508.0</v>
      </c>
      <c r="C198" s="4">
        <v>3537.0</v>
      </c>
      <c r="D198" s="4">
        <v>3498.3</v>
      </c>
      <c r="E198" s="4">
        <v>3521.1</v>
      </c>
      <c r="F198" s="4">
        <v>3525.8</v>
      </c>
      <c r="G198" s="4">
        <v>3523.98</v>
      </c>
      <c r="H198" s="1" t="s">
        <v>3190</v>
      </c>
      <c r="I198" s="1" t="s">
        <v>3191</v>
      </c>
      <c r="J198" s="11">
        <v>72782.0</v>
      </c>
      <c r="K198" s="7">
        <f t="shared" si="2"/>
        <v>0.007860961038</v>
      </c>
      <c r="L198" s="7">
        <v>0.0052483602672186835</v>
      </c>
      <c r="M198" s="1">
        <f t="shared" si="1"/>
        <v>1440153</v>
      </c>
    </row>
    <row r="199">
      <c r="A199" s="13">
        <v>45799.0</v>
      </c>
      <c r="B199" s="4">
        <v>3495.0</v>
      </c>
      <c r="C199" s="4">
        <v>3497.8</v>
      </c>
      <c r="D199" s="4">
        <v>3451.3</v>
      </c>
      <c r="E199" s="4">
        <v>3483.4</v>
      </c>
      <c r="F199" s="4">
        <v>3477.0</v>
      </c>
      <c r="G199" s="4">
        <v>3473.54</v>
      </c>
      <c r="H199" s="1" t="s">
        <v>3204</v>
      </c>
      <c r="I199" s="1" t="s">
        <v>3206</v>
      </c>
      <c r="J199" s="1" t="s">
        <v>3209</v>
      </c>
      <c r="K199" s="7">
        <f t="shared" si="2"/>
        <v>-0.01384083045</v>
      </c>
      <c r="L199" s="7">
        <v>-0.00821127251551074</v>
      </c>
      <c r="M199" s="1">
        <f t="shared" si="1"/>
        <v>2034383</v>
      </c>
    </row>
    <row r="200">
      <c r="A200" s="13">
        <v>45800.0</v>
      </c>
      <c r="B200" s="4">
        <v>3477.0</v>
      </c>
      <c r="C200" s="4">
        <v>3535.0</v>
      </c>
      <c r="D200" s="4">
        <v>3465.6</v>
      </c>
      <c r="E200" s="4">
        <v>3508.0</v>
      </c>
      <c r="F200" s="4">
        <v>3514.6</v>
      </c>
      <c r="G200" s="4">
        <v>3511.99</v>
      </c>
      <c r="H200" s="1" t="s">
        <v>3219</v>
      </c>
      <c r="I200" s="1" t="s">
        <v>3221</v>
      </c>
      <c r="J200" s="11">
        <v>71383.0</v>
      </c>
      <c r="K200" s="7">
        <f t="shared" si="2"/>
        <v>0.01081392005</v>
      </c>
      <c r="L200" s="7">
        <v>0.009892440785543941</v>
      </c>
      <c r="M200" s="1">
        <f t="shared" si="1"/>
        <v>1274331</v>
      </c>
    </row>
    <row r="201">
      <c r="A201" s="13">
        <v>45803.0</v>
      </c>
      <c r="B201" s="4">
        <v>3521.0</v>
      </c>
      <c r="C201" s="4">
        <v>3545.0</v>
      </c>
      <c r="D201" s="4">
        <v>3510.1</v>
      </c>
      <c r="E201" s="4">
        <v>3538.0</v>
      </c>
      <c r="F201" s="4">
        <v>3537.3</v>
      </c>
      <c r="G201" s="4">
        <v>3536.37</v>
      </c>
      <c r="H201" s="1" t="s">
        <v>3232</v>
      </c>
      <c r="I201" s="1" t="s">
        <v>3235</v>
      </c>
      <c r="J201" s="11">
        <v>67043.0</v>
      </c>
      <c r="K201" s="7">
        <f t="shared" si="2"/>
        <v>0.00645877198</v>
      </c>
      <c r="L201" s="7">
        <v>0.005954979549875971</v>
      </c>
      <c r="M201" s="1">
        <f t="shared" si="1"/>
        <v>967470</v>
      </c>
    </row>
    <row r="202">
      <c r="A202" s="13">
        <v>45804.0</v>
      </c>
      <c r="B202" s="4">
        <v>3532.0</v>
      </c>
      <c r="C202" s="4">
        <v>3540.0</v>
      </c>
      <c r="D202" s="4">
        <v>3483.1</v>
      </c>
      <c r="E202" s="4">
        <v>3501.0</v>
      </c>
      <c r="F202" s="4">
        <v>3498.7</v>
      </c>
      <c r="G202" s="4">
        <v>3500.34</v>
      </c>
      <c r="H202" s="1" t="s">
        <v>3250</v>
      </c>
      <c r="I202" s="1" t="s">
        <v>3251</v>
      </c>
      <c r="J202" s="1" t="s">
        <v>3252</v>
      </c>
      <c r="K202" s="7">
        <f t="shared" si="2"/>
        <v>-0.01091227773</v>
      </c>
      <c r="L202" s="7">
        <v>-0.0069976781068071155</v>
      </c>
      <c r="M202" s="1">
        <f t="shared" si="1"/>
        <v>2467680</v>
      </c>
    </row>
    <row r="203">
      <c r="A203" s="13">
        <v>45805.0</v>
      </c>
      <c r="B203" s="4">
        <v>3520.0</v>
      </c>
      <c r="C203" s="4">
        <v>3529.0</v>
      </c>
      <c r="D203" s="4">
        <v>3493.0</v>
      </c>
      <c r="E203" s="4">
        <v>3500.1</v>
      </c>
      <c r="F203" s="4">
        <v>3497.7</v>
      </c>
      <c r="G203" s="4">
        <v>3501.32</v>
      </c>
      <c r="H203" s="1" t="s">
        <v>3262</v>
      </c>
      <c r="I203" s="1" t="s">
        <v>3265</v>
      </c>
      <c r="J203" s="11">
        <v>80594.0</v>
      </c>
      <c r="K203" s="7">
        <f t="shared" si="2"/>
        <v>-0.0002858204476</v>
      </c>
      <c r="L203" s="7">
        <v>-0.0029706519725129095</v>
      </c>
      <c r="M203" s="1">
        <f t="shared" si="1"/>
        <v>1222933</v>
      </c>
    </row>
    <row r="204">
      <c r="A204" s="13">
        <v>45806.0</v>
      </c>
      <c r="B204" s="4">
        <v>3504.7</v>
      </c>
      <c r="C204" s="4">
        <v>3532.5</v>
      </c>
      <c r="D204" s="4">
        <v>3486.5</v>
      </c>
      <c r="E204" s="4">
        <v>3494.0</v>
      </c>
      <c r="F204" s="4">
        <v>3498.1</v>
      </c>
      <c r="G204" s="4">
        <v>3500.24</v>
      </c>
      <c r="H204" s="1" t="s">
        <v>3277</v>
      </c>
      <c r="I204" s="1" t="s">
        <v>3279</v>
      </c>
      <c r="J204" s="1" t="s">
        <v>3281</v>
      </c>
      <c r="K204" s="7">
        <f t="shared" si="2"/>
        <v>0.0001143608657</v>
      </c>
      <c r="L204" s="7">
        <v>0.0032784633440325226</v>
      </c>
      <c r="M204" s="1">
        <f t="shared" si="1"/>
        <v>3188072</v>
      </c>
    </row>
    <row r="205">
      <c r="A205" s="13">
        <v>45807.0</v>
      </c>
      <c r="B205" s="4">
        <v>3490.0</v>
      </c>
      <c r="C205" s="4">
        <v>3506.7</v>
      </c>
      <c r="D205" s="4">
        <v>3453.1</v>
      </c>
      <c r="E205" s="4">
        <v>3460.0</v>
      </c>
      <c r="F205" s="4">
        <v>3463.4</v>
      </c>
      <c r="G205" s="4">
        <v>3473.8</v>
      </c>
      <c r="H205" s="1" t="s">
        <v>3296</v>
      </c>
      <c r="I205" s="1" t="s">
        <v>3297</v>
      </c>
      <c r="J205" s="1" t="s">
        <v>3298</v>
      </c>
      <c r="K205" s="7">
        <f t="shared" si="2"/>
        <v>-0.009919670678</v>
      </c>
      <c r="L205" s="7">
        <v>-0.0033382191869079725</v>
      </c>
      <c r="M205" s="1">
        <f t="shared" si="1"/>
        <v>3404365</v>
      </c>
    </row>
    <row r="206">
      <c r="A206" s="3">
        <v>45810.0</v>
      </c>
      <c r="B206" s="4">
        <v>3450.0</v>
      </c>
      <c r="C206" s="4">
        <v>3460.0</v>
      </c>
      <c r="D206" s="4">
        <v>3418.6</v>
      </c>
      <c r="E206" s="4">
        <v>3445.8</v>
      </c>
      <c r="F206" s="4">
        <v>3449.8</v>
      </c>
      <c r="G206" s="4">
        <v>3441.46</v>
      </c>
      <c r="H206" s="1" t="s">
        <v>3310</v>
      </c>
      <c r="I206" s="1" t="s">
        <v>3312</v>
      </c>
      <c r="J206" s="1" t="s">
        <v>3313</v>
      </c>
      <c r="K206" s="7">
        <f t="shared" si="2"/>
        <v>-0.003926777155</v>
      </c>
      <c r="L206" s="7">
        <v>-0.0013777388114276437</v>
      </c>
      <c r="M206" s="1">
        <f t="shared" si="1"/>
        <v>1877585</v>
      </c>
    </row>
    <row r="207">
      <c r="A207" s="3">
        <v>45811.0</v>
      </c>
      <c r="B207" s="4">
        <v>3446.0</v>
      </c>
      <c r="C207" s="4">
        <v>3473.5</v>
      </c>
      <c r="D207" s="4">
        <v>3400.5</v>
      </c>
      <c r="E207" s="4">
        <v>3411.4</v>
      </c>
      <c r="F207" s="4">
        <v>3405.2</v>
      </c>
      <c r="G207" s="4">
        <v>3418.44</v>
      </c>
      <c r="H207" s="1" t="s">
        <v>3326</v>
      </c>
      <c r="I207" s="1" t="s">
        <v>3328</v>
      </c>
      <c r="J207" s="1" t="s">
        <v>3330</v>
      </c>
      <c r="K207" s="7">
        <f t="shared" si="2"/>
        <v>-0.0129282857</v>
      </c>
      <c r="L207" s="7">
        <v>-0.007043849073092519</v>
      </c>
      <c r="M207" s="1">
        <f t="shared" si="1"/>
        <v>2848125</v>
      </c>
    </row>
    <row r="208">
      <c r="A208" s="3">
        <v>45812.0</v>
      </c>
      <c r="B208" s="4">
        <v>3389.0</v>
      </c>
      <c r="C208" s="4">
        <v>3394.8</v>
      </c>
      <c r="D208" s="4">
        <v>3370.0</v>
      </c>
      <c r="E208" s="4">
        <v>3381.0</v>
      </c>
      <c r="F208" s="4">
        <v>3380.9</v>
      </c>
      <c r="G208" s="4">
        <v>3382.86</v>
      </c>
      <c r="H208" s="1" t="s">
        <v>3341</v>
      </c>
      <c r="I208" s="1" t="s">
        <v>3343</v>
      </c>
      <c r="J208" s="1" t="s">
        <v>3346</v>
      </c>
      <c r="K208" s="7">
        <f t="shared" si="2"/>
        <v>-0.00713614472</v>
      </c>
      <c r="L208" s="7">
        <v>0.003165936640521574</v>
      </c>
      <c r="M208" s="1">
        <f t="shared" si="1"/>
        <v>2544807</v>
      </c>
    </row>
    <row r="209">
      <c r="A209" s="3">
        <v>45813.0</v>
      </c>
      <c r="B209" s="4">
        <v>3409.0</v>
      </c>
      <c r="C209" s="4">
        <v>3409.0</v>
      </c>
      <c r="D209" s="4">
        <v>3363.7</v>
      </c>
      <c r="E209" s="4">
        <v>3374.0</v>
      </c>
      <c r="F209" s="4">
        <v>3371.1</v>
      </c>
      <c r="G209" s="4">
        <v>3380.39</v>
      </c>
      <c r="H209" s="1" t="s">
        <v>3356</v>
      </c>
      <c r="I209" s="1" t="s">
        <v>3357</v>
      </c>
      <c r="J209" s="1" t="s">
        <v>3359</v>
      </c>
      <c r="K209" s="7">
        <f t="shared" si="2"/>
        <v>-0.002898636458</v>
      </c>
      <c r="L209" s="7">
        <v>0.005308648995540277</v>
      </c>
      <c r="M209" s="1">
        <f t="shared" si="1"/>
        <v>3584683</v>
      </c>
    </row>
    <row r="210">
      <c r="A210" s="3">
        <v>45814.0</v>
      </c>
      <c r="B210" s="4">
        <v>3371.1</v>
      </c>
      <c r="C210" s="4">
        <v>3390.9</v>
      </c>
      <c r="D210" s="4">
        <v>3358.7</v>
      </c>
      <c r="E210" s="4">
        <v>3388.0</v>
      </c>
      <c r="F210" s="4">
        <v>3384.2</v>
      </c>
      <c r="G210" s="4">
        <v>3376.59</v>
      </c>
      <c r="H210" s="1" t="s">
        <v>3372</v>
      </c>
      <c r="I210" s="1" t="s">
        <v>3374</v>
      </c>
      <c r="J210" s="11">
        <v>94941.0</v>
      </c>
      <c r="K210" s="7">
        <f t="shared" si="2"/>
        <v>0.003885971938</v>
      </c>
      <c r="L210" s="7">
        <v>0.010187508333030225</v>
      </c>
      <c r="M210" s="1">
        <f t="shared" si="1"/>
        <v>2070390</v>
      </c>
    </row>
    <row r="211">
      <c r="A211" s="3">
        <v>45817.0</v>
      </c>
      <c r="B211" s="4">
        <v>3400.0</v>
      </c>
      <c r="C211" s="4">
        <v>3434.0</v>
      </c>
      <c r="D211" s="4">
        <v>3390.9</v>
      </c>
      <c r="E211" s="4">
        <v>3423.0</v>
      </c>
      <c r="F211" s="4">
        <v>3421.9</v>
      </c>
      <c r="G211" s="4">
        <v>3420.68</v>
      </c>
      <c r="H211" s="1" t="s">
        <v>3385</v>
      </c>
      <c r="I211" s="1" t="s">
        <v>3389</v>
      </c>
      <c r="J211" s="11">
        <v>73412.0</v>
      </c>
      <c r="K211" s="7">
        <f t="shared" si="2"/>
        <v>0.01114000355</v>
      </c>
      <c r="L211" s="7">
        <v>0.004005511327618089</v>
      </c>
      <c r="M211" s="1">
        <f t="shared" si="1"/>
        <v>1718678</v>
      </c>
    </row>
    <row r="212">
      <c r="A212" s="9">
        <v>45818.0</v>
      </c>
      <c r="B212" s="4">
        <v>3440.0</v>
      </c>
      <c r="C212" s="4">
        <v>3485.8</v>
      </c>
      <c r="D212" s="4">
        <v>3423.2</v>
      </c>
      <c r="E212" s="4">
        <v>3461.9</v>
      </c>
      <c r="F212" s="4">
        <v>3462.9</v>
      </c>
      <c r="G212" s="4">
        <v>3462.61</v>
      </c>
      <c r="H212" s="1" t="s">
        <v>3402</v>
      </c>
      <c r="I212" s="1" t="s">
        <v>3403</v>
      </c>
      <c r="J212" s="1" t="s">
        <v>3404</v>
      </c>
      <c r="K212" s="7">
        <f t="shared" si="2"/>
        <v>0.01198164762</v>
      </c>
      <c r="L212" s="7">
        <v>4.1827336753851E-5</v>
      </c>
      <c r="M212" s="1">
        <f t="shared" si="1"/>
        <v>2419874</v>
      </c>
    </row>
    <row r="213">
      <c r="A213" s="9">
        <v>45819.0</v>
      </c>
      <c r="B213" s="4">
        <v>3470.0</v>
      </c>
      <c r="C213" s="4">
        <v>3489.0</v>
      </c>
      <c r="D213" s="4">
        <v>3449.1</v>
      </c>
      <c r="E213" s="4">
        <v>3470.8</v>
      </c>
      <c r="F213" s="4">
        <v>3471.9</v>
      </c>
      <c r="G213" s="4">
        <v>3471.9</v>
      </c>
      <c r="H213" s="1" t="s">
        <v>3416</v>
      </c>
      <c r="I213" s="1" t="s">
        <v>3418</v>
      </c>
      <c r="J213" s="1" t="s">
        <v>3419</v>
      </c>
      <c r="K213" s="7">
        <f t="shared" si="2"/>
        <v>0.002598977735</v>
      </c>
      <c r="L213" s="7">
        <v>0.001479829112600514</v>
      </c>
      <c r="M213" s="1">
        <f t="shared" si="1"/>
        <v>2847013</v>
      </c>
    </row>
    <row r="214">
      <c r="A214" s="9">
        <v>45820.0</v>
      </c>
      <c r="B214" s="4">
        <v>3471.9</v>
      </c>
      <c r="C214" s="4">
        <v>3474.7</v>
      </c>
      <c r="D214" s="4">
        <v>3423.2</v>
      </c>
      <c r="E214" s="4">
        <v>3432.0</v>
      </c>
      <c r="F214" s="4">
        <v>3434.2</v>
      </c>
      <c r="G214" s="4">
        <v>3447.13</v>
      </c>
      <c r="H214" s="1" t="s">
        <v>3429</v>
      </c>
      <c r="I214" s="1" t="s">
        <v>3430</v>
      </c>
      <c r="J214" s="1" t="s">
        <v>3431</v>
      </c>
      <c r="K214" s="7">
        <f t="shared" si="2"/>
        <v>-0.01085860768</v>
      </c>
      <c r="L214" s="7">
        <v>-0.010071038207896168</v>
      </c>
      <c r="M214" s="1">
        <f t="shared" si="1"/>
        <v>4060134</v>
      </c>
    </row>
    <row r="215">
      <c r="A215" s="9">
        <v>45821.0</v>
      </c>
      <c r="B215" s="4">
        <v>3393.2</v>
      </c>
      <c r="C215" s="4">
        <v>3450.5</v>
      </c>
      <c r="D215" s="4">
        <v>3393.2</v>
      </c>
      <c r="E215" s="4">
        <v>3447.4</v>
      </c>
      <c r="F215" s="4">
        <v>3445.7</v>
      </c>
      <c r="G215" s="4">
        <v>3436.18</v>
      </c>
      <c r="H215" s="1" t="s">
        <v>3443</v>
      </c>
      <c r="I215" s="1" t="s">
        <v>3447</v>
      </c>
      <c r="J215" s="1" t="s">
        <v>3449</v>
      </c>
      <c r="K215" s="7">
        <f t="shared" si="2"/>
        <v>0.003348669268</v>
      </c>
      <c r="L215" s="7">
        <v>-0.00681447432920027</v>
      </c>
      <c r="M215" s="1">
        <f t="shared" si="1"/>
        <v>2178493</v>
      </c>
    </row>
    <row r="216">
      <c r="A216" s="9">
        <v>45824.0</v>
      </c>
      <c r="B216" s="4">
        <v>3440.0</v>
      </c>
      <c r="C216" s="4">
        <v>3509.0</v>
      </c>
      <c r="D216" s="4">
        <v>3426.2</v>
      </c>
      <c r="E216" s="4">
        <v>3496.2</v>
      </c>
      <c r="F216" s="4">
        <v>3496.3</v>
      </c>
      <c r="G216" s="4">
        <v>3493.01</v>
      </c>
      <c r="H216" s="1" t="s">
        <v>3458</v>
      </c>
      <c r="I216" s="1" t="s">
        <v>3459</v>
      </c>
      <c r="J216" s="1" t="s">
        <v>3461</v>
      </c>
      <c r="K216" s="7">
        <f t="shared" si="2"/>
        <v>0.01468496967</v>
      </c>
      <c r="L216" s="7">
        <v>0.00921977781913221</v>
      </c>
      <c r="M216" s="1">
        <f t="shared" si="1"/>
        <v>1934088</v>
      </c>
    </row>
    <row r="217">
      <c r="A217" s="9">
        <v>45825.0</v>
      </c>
      <c r="B217" s="4">
        <v>3510.0</v>
      </c>
      <c r="C217" s="4">
        <v>3520.0</v>
      </c>
      <c r="D217" s="4">
        <v>3488.1</v>
      </c>
      <c r="E217" s="4">
        <v>3512.0</v>
      </c>
      <c r="F217" s="4">
        <v>3515.3</v>
      </c>
      <c r="G217" s="4">
        <v>3511.25</v>
      </c>
      <c r="H217" s="1" t="s">
        <v>3472</v>
      </c>
      <c r="I217" s="1" t="s">
        <v>3475</v>
      </c>
      <c r="J217" s="1" t="s">
        <v>3477</v>
      </c>
      <c r="K217" s="7">
        <f t="shared" si="2"/>
        <v>0.005434316277</v>
      </c>
      <c r="L217" s="7">
        <v>-0.0037319864510050927</v>
      </c>
      <c r="M217" s="1">
        <f t="shared" si="1"/>
        <v>2111940</v>
      </c>
    </row>
    <row r="218">
      <c r="A218" s="9">
        <v>45826.0</v>
      </c>
      <c r="B218" s="4">
        <v>3519.1</v>
      </c>
      <c r="C218" s="4">
        <v>3538.0</v>
      </c>
      <c r="D218" s="4">
        <v>3443.1</v>
      </c>
      <c r="E218" s="4">
        <v>3455.0</v>
      </c>
      <c r="F218" s="4">
        <v>3451.4</v>
      </c>
      <c r="G218" s="4">
        <v>3483.78</v>
      </c>
      <c r="H218" s="1" t="s">
        <v>3488</v>
      </c>
      <c r="I218" s="1" t="s">
        <v>3489</v>
      </c>
      <c r="J218" s="1" t="s">
        <v>3490</v>
      </c>
      <c r="K218" s="7">
        <f t="shared" si="2"/>
        <v>-0.01817768043</v>
      </c>
      <c r="L218" s="7">
        <v>-0.0016637562667482992</v>
      </c>
      <c r="M218" s="1">
        <f t="shared" si="1"/>
        <v>2696327</v>
      </c>
    </row>
    <row r="219">
      <c r="A219" s="9">
        <v>45827.0</v>
      </c>
      <c r="B219" s="4">
        <v>3450.0</v>
      </c>
      <c r="C219" s="4">
        <v>3451.0</v>
      </c>
      <c r="D219" s="4">
        <v>3413.0</v>
      </c>
      <c r="E219" s="4">
        <v>3420.0</v>
      </c>
      <c r="F219" s="4">
        <v>3424.0</v>
      </c>
      <c r="G219" s="4">
        <v>3426.54</v>
      </c>
      <c r="H219" s="1" t="s">
        <v>3503</v>
      </c>
      <c r="I219" s="1" t="s">
        <v>3505</v>
      </c>
      <c r="J219" s="1" t="s">
        <v>3507</v>
      </c>
      <c r="K219" s="7">
        <f t="shared" si="2"/>
        <v>-0.00793880744</v>
      </c>
      <c r="L219" s="7">
        <v>-7.576963612438018E-4</v>
      </c>
      <c r="M219" s="1">
        <f t="shared" si="1"/>
        <v>2672768</v>
      </c>
    </row>
    <row r="220">
      <c r="A220" s="9">
        <v>45828.0</v>
      </c>
      <c r="B220" s="4">
        <v>3425.0</v>
      </c>
      <c r="C220" s="4">
        <v>3446.3</v>
      </c>
      <c r="D220" s="4">
        <v>3410.9</v>
      </c>
      <c r="E220" s="4">
        <v>3429.1</v>
      </c>
      <c r="F220" s="4">
        <v>3435.7</v>
      </c>
      <c r="G220" s="4">
        <v>3432.16</v>
      </c>
      <c r="H220" s="1" t="s">
        <v>3517</v>
      </c>
      <c r="I220" s="1" t="s">
        <v>3518</v>
      </c>
      <c r="J220" s="1" t="s">
        <v>3520</v>
      </c>
      <c r="K220" s="7">
        <f t="shared" si="2"/>
        <v>0.003417056075</v>
      </c>
      <c r="L220" s="7">
        <v>0.012872455204541618</v>
      </c>
      <c r="M220" s="1">
        <f t="shared" si="1"/>
        <v>2351248</v>
      </c>
    </row>
    <row r="221">
      <c r="A221" s="9">
        <v>45831.0</v>
      </c>
      <c r="B221" s="4">
        <v>3415.0</v>
      </c>
      <c r="C221" s="4">
        <v>3425.0</v>
      </c>
      <c r="D221" s="4">
        <v>3370.0</v>
      </c>
      <c r="E221" s="4">
        <v>3392.0</v>
      </c>
      <c r="F221" s="4">
        <v>3393.6</v>
      </c>
      <c r="G221" s="4">
        <v>3392.2</v>
      </c>
      <c r="H221" s="1" t="s">
        <v>3530</v>
      </c>
      <c r="I221" s="1" t="s">
        <v>3533</v>
      </c>
      <c r="J221" s="1" t="s">
        <v>3534</v>
      </c>
      <c r="K221" s="7">
        <f t="shared" si="2"/>
        <v>-0.0122536892</v>
      </c>
      <c r="L221" s="7">
        <v>-0.005594845574297956</v>
      </c>
      <c r="M221" s="1">
        <f t="shared" si="1"/>
        <v>3123421</v>
      </c>
    </row>
    <row r="222">
      <c r="A222" s="9">
        <v>45832.0</v>
      </c>
      <c r="B222" s="4">
        <v>3434.6</v>
      </c>
      <c r="C222" s="4">
        <v>3442.1</v>
      </c>
      <c r="D222" s="4">
        <v>3382.0</v>
      </c>
      <c r="E222" s="4">
        <v>3392.0</v>
      </c>
      <c r="F222" s="4">
        <v>3390.4</v>
      </c>
      <c r="G222" s="4">
        <v>3408.47</v>
      </c>
      <c r="H222" s="1" t="s">
        <v>3546</v>
      </c>
      <c r="I222" s="1" t="s">
        <v>3548</v>
      </c>
      <c r="J222" s="1" t="s">
        <v>3550</v>
      </c>
      <c r="K222" s="7">
        <f t="shared" si="2"/>
        <v>-0.000942951438</v>
      </c>
      <c r="L222" s="7">
        <v>0.0029012610173834224</v>
      </c>
      <c r="M222" s="1">
        <f t="shared" si="1"/>
        <v>3403048</v>
      </c>
    </row>
    <row r="223">
      <c r="A223" s="9">
        <v>45833.0</v>
      </c>
      <c r="B223" s="4">
        <v>3407.3</v>
      </c>
      <c r="C223" s="4">
        <v>3450.0</v>
      </c>
      <c r="D223" s="4">
        <v>3400.0</v>
      </c>
      <c r="E223" s="4">
        <v>3443.0</v>
      </c>
      <c r="F223" s="4">
        <v>3444.8</v>
      </c>
      <c r="G223" s="4">
        <v>3422.33</v>
      </c>
      <c r="H223" s="1" t="s">
        <v>3560</v>
      </c>
      <c r="I223" s="1" t="s">
        <v>3561</v>
      </c>
      <c r="J223" s="1" t="s">
        <v>3562</v>
      </c>
      <c r="K223" s="7">
        <f t="shared" si="2"/>
        <v>0.01604530439</v>
      </c>
      <c r="L223" s="7">
        <v>0.008001804798287895</v>
      </c>
      <c r="M223" s="1">
        <f t="shared" si="1"/>
        <v>1757699</v>
      </c>
    </row>
    <row r="224">
      <c r="A224" s="9">
        <v>45834.0</v>
      </c>
      <c r="B224" s="4">
        <v>3444.8</v>
      </c>
      <c r="C224" s="4">
        <v>3451.4</v>
      </c>
      <c r="D224" s="4">
        <v>3415.3</v>
      </c>
      <c r="E224" s="4">
        <v>3443.0</v>
      </c>
      <c r="F224" s="4">
        <v>3441.8</v>
      </c>
      <c r="G224" s="4">
        <v>3437.7</v>
      </c>
      <c r="H224" s="1" t="s">
        <v>3576</v>
      </c>
      <c r="I224" s="1" t="s">
        <v>3579</v>
      </c>
      <c r="J224" s="1" t="s">
        <v>3580</v>
      </c>
      <c r="K224" s="7">
        <f t="shared" si="2"/>
        <v>-0.0008708778449</v>
      </c>
      <c r="L224" s="7">
        <v>0.01205201081412967</v>
      </c>
      <c r="M224" s="1">
        <f t="shared" si="1"/>
        <v>2879106</v>
      </c>
    </row>
    <row r="225">
      <c r="A225" s="9">
        <v>45835.0</v>
      </c>
      <c r="B225" s="4">
        <v>3455.0</v>
      </c>
      <c r="C225" s="4">
        <v>3466.4</v>
      </c>
      <c r="D225" s="4">
        <v>3431.0</v>
      </c>
      <c r="E225" s="4">
        <v>3445.0</v>
      </c>
      <c r="F225" s="4">
        <v>3441.1</v>
      </c>
      <c r="G225" s="4">
        <v>3445.16</v>
      </c>
      <c r="H225" s="1" t="s">
        <v>3593</v>
      </c>
      <c r="I225" s="1" t="s">
        <v>3597</v>
      </c>
      <c r="J225" s="1" t="s">
        <v>3599</v>
      </c>
      <c r="K225" s="7">
        <f t="shared" si="2"/>
        <v>-0.0002033819513</v>
      </c>
      <c r="L225" s="7">
        <v>0.003475674194684695</v>
      </c>
      <c r="M225" s="1">
        <f t="shared" si="1"/>
        <v>1778433</v>
      </c>
    </row>
    <row r="226">
      <c r="A226" s="9">
        <v>45838.0</v>
      </c>
      <c r="B226" s="4">
        <v>3439.9</v>
      </c>
      <c r="C226" s="4">
        <v>3464.9</v>
      </c>
      <c r="D226" s="4">
        <v>3430.0</v>
      </c>
      <c r="E226" s="4">
        <v>3460.0</v>
      </c>
      <c r="F226" s="4">
        <v>3462.0</v>
      </c>
      <c r="G226" s="4">
        <v>3452.05</v>
      </c>
      <c r="H226" s="1" t="s">
        <v>3610</v>
      </c>
      <c r="I226" s="1" t="s">
        <v>3611</v>
      </c>
      <c r="J226" s="1" t="s">
        <v>3612</v>
      </c>
      <c r="K226" s="7">
        <f t="shared" si="2"/>
        <v>0.006073639243</v>
      </c>
      <c r="L226" s="7">
        <v>-0.004709842498186272</v>
      </c>
      <c r="M226" s="1">
        <f t="shared" si="1"/>
        <v>1468351</v>
      </c>
    </row>
    <row r="227">
      <c r="A227" s="3">
        <v>45839.0</v>
      </c>
      <c r="B227" s="4">
        <v>3455.0</v>
      </c>
      <c r="C227" s="4">
        <v>3485.0</v>
      </c>
      <c r="D227" s="4">
        <v>3413.5</v>
      </c>
      <c r="E227" s="4">
        <v>3430.0</v>
      </c>
      <c r="F227" s="4">
        <v>3429.7</v>
      </c>
      <c r="G227" s="4">
        <v>3439.04</v>
      </c>
      <c r="H227" s="1" t="s">
        <v>3625</v>
      </c>
      <c r="I227" s="1" t="s">
        <v>3627</v>
      </c>
      <c r="J227" s="1" t="s">
        <v>3630</v>
      </c>
      <c r="K227" s="7">
        <f t="shared" si="2"/>
        <v>-0.009329867129</v>
      </c>
      <c r="L227" s="7">
        <v>9.699397069802348E-4</v>
      </c>
      <c r="M227" s="1">
        <f t="shared" si="1"/>
        <v>2375183</v>
      </c>
    </row>
    <row r="228">
      <c r="A228" s="3">
        <v>45840.0</v>
      </c>
      <c r="B228" s="4">
        <v>3487.2</v>
      </c>
      <c r="C228" s="4">
        <v>3489.9</v>
      </c>
      <c r="D228" s="4">
        <v>3420.0</v>
      </c>
      <c r="E228" s="4">
        <v>3423.5</v>
      </c>
      <c r="F228" s="4">
        <v>3423.3</v>
      </c>
      <c r="G228" s="4">
        <v>3445.44</v>
      </c>
      <c r="H228" s="1" t="s">
        <v>3643</v>
      </c>
      <c r="I228" s="1" t="s">
        <v>3644</v>
      </c>
      <c r="J228" s="1" t="s">
        <v>3646</v>
      </c>
      <c r="K228" s="7">
        <f t="shared" si="2"/>
        <v>-0.001866052424</v>
      </c>
      <c r="L228" s="7">
        <v>-0.00346099335207377</v>
      </c>
      <c r="M228" s="1">
        <f t="shared" si="1"/>
        <v>3090585</v>
      </c>
    </row>
    <row r="229">
      <c r="A229" s="3">
        <v>45841.0</v>
      </c>
      <c r="B229" s="4">
        <v>3430.0</v>
      </c>
      <c r="C229" s="4">
        <v>3435.3</v>
      </c>
      <c r="D229" s="4">
        <v>3397.6</v>
      </c>
      <c r="E229" s="4">
        <v>3400.0</v>
      </c>
      <c r="F229" s="4">
        <v>3400.8</v>
      </c>
      <c r="G229" s="4">
        <v>3414.55</v>
      </c>
      <c r="H229" s="1" t="s">
        <v>3660</v>
      </c>
      <c r="I229" s="1" t="s">
        <v>3662</v>
      </c>
      <c r="J229" s="1" t="s">
        <v>3663</v>
      </c>
      <c r="K229" s="7">
        <f t="shared" si="2"/>
        <v>-0.006572605381</v>
      </c>
      <c r="L229" s="7">
        <v>-0.0018897278948982132</v>
      </c>
      <c r="M229" s="1">
        <f t="shared" si="1"/>
        <v>2531870</v>
      </c>
    </row>
    <row r="230">
      <c r="A230" s="3">
        <v>45842.0</v>
      </c>
      <c r="B230" s="4">
        <v>3408.0</v>
      </c>
      <c r="C230" s="4">
        <v>3427.0</v>
      </c>
      <c r="D230" s="4">
        <v>3390.1</v>
      </c>
      <c r="E230" s="4">
        <v>3420.0</v>
      </c>
      <c r="F230" s="4">
        <v>3419.8</v>
      </c>
      <c r="G230" s="4">
        <v>3413.91</v>
      </c>
      <c r="H230" s="1" t="s">
        <v>3673</v>
      </c>
      <c r="I230" s="1" t="s">
        <v>3674</v>
      </c>
      <c r="J230" s="11">
        <v>87593.0</v>
      </c>
      <c r="K230" s="7">
        <f t="shared" si="2"/>
        <v>0.005586920725</v>
      </c>
      <c r="L230" s="7">
        <v>0.0021924559048702723</v>
      </c>
      <c r="M230" s="1">
        <f t="shared" si="1"/>
        <v>1109320</v>
      </c>
    </row>
    <row r="231">
      <c r="A231" s="3">
        <v>45845.0</v>
      </c>
      <c r="B231" s="4">
        <v>3418.3</v>
      </c>
      <c r="C231" s="4">
        <v>3426.1</v>
      </c>
      <c r="D231" s="4">
        <v>3408.4</v>
      </c>
      <c r="E231" s="4">
        <v>3410.6</v>
      </c>
      <c r="F231" s="4">
        <v>3411.7</v>
      </c>
      <c r="G231" s="4">
        <v>3417.7</v>
      </c>
      <c r="H231" s="1" t="s">
        <v>3703</v>
      </c>
      <c r="I231" s="1" t="s">
        <v>3705</v>
      </c>
      <c r="J231" s="11">
        <v>73810.0</v>
      </c>
      <c r="K231" s="7">
        <f t="shared" si="2"/>
        <v>-0.002368559565</v>
      </c>
      <c r="L231" s="7">
        <v>1.1782726522888827E-5</v>
      </c>
      <c r="M231" s="1">
        <f t="shared" si="1"/>
        <v>1639174</v>
      </c>
    </row>
    <row r="232">
      <c r="A232" s="3">
        <v>45846.0</v>
      </c>
      <c r="B232" s="4">
        <v>3405.0</v>
      </c>
      <c r="C232" s="4">
        <v>3425.0</v>
      </c>
      <c r="D232" s="4">
        <v>3393.4</v>
      </c>
      <c r="E232" s="4">
        <v>3406.0</v>
      </c>
      <c r="F232" s="4">
        <v>3406.2</v>
      </c>
      <c r="G232" s="4">
        <v>3407.01</v>
      </c>
      <c r="H232" s="1" t="s">
        <v>3716</v>
      </c>
      <c r="I232" s="1" t="s">
        <v>3717</v>
      </c>
      <c r="J232" s="1" t="s">
        <v>3719</v>
      </c>
      <c r="K232" s="7">
        <f t="shared" si="2"/>
        <v>-0.00161209954</v>
      </c>
      <c r="L232" s="7">
        <v>0.002403647889149444</v>
      </c>
      <c r="M232" s="1">
        <f t="shared" si="1"/>
        <v>2325242</v>
      </c>
    </row>
    <row r="233">
      <c r="A233" s="3">
        <v>45847.0</v>
      </c>
      <c r="B233" s="4">
        <v>3410.0</v>
      </c>
      <c r="C233" s="4">
        <v>3414.0</v>
      </c>
      <c r="D233" s="4">
        <v>3367.0</v>
      </c>
      <c r="E233" s="4">
        <v>3386.0</v>
      </c>
      <c r="F233" s="4">
        <v>3383.8</v>
      </c>
      <c r="G233" s="4">
        <v>3387.16</v>
      </c>
      <c r="H233" s="1" t="s">
        <v>3733</v>
      </c>
      <c r="I233" s="1" t="s">
        <v>3735</v>
      </c>
      <c r="J233" s="1" t="s">
        <v>3736</v>
      </c>
      <c r="K233" s="7">
        <f t="shared" si="2"/>
        <v>-0.006576243321</v>
      </c>
      <c r="L233" s="7">
        <v>-0.0018180037222059538</v>
      </c>
      <c r="M233" s="1">
        <f t="shared" si="1"/>
        <v>2034938</v>
      </c>
    </row>
    <row r="234">
      <c r="A234" s="9">
        <v>45848.0</v>
      </c>
      <c r="B234" s="4">
        <v>3380.0</v>
      </c>
      <c r="C234" s="4">
        <v>3399.0</v>
      </c>
      <c r="D234" s="4">
        <v>3356.0</v>
      </c>
      <c r="E234" s="4">
        <v>3395.0</v>
      </c>
      <c r="F234" s="4">
        <v>3382.0</v>
      </c>
      <c r="G234" s="4">
        <v>3379.02</v>
      </c>
      <c r="H234" s="1" t="s">
        <v>3749</v>
      </c>
      <c r="I234" s="1" t="s">
        <v>3751</v>
      </c>
      <c r="J234" s="1" t="s">
        <v>3754</v>
      </c>
      <c r="K234" s="7">
        <f t="shared" si="2"/>
        <v>-0.0005319463325</v>
      </c>
      <c r="L234" s="7">
        <v>-0.004743661706462079</v>
      </c>
      <c r="M234" s="1">
        <f t="shared" si="1"/>
        <v>3035012</v>
      </c>
    </row>
    <row r="235">
      <c r="A235" s="9">
        <v>45849.0</v>
      </c>
      <c r="B235" s="4">
        <v>3299.9</v>
      </c>
      <c r="C235" s="4">
        <v>3335.0</v>
      </c>
      <c r="D235" s="4">
        <v>3261.1</v>
      </c>
      <c r="E235" s="4">
        <v>3264.5</v>
      </c>
      <c r="F235" s="4">
        <v>3266.0</v>
      </c>
      <c r="G235" s="4">
        <v>3295.45</v>
      </c>
      <c r="H235" s="1" t="s">
        <v>3770</v>
      </c>
      <c r="I235" s="1" t="s">
        <v>3771</v>
      </c>
      <c r="J235" s="1" t="s">
        <v>3772</v>
      </c>
      <c r="K235" s="7">
        <f t="shared" si="2"/>
        <v>-0.03429923122</v>
      </c>
      <c r="L235" s="7">
        <v>-0.008100886404196426</v>
      </c>
      <c r="M235" s="1">
        <f t="shared" si="1"/>
        <v>7635550</v>
      </c>
    </row>
    <row r="236">
      <c r="A236" s="9">
        <v>45852.0</v>
      </c>
      <c r="B236" s="4">
        <v>3266.0</v>
      </c>
      <c r="C236" s="4">
        <v>3272.0</v>
      </c>
      <c r="D236" s="4">
        <v>3200.0</v>
      </c>
      <c r="E236" s="4">
        <v>3227.5</v>
      </c>
      <c r="F236" s="4">
        <v>3222.7</v>
      </c>
      <c r="G236" s="4">
        <v>3224.72</v>
      </c>
      <c r="H236" s="1" t="s">
        <v>3782</v>
      </c>
      <c r="I236" s="1" t="s">
        <v>3783</v>
      </c>
      <c r="J236" s="1" t="s">
        <v>3784</v>
      </c>
      <c r="K236" s="7">
        <f t="shared" si="2"/>
        <v>-0.01325780772</v>
      </c>
      <c r="L236" s="7">
        <v>-0.0026859007111374135</v>
      </c>
      <c r="M236" s="1">
        <f t="shared" si="1"/>
        <v>3924009</v>
      </c>
    </row>
    <row r="237">
      <c r="A237" s="9">
        <v>45853.0</v>
      </c>
      <c r="B237" s="4">
        <v>3206.0</v>
      </c>
      <c r="C237" s="4">
        <v>3259.4</v>
      </c>
      <c r="D237" s="4">
        <v>3206.0</v>
      </c>
      <c r="E237" s="4">
        <v>3252.0</v>
      </c>
      <c r="F237" s="4">
        <v>3252.3</v>
      </c>
      <c r="G237" s="4">
        <v>3243.32</v>
      </c>
      <c r="H237" s="1" t="s">
        <v>3794</v>
      </c>
      <c r="I237" s="1" t="s">
        <v>3796</v>
      </c>
      <c r="J237" s="1" t="s">
        <v>3799</v>
      </c>
      <c r="K237" s="7">
        <f t="shared" si="2"/>
        <v>0.009184845006</v>
      </c>
      <c r="L237" s="7">
        <v>0.004525103359739737</v>
      </c>
      <c r="M237" s="1">
        <f t="shared" si="1"/>
        <v>2590889</v>
      </c>
    </row>
    <row r="238">
      <c r="A238" s="9">
        <v>45854.0</v>
      </c>
      <c r="B238" s="4">
        <v>3227.0</v>
      </c>
      <c r="C238" s="4">
        <v>3244.9</v>
      </c>
      <c r="D238" s="4">
        <v>3220.6</v>
      </c>
      <c r="E238" s="4">
        <v>3230.9</v>
      </c>
      <c r="F238" s="4">
        <v>3233.1</v>
      </c>
      <c r="G238" s="4">
        <v>3235.91</v>
      </c>
      <c r="H238" s="1" t="s">
        <v>3812</v>
      </c>
      <c r="I238" s="1" t="s">
        <v>3813</v>
      </c>
      <c r="J238" s="1" t="s">
        <v>3814</v>
      </c>
      <c r="K238" s="7">
        <f t="shared" si="2"/>
        <v>-0.005903514436</v>
      </c>
      <c r="L238" s="7">
        <v>6.449487613014868E-4</v>
      </c>
      <c r="M238" s="1">
        <f t="shared" si="1"/>
        <v>2540733</v>
      </c>
    </row>
    <row r="239">
      <c r="A239" s="9">
        <v>45855.0</v>
      </c>
      <c r="B239" s="4">
        <v>3224.1</v>
      </c>
      <c r="C239" s="4">
        <v>3242.0</v>
      </c>
      <c r="D239" s="4">
        <v>3204.1</v>
      </c>
      <c r="E239" s="4">
        <v>3207.7</v>
      </c>
      <c r="F239" s="4">
        <v>3209.2</v>
      </c>
      <c r="G239" s="4">
        <v>3220.48</v>
      </c>
      <c r="H239" s="1" t="s">
        <v>3833</v>
      </c>
      <c r="I239" s="1" t="s">
        <v>3834</v>
      </c>
      <c r="J239" s="1" t="s">
        <v>3835</v>
      </c>
      <c r="K239" s="7">
        <f t="shared" si="2"/>
        <v>-0.007392286041</v>
      </c>
      <c r="L239" s="7">
        <v>-0.0039901555010401196</v>
      </c>
      <c r="M239" s="1">
        <f t="shared" si="1"/>
        <v>2947640</v>
      </c>
    </row>
    <row r="240">
      <c r="A240" s="9">
        <v>45856.0</v>
      </c>
      <c r="B240" s="4">
        <v>3225.0</v>
      </c>
      <c r="C240" s="4">
        <v>3228.8</v>
      </c>
      <c r="D240" s="4">
        <v>3187.0</v>
      </c>
      <c r="E240" s="4">
        <v>3189.6</v>
      </c>
      <c r="F240" s="4">
        <v>3189.9</v>
      </c>
      <c r="G240" s="4">
        <v>3201.13</v>
      </c>
      <c r="H240" s="1" t="s">
        <v>3845</v>
      </c>
      <c r="I240" s="1" t="s">
        <v>3847</v>
      </c>
      <c r="J240" s="1" t="s">
        <v>3850</v>
      </c>
      <c r="K240" s="7">
        <f t="shared" si="2"/>
        <v>-0.006013959865</v>
      </c>
      <c r="L240" s="7">
        <v>-0.00569660453697414</v>
      </c>
      <c r="M240" s="1">
        <f t="shared" si="1"/>
        <v>3432645</v>
      </c>
    </row>
    <row r="241">
      <c r="A241" s="9">
        <v>45859.0</v>
      </c>
      <c r="B241" s="4">
        <v>3190.0</v>
      </c>
      <c r="C241" s="4">
        <v>3197.6</v>
      </c>
      <c r="D241" s="4">
        <v>3152.0</v>
      </c>
      <c r="E241" s="4">
        <v>3158.9</v>
      </c>
      <c r="F241" s="4">
        <v>3158.2</v>
      </c>
      <c r="G241" s="4">
        <v>3162.44</v>
      </c>
      <c r="H241" s="1" t="s">
        <v>3866</v>
      </c>
      <c r="I241" s="1" t="s">
        <v>3867</v>
      </c>
      <c r="J241" s="1" t="s">
        <v>3868</v>
      </c>
      <c r="K241" s="7">
        <f t="shared" si="2"/>
        <v>-0.009937615599</v>
      </c>
      <c r="L241" s="7">
        <v>0.00489819131382064</v>
      </c>
      <c r="M241" s="1">
        <f t="shared" si="1"/>
        <v>3844346</v>
      </c>
    </row>
    <row r="242">
      <c r="A242" s="9">
        <v>45860.0</v>
      </c>
      <c r="B242" s="4">
        <v>3159.6</v>
      </c>
      <c r="C242" s="4">
        <v>3180.1</v>
      </c>
      <c r="D242" s="4">
        <v>3154.6</v>
      </c>
      <c r="E242" s="4">
        <v>3164.7</v>
      </c>
      <c r="F242" s="4">
        <v>3159.6</v>
      </c>
      <c r="G242" s="4">
        <v>3163.54</v>
      </c>
      <c r="H242" s="1" t="s">
        <v>3878</v>
      </c>
      <c r="I242" s="1" t="s">
        <v>3880</v>
      </c>
      <c r="J242" s="1" t="s">
        <v>3881</v>
      </c>
      <c r="K242" s="7">
        <f t="shared" si="2"/>
        <v>0.0004432904819</v>
      </c>
      <c r="L242" s="7">
        <v>-0.0011876910568457346</v>
      </c>
      <c r="M242" s="1">
        <f t="shared" si="1"/>
        <v>3198036</v>
      </c>
    </row>
    <row r="243">
      <c r="A243" s="9">
        <v>45861.0</v>
      </c>
      <c r="B243" s="4">
        <v>3159.6</v>
      </c>
      <c r="C243" s="4">
        <v>3182.0</v>
      </c>
      <c r="D243" s="4">
        <v>3157.6</v>
      </c>
      <c r="E243" s="4">
        <v>3175.0</v>
      </c>
      <c r="F243" s="4">
        <v>3179.1</v>
      </c>
      <c r="G243" s="4">
        <v>3169.59</v>
      </c>
      <c r="H243" s="1" t="s">
        <v>3894</v>
      </c>
      <c r="I243" s="1" t="s">
        <v>3896</v>
      </c>
      <c r="J243" s="11">
        <v>96628.0</v>
      </c>
      <c r="K243" s="7">
        <f t="shared" si="2"/>
        <v>0.0061716673</v>
      </c>
      <c r="L243" s="7">
        <v>0.006344544689137261</v>
      </c>
      <c r="M243" s="1">
        <f t="shared" si="1"/>
        <v>1922875</v>
      </c>
    </row>
    <row r="244">
      <c r="A244" s="9">
        <v>45862.0</v>
      </c>
      <c r="B244" s="4">
        <v>3165.1</v>
      </c>
      <c r="C244" s="4">
        <v>3173.7</v>
      </c>
      <c r="D244" s="4">
        <v>3140.0</v>
      </c>
      <c r="E244" s="4">
        <v>3144.9</v>
      </c>
      <c r="F244" s="4">
        <v>3148.0</v>
      </c>
      <c r="G244" s="4">
        <v>3155.37</v>
      </c>
      <c r="H244" s="1" t="s">
        <v>3907</v>
      </c>
      <c r="I244" s="1" t="s">
        <v>3909</v>
      </c>
      <c r="J244" s="1" t="s">
        <v>3912</v>
      </c>
      <c r="K244" s="7">
        <f t="shared" si="2"/>
        <v>-0.009782642886</v>
      </c>
      <c r="L244" s="7">
        <v>-0.0062569637468825375</v>
      </c>
      <c r="M244" s="1">
        <f t="shared" si="1"/>
        <v>2934778</v>
      </c>
    </row>
    <row r="245">
      <c r="A245" s="9">
        <v>45863.0</v>
      </c>
      <c r="B245" s="4">
        <v>3140.0</v>
      </c>
      <c r="C245" s="4">
        <v>3156.9</v>
      </c>
      <c r="D245" s="4">
        <v>3125.6</v>
      </c>
      <c r="E245" s="4">
        <v>3140.0</v>
      </c>
      <c r="F245" s="4">
        <v>3135.8</v>
      </c>
      <c r="G245" s="4">
        <v>3140.77</v>
      </c>
      <c r="H245" s="1" t="s">
        <v>3922</v>
      </c>
      <c r="I245" s="1" t="s">
        <v>3923</v>
      </c>
      <c r="J245" s="1" t="s">
        <v>3924</v>
      </c>
      <c r="K245" s="7">
        <f t="shared" si="2"/>
        <v>-0.003875476493</v>
      </c>
      <c r="L245" s="7">
        <v>-0.008981689483323367</v>
      </c>
      <c r="M245" s="1">
        <f t="shared" si="1"/>
        <v>2568917</v>
      </c>
    </row>
    <row r="246">
      <c r="A246" s="9">
        <v>45866.0</v>
      </c>
      <c r="B246" s="4">
        <v>3110.0</v>
      </c>
      <c r="C246" s="4">
        <v>3118.0</v>
      </c>
      <c r="D246" s="4">
        <v>3069.9</v>
      </c>
      <c r="E246" s="4">
        <v>3085.8</v>
      </c>
      <c r="F246" s="4">
        <v>3079.3</v>
      </c>
      <c r="G246" s="4">
        <v>3092.56</v>
      </c>
      <c r="H246" s="1" t="s">
        <v>3931</v>
      </c>
      <c r="I246" s="1" t="s">
        <v>3933</v>
      </c>
      <c r="J246" s="1" t="s">
        <v>3936</v>
      </c>
      <c r="K246" s="7">
        <f t="shared" si="2"/>
        <v>-0.01801773072</v>
      </c>
      <c r="L246" s="7">
        <v>-0.006284978056931133</v>
      </c>
      <c r="M246" s="1">
        <f t="shared" si="1"/>
        <v>3374473</v>
      </c>
    </row>
    <row r="247">
      <c r="A247" s="9">
        <v>45867.0</v>
      </c>
      <c r="B247" s="4">
        <v>3060.0</v>
      </c>
      <c r="C247" s="4">
        <v>3074.0</v>
      </c>
      <c r="D247" s="4">
        <v>3041.2</v>
      </c>
      <c r="E247" s="4">
        <v>3057.0</v>
      </c>
      <c r="F247" s="4">
        <v>3056.0</v>
      </c>
      <c r="G247" s="4">
        <v>3056.04</v>
      </c>
      <c r="H247" s="1" t="s">
        <v>3946</v>
      </c>
      <c r="I247" s="1" t="s">
        <v>3947</v>
      </c>
      <c r="J247" s="1" t="s">
        <v>3948</v>
      </c>
      <c r="K247" s="7">
        <f t="shared" si="2"/>
        <v>-0.007566654759</v>
      </c>
      <c r="L247" s="7">
        <v>0.005680505978306993</v>
      </c>
      <c r="M247" s="1">
        <f t="shared" si="1"/>
        <v>4785312</v>
      </c>
    </row>
    <row r="248">
      <c r="A248" s="9">
        <v>45868.0</v>
      </c>
      <c r="B248" s="4">
        <v>3060.0</v>
      </c>
      <c r="C248" s="4">
        <v>3069.0</v>
      </c>
      <c r="D248" s="4">
        <v>3047.2</v>
      </c>
      <c r="E248" s="4">
        <v>3052.1</v>
      </c>
      <c r="F248" s="4">
        <v>3053.6</v>
      </c>
      <c r="G248" s="4">
        <v>3058.58</v>
      </c>
      <c r="H248" s="1" t="s">
        <v>3958</v>
      </c>
      <c r="I248" s="1" t="s">
        <v>3959</v>
      </c>
      <c r="J248" s="1" t="s">
        <v>3960</v>
      </c>
      <c r="K248" s="7">
        <f t="shared" si="2"/>
        <v>-0.0007853403141</v>
      </c>
      <c r="L248" s="7">
        <v>0.0013677878901418845</v>
      </c>
      <c r="M248" s="1">
        <f t="shared" si="1"/>
        <v>2880121</v>
      </c>
    </row>
    <row r="249">
      <c r="A249" s="9">
        <v>45869.0</v>
      </c>
      <c r="B249" s="4">
        <v>3041.7</v>
      </c>
      <c r="C249" s="4">
        <v>3059.8</v>
      </c>
      <c r="D249" s="4">
        <v>3015.0</v>
      </c>
      <c r="E249" s="4">
        <v>3033.2</v>
      </c>
      <c r="F249" s="4">
        <v>3036.8</v>
      </c>
      <c r="G249" s="4">
        <v>3034.36</v>
      </c>
      <c r="H249" s="1" t="s">
        <v>3970</v>
      </c>
      <c r="I249" s="1" t="s">
        <v>3972</v>
      </c>
      <c r="J249" s="1" t="s">
        <v>3974</v>
      </c>
      <c r="K249" s="7">
        <f t="shared" si="2"/>
        <v>-0.005501702908</v>
      </c>
      <c r="L249" s="7">
        <v>-0.003488224726966984</v>
      </c>
      <c r="M249" s="1">
        <f t="shared" si="1"/>
        <v>2968371</v>
      </c>
    </row>
    <row r="250">
      <c r="A250" s="3">
        <v>45870.0</v>
      </c>
      <c r="B250" s="4">
        <v>3029.9</v>
      </c>
      <c r="C250" s="4">
        <v>3036.8</v>
      </c>
      <c r="D250" s="4">
        <v>3000.0</v>
      </c>
      <c r="E250" s="4">
        <v>3001.1</v>
      </c>
      <c r="F250" s="4">
        <v>3003.0</v>
      </c>
      <c r="G250" s="4">
        <v>3013.79</v>
      </c>
      <c r="H250" s="1" t="s">
        <v>3985</v>
      </c>
      <c r="I250" s="1" t="s">
        <v>3986</v>
      </c>
      <c r="J250" s="1" t="s">
        <v>3988</v>
      </c>
      <c r="K250" s="7">
        <f t="shared" si="2"/>
        <v>-0.01113013699</v>
      </c>
      <c r="L250" s="7">
        <v>-0.008195943613522903</v>
      </c>
      <c r="M250" s="1">
        <f t="shared" si="1"/>
        <v>2053847</v>
      </c>
    </row>
    <row r="251">
      <c r="A251" s="3">
        <v>45873.0</v>
      </c>
      <c r="B251" s="4">
        <v>3009.1</v>
      </c>
      <c r="C251" s="4">
        <v>3079.4</v>
      </c>
      <c r="D251" s="4">
        <v>2991.6</v>
      </c>
      <c r="E251" s="4">
        <v>3078.7</v>
      </c>
      <c r="F251" s="4">
        <v>3074.4</v>
      </c>
      <c r="G251" s="4">
        <v>3046.24</v>
      </c>
      <c r="H251" s="1" t="s">
        <v>3997</v>
      </c>
      <c r="I251" s="1" t="s">
        <v>3999</v>
      </c>
      <c r="J251" s="1" t="s">
        <v>4001</v>
      </c>
      <c r="K251" s="7">
        <f t="shared" si="2"/>
        <v>0.02377622378</v>
      </c>
      <c r="L251" s="7">
        <v>0.006407399039704359</v>
      </c>
      <c r="M251" s="1">
        <f t="shared" si="1"/>
        <v>2519252</v>
      </c>
    </row>
    <row r="252">
      <c r="A252" s="3">
        <v>45874.0</v>
      </c>
      <c r="B252" s="4">
        <v>3074.4</v>
      </c>
      <c r="C252" s="4">
        <v>3077.5</v>
      </c>
      <c r="D252" s="4">
        <v>3042.0</v>
      </c>
      <c r="E252" s="4">
        <v>3060.0</v>
      </c>
      <c r="F252" s="4">
        <v>3063.9</v>
      </c>
      <c r="G252" s="4">
        <v>3057.96</v>
      </c>
      <c r="H252" s="1" t="s">
        <v>4010</v>
      </c>
      <c r="I252" s="1" t="s">
        <v>4012</v>
      </c>
      <c r="J252" s="1" t="s">
        <v>4016</v>
      </c>
      <c r="K252" s="7">
        <f t="shared" si="2"/>
        <v>-0.003415300546</v>
      </c>
      <c r="L252" s="7">
        <v>-0.002960835667553194</v>
      </c>
      <c r="M252" s="1">
        <f t="shared" si="1"/>
        <v>1927996</v>
      </c>
    </row>
    <row r="253">
      <c r="A253" s="3">
        <v>45875.0</v>
      </c>
      <c r="B253" s="4">
        <v>3063.0</v>
      </c>
      <c r="C253" s="4">
        <v>3066.8</v>
      </c>
      <c r="D253" s="4">
        <v>3026.0</v>
      </c>
      <c r="E253" s="4">
        <v>3031.6</v>
      </c>
      <c r="F253" s="4">
        <v>3032.3</v>
      </c>
      <c r="G253" s="4">
        <v>3037.1</v>
      </c>
      <c r="H253" s="1" t="s">
        <v>4023</v>
      </c>
      <c r="I253" s="1" t="s">
        <v>4025</v>
      </c>
      <c r="J253" s="1" t="s">
        <v>4026</v>
      </c>
      <c r="K253" s="7">
        <f t="shared" si="2"/>
        <v>-0.01031365253</v>
      </c>
      <c r="L253" s="7">
        <v>-0.0030568509364267723</v>
      </c>
      <c r="M253" s="1">
        <f t="shared" si="1"/>
        <v>1487081</v>
      </c>
    </row>
    <row r="254">
      <c r="A254" s="3">
        <v>45876.0</v>
      </c>
      <c r="B254" s="4">
        <v>3016.0</v>
      </c>
      <c r="C254" s="4">
        <v>3051.6</v>
      </c>
      <c r="D254" s="4">
        <v>3010.9</v>
      </c>
      <c r="E254" s="4">
        <v>3049.1</v>
      </c>
      <c r="F254" s="4">
        <v>3047.0</v>
      </c>
      <c r="G254" s="4">
        <v>3032.09</v>
      </c>
      <c r="H254" s="1" t="s">
        <v>4036</v>
      </c>
      <c r="I254" s="1" t="s">
        <v>4037</v>
      </c>
      <c r="J254" s="1" t="s">
        <v>4038</v>
      </c>
      <c r="K254" s="7">
        <f t="shared" si="2"/>
        <v>0.004847805296</v>
      </c>
      <c r="L254" s="7">
        <v>8.932132073475729E-4</v>
      </c>
      <c r="M254" s="1">
        <f t="shared" si="1"/>
        <v>2543076</v>
      </c>
    </row>
    <row r="255">
      <c r="A255" s="3">
        <v>45877.0</v>
      </c>
      <c r="B255" s="4">
        <v>3048.1</v>
      </c>
      <c r="C255" s="4">
        <v>3059.8</v>
      </c>
      <c r="D255" s="4">
        <v>3025.0</v>
      </c>
      <c r="E255" s="4">
        <v>3031.9</v>
      </c>
      <c r="F255" s="4">
        <v>3036.4</v>
      </c>
      <c r="G255" s="4">
        <v>3043.58</v>
      </c>
      <c r="H255" s="1" t="s">
        <v>4048</v>
      </c>
      <c r="I255" s="1" t="s">
        <v>4049</v>
      </c>
      <c r="J255" s="1" t="s">
        <v>4051</v>
      </c>
      <c r="K255" s="7">
        <f t="shared" si="2"/>
        <v>-0.003478831638</v>
      </c>
      <c r="L255" s="7">
        <v>-0.009466928767307167</v>
      </c>
      <c r="M255" s="1">
        <f t="shared" si="1"/>
        <v>2762140</v>
      </c>
    </row>
    <row r="256">
      <c r="A256" s="9">
        <v>45880.0</v>
      </c>
      <c r="B256" s="4">
        <v>3036.4</v>
      </c>
      <c r="C256" s="4">
        <v>3049.9</v>
      </c>
      <c r="D256" s="4">
        <v>3021.3</v>
      </c>
      <c r="E256" s="4">
        <v>3042.0</v>
      </c>
      <c r="F256" s="4">
        <v>3040.8</v>
      </c>
      <c r="G256" s="4">
        <v>3040.5</v>
      </c>
      <c r="H256" s="1" t="s">
        <v>4061</v>
      </c>
      <c r="I256" s="1" t="s">
        <v>4065</v>
      </c>
      <c r="J256" s="1" t="s">
        <v>4068</v>
      </c>
      <c r="K256" s="7">
        <f t="shared" si="2"/>
        <v>0.001449084442</v>
      </c>
      <c r="L256" s="7">
        <v>0.009101804763722484</v>
      </c>
      <c r="M256" s="1">
        <f t="shared" si="1"/>
        <v>1884215</v>
      </c>
    </row>
    <row r="257">
      <c r="A257" s="9">
        <v>45881.0</v>
      </c>
      <c r="B257" s="4">
        <v>3041.0</v>
      </c>
      <c r="C257" s="4">
        <v>3096.4</v>
      </c>
      <c r="D257" s="4">
        <v>3026.9</v>
      </c>
      <c r="E257" s="4">
        <v>3039.8</v>
      </c>
      <c r="F257" s="4">
        <v>3035.4</v>
      </c>
      <c r="G257" s="4">
        <v>3057.38</v>
      </c>
      <c r="H257" s="1" t="s">
        <v>4072</v>
      </c>
      <c r="I257" s="1" t="s">
        <v>4076</v>
      </c>
      <c r="J257" s="1" t="s">
        <v>4080</v>
      </c>
      <c r="K257" s="7">
        <f t="shared" si="2"/>
        <v>-0.001775848461</v>
      </c>
      <c r="L257" s="7">
        <v>-0.003971926028216246</v>
      </c>
      <c r="M257" s="1">
        <f t="shared" si="1"/>
        <v>3358232</v>
      </c>
    </row>
    <row r="258">
      <c r="A258" s="9">
        <v>45882.0</v>
      </c>
      <c r="B258" s="4">
        <v>3036.1</v>
      </c>
      <c r="C258" s="4">
        <v>3044.4</v>
      </c>
      <c r="D258" s="4">
        <v>3028.6</v>
      </c>
      <c r="E258" s="4">
        <v>3035.0</v>
      </c>
      <c r="F258" s="4">
        <v>3036.2</v>
      </c>
      <c r="G258" s="4">
        <v>3037.72</v>
      </c>
      <c r="H258" s="1" t="s">
        <v>4088</v>
      </c>
      <c r="I258" s="1" t="s">
        <v>4090</v>
      </c>
      <c r="J258" s="1" t="s">
        <v>4091</v>
      </c>
      <c r="K258" s="7">
        <f t="shared" si="2"/>
        <v>0.0002635566976</v>
      </c>
      <c r="L258" s="7">
        <v>0.005388485506831966</v>
      </c>
      <c r="M258" s="1">
        <f t="shared" si="1"/>
        <v>2148166</v>
      </c>
    </row>
    <row r="259">
      <c r="A259" s="9">
        <v>45883.0</v>
      </c>
      <c r="B259" s="4">
        <v>3034.0</v>
      </c>
      <c r="C259" s="4">
        <v>3055.9</v>
      </c>
      <c r="D259" s="4">
        <v>3019.1</v>
      </c>
      <c r="E259" s="4">
        <v>3022.5</v>
      </c>
      <c r="F259" s="4">
        <v>3022.3</v>
      </c>
      <c r="G259" s="4">
        <v>3032.52</v>
      </c>
      <c r="H259" s="1" t="s">
        <v>4099</v>
      </c>
      <c r="I259" s="1" t="s">
        <v>4101</v>
      </c>
      <c r="J259" s="1" t="s">
        <v>4103</v>
      </c>
      <c r="K259" s="7">
        <f t="shared" si="2"/>
        <v>-0.004578091035</v>
      </c>
      <c r="L259" s="7">
        <v>4.853905566150499E-4</v>
      </c>
      <c r="M259" s="1">
        <f t="shared" si="1"/>
        <v>3342174</v>
      </c>
    </row>
    <row r="260">
      <c r="A260" s="9">
        <v>45887.0</v>
      </c>
      <c r="B260" s="4">
        <v>3046.5</v>
      </c>
      <c r="C260" s="4">
        <v>3049.0</v>
      </c>
      <c r="D260" s="4">
        <v>3003.4</v>
      </c>
      <c r="E260" s="4">
        <v>3013.0</v>
      </c>
      <c r="F260" s="4">
        <v>3011.2</v>
      </c>
      <c r="G260" s="4">
        <v>3015.34</v>
      </c>
      <c r="H260" s="1" t="s">
        <v>4110</v>
      </c>
      <c r="I260" s="1" t="s">
        <v>4111</v>
      </c>
      <c r="J260" s="1" t="s">
        <v>4113</v>
      </c>
      <c r="K260" s="7">
        <f t="shared" si="2"/>
        <v>-0.0036726996</v>
      </c>
      <c r="L260" s="7">
        <v>0.009973083028504443</v>
      </c>
      <c r="M260" s="1">
        <f t="shared" si="1"/>
        <v>2945609</v>
      </c>
    </row>
    <row r="261">
      <c r="A261" s="9">
        <v>45888.0</v>
      </c>
      <c r="B261" s="4">
        <v>3011.2</v>
      </c>
      <c r="C261" s="4">
        <v>3025.0</v>
      </c>
      <c r="D261" s="4">
        <v>3011.1</v>
      </c>
      <c r="E261" s="4">
        <v>3018.0</v>
      </c>
      <c r="F261" s="4">
        <v>3016.2</v>
      </c>
      <c r="G261" s="4">
        <v>3016.58</v>
      </c>
      <c r="H261" s="1" t="s">
        <v>4124</v>
      </c>
      <c r="I261" s="1" t="s">
        <v>4126</v>
      </c>
      <c r="J261" s="1" t="s">
        <v>4127</v>
      </c>
      <c r="K261" s="7">
        <f t="shared" si="2"/>
        <v>0.001660467588</v>
      </c>
      <c r="L261" s="7">
        <v>0.0041685174428537555</v>
      </c>
      <c r="M261" s="1">
        <f t="shared" si="1"/>
        <v>2650784</v>
      </c>
    </row>
    <row r="262">
      <c r="A262" s="9">
        <v>45889.0</v>
      </c>
      <c r="B262" s="4">
        <v>3010.9</v>
      </c>
      <c r="C262" s="4">
        <v>3103.4</v>
      </c>
      <c r="D262" s="4">
        <v>3010.9</v>
      </c>
      <c r="E262" s="4">
        <v>3094.8</v>
      </c>
      <c r="F262" s="4">
        <v>3098.6</v>
      </c>
      <c r="G262" s="4">
        <v>3078.21</v>
      </c>
      <c r="H262" s="1" t="s">
        <v>4137</v>
      </c>
      <c r="I262" s="1" t="s">
        <v>4138</v>
      </c>
      <c r="J262" s="1" t="s">
        <v>4139</v>
      </c>
      <c r="K262" s="7">
        <f t="shared" si="2"/>
        <v>0.02731914329</v>
      </c>
      <c r="L262" s="7">
        <v>0.0027981657803138756</v>
      </c>
      <c r="M262" s="1">
        <f t="shared" si="1"/>
        <v>4952358</v>
      </c>
    </row>
    <row r="263">
      <c r="A263" s="9">
        <v>45890.0</v>
      </c>
      <c r="B263" s="4">
        <v>3130.0</v>
      </c>
      <c r="C263" s="4">
        <v>3130.0</v>
      </c>
      <c r="D263" s="4">
        <v>3083.1</v>
      </c>
      <c r="E263" s="4">
        <v>3100.0</v>
      </c>
      <c r="F263" s="4">
        <v>3102.6</v>
      </c>
      <c r="G263" s="4">
        <v>3107.84</v>
      </c>
      <c r="H263" s="1" t="s">
        <v>4153</v>
      </c>
      <c r="I263" s="1" t="s">
        <v>4155</v>
      </c>
      <c r="J263" s="1" t="s">
        <v>4158</v>
      </c>
      <c r="K263" s="7">
        <f t="shared" si="2"/>
        <v>0.00129090557</v>
      </c>
      <c r="L263" s="7">
        <v>0.0013253202025504721</v>
      </c>
      <c r="M263" s="1">
        <f t="shared" si="1"/>
        <v>3230726</v>
      </c>
    </row>
    <row r="264">
      <c r="A264" s="9">
        <v>45891.0</v>
      </c>
      <c r="B264" s="4">
        <v>3086.0</v>
      </c>
      <c r="C264" s="4">
        <v>3095.7</v>
      </c>
      <c r="D264" s="4">
        <v>3050.0</v>
      </c>
      <c r="E264" s="4">
        <v>3054.7</v>
      </c>
      <c r="F264" s="4">
        <v>3054.0</v>
      </c>
      <c r="G264" s="4">
        <v>3068.45</v>
      </c>
      <c r="H264" s="1" t="s">
        <v>4164</v>
      </c>
      <c r="I264" s="1" t="s">
        <v>4167</v>
      </c>
      <c r="J264" s="11">
        <v>82740.0</v>
      </c>
      <c r="K264" s="7">
        <f t="shared" si="2"/>
        <v>-0.01566428157</v>
      </c>
      <c r="L264" s="7">
        <v>-0.008517466487267712</v>
      </c>
      <c r="M264" s="1">
        <f t="shared" si="1"/>
        <v>1593791</v>
      </c>
    </row>
    <row r="265">
      <c r="A265" s="9">
        <v>45894.0</v>
      </c>
      <c r="B265" s="4">
        <v>3087.3</v>
      </c>
      <c r="C265" s="4">
        <v>3152.0</v>
      </c>
      <c r="D265" s="4">
        <v>3077.1</v>
      </c>
      <c r="E265" s="4">
        <v>3142.1</v>
      </c>
      <c r="F265" s="4">
        <v>3140.6</v>
      </c>
      <c r="G265" s="4">
        <v>3133.79</v>
      </c>
      <c r="H265" s="1" t="s">
        <v>4177</v>
      </c>
      <c r="I265" s="1" t="s">
        <v>4180</v>
      </c>
      <c r="J265" s="1" t="s">
        <v>4182</v>
      </c>
      <c r="K265" s="7">
        <f t="shared" si="2"/>
        <v>0.02835625409</v>
      </c>
      <c r="L265" s="7">
        <v>0.003926401582623369</v>
      </c>
      <c r="M265" s="1">
        <f t="shared" si="1"/>
        <v>3448370</v>
      </c>
    </row>
    <row r="266">
      <c r="A266" s="9">
        <v>45895.0</v>
      </c>
      <c r="B266" s="4">
        <v>3129.0</v>
      </c>
      <c r="C266" s="4">
        <v>3162.0</v>
      </c>
      <c r="D266" s="4">
        <v>3120.0</v>
      </c>
      <c r="E266" s="4">
        <v>3157.0</v>
      </c>
      <c r="F266" s="4">
        <v>3157.2</v>
      </c>
      <c r="G266" s="4">
        <v>3152.41</v>
      </c>
      <c r="H266" s="1" t="s">
        <v>4190</v>
      </c>
      <c r="I266" s="1" t="s">
        <v>4192</v>
      </c>
      <c r="J266" s="1" t="s">
        <v>4194</v>
      </c>
      <c r="K266" s="7">
        <f t="shared" si="2"/>
        <v>0.005285614214</v>
      </c>
      <c r="L266" s="7">
        <v>-0.010241211162399524</v>
      </c>
      <c r="M266" s="1">
        <f t="shared" si="1"/>
        <v>5522097</v>
      </c>
    </row>
    <row r="267">
      <c r="A267" s="9">
        <v>45897.0</v>
      </c>
      <c r="B267" s="4">
        <v>3145.0</v>
      </c>
      <c r="C267" s="4">
        <v>3146.5</v>
      </c>
      <c r="D267" s="4">
        <v>3086.5</v>
      </c>
      <c r="E267" s="4">
        <v>3098.0</v>
      </c>
      <c r="F267" s="4">
        <v>3093.7</v>
      </c>
      <c r="G267" s="4">
        <v>3110.39</v>
      </c>
      <c r="H267" s="1" t="s">
        <v>4202</v>
      </c>
      <c r="I267" s="1" t="s">
        <v>4203</v>
      </c>
      <c r="J267" s="1" t="s">
        <v>4205</v>
      </c>
      <c r="K267" s="7">
        <f t="shared" si="2"/>
        <v>-0.02011275814</v>
      </c>
      <c r="L267" s="7">
        <v>-0.008544414566982416</v>
      </c>
      <c r="M267" s="1">
        <f t="shared" si="1"/>
        <v>3116051</v>
      </c>
    </row>
    <row r="268">
      <c r="A268" s="9">
        <v>45898.0</v>
      </c>
      <c r="B268" s="4">
        <v>3093.0</v>
      </c>
      <c r="C268" s="4">
        <v>3115.0</v>
      </c>
      <c r="D268" s="4">
        <v>3077.2</v>
      </c>
      <c r="E268" s="4">
        <v>3083.8</v>
      </c>
      <c r="F268" s="4">
        <v>3084.7</v>
      </c>
      <c r="G268" s="4">
        <v>3093.86</v>
      </c>
      <c r="H268" s="1" t="s">
        <v>4217</v>
      </c>
      <c r="I268" s="1" t="s">
        <v>4218</v>
      </c>
      <c r="J268" s="1" t="s">
        <v>4220</v>
      </c>
      <c r="K268" s="7">
        <f t="shared" si="2"/>
        <v>-0.002909137925</v>
      </c>
      <c r="L268" s="7">
        <v>-0.0030223379549323866</v>
      </c>
      <c r="M268" s="1">
        <f t="shared" si="1"/>
        <v>2271789</v>
      </c>
    </row>
    <row r="269">
      <c r="A269" s="3">
        <v>45901.0</v>
      </c>
      <c r="B269" s="4">
        <v>3090.0</v>
      </c>
      <c r="C269" s="4">
        <v>3131.1</v>
      </c>
      <c r="D269" s="4">
        <v>3090.0</v>
      </c>
      <c r="E269" s="4">
        <v>3111.0</v>
      </c>
      <c r="F269" s="4">
        <v>3112.6</v>
      </c>
      <c r="G269" s="4">
        <v>3118.12</v>
      </c>
      <c r="H269" s="1" t="s">
        <v>4229</v>
      </c>
      <c r="I269" s="1" t="s">
        <v>4233</v>
      </c>
      <c r="J269" s="11">
        <v>85857.0</v>
      </c>
      <c r="K269" s="7">
        <f t="shared" si="2"/>
        <v>0.009044639673</v>
      </c>
      <c r="L269" s="7">
        <v>0.008114022069976306</v>
      </c>
      <c r="M269" s="1">
        <f t="shared" si="1"/>
        <v>1246862</v>
      </c>
    </row>
    <row r="270">
      <c r="A270" s="3">
        <v>45902.0</v>
      </c>
      <c r="B270" s="4">
        <v>3121.1</v>
      </c>
      <c r="C270" s="4">
        <v>3155.0</v>
      </c>
      <c r="D270" s="4">
        <v>3103.1</v>
      </c>
      <c r="E270" s="4">
        <v>3112.0</v>
      </c>
      <c r="F270" s="4">
        <v>3111.5</v>
      </c>
      <c r="G270" s="4">
        <v>3125.54</v>
      </c>
      <c r="H270" s="1" t="s">
        <v>4245</v>
      </c>
      <c r="I270" s="1" t="s">
        <v>4247</v>
      </c>
      <c r="J270" s="1" t="s">
        <v>4249</v>
      </c>
      <c r="K270" s="7">
        <f t="shared" si="2"/>
        <v>-0.0003534023003</v>
      </c>
      <c r="L270" s="7">
        <v>-0.001845681531611133</v>
      </c>
      <c r="M270" s="1">
        <f t="shared" si="1"/>
        <v>2185229</v>
      </c>
    </row>
    <row r="271">
      <c r="A271" s="3">
        <v>45903.0</v>
      </c>
      <c r="B271" s="4">
        <v>3129.9</v>
      </c>
      <c r="C271" s="4">
        <v>3141.9</v>
      </c>
      <c r="D271" s="4">
        <v>3088.0</v>
      </c>
      <c r="E271" s="4">
        <v>3100.0</v>
      </c>
      <c r="F271" s="4">
        <v>3097.5</v>
      </c>
      <c r="G271" s="4">
        <v>3102.69</v>
      </c>
      <c r="H271" s="1" t="s">
        <v>4257</v>
      </c>
      <c r="I271" s="1" t="s">
        <v>4260</v>
      </c>
      <c r="J271" s="1" t="s">
        <v>4263</v>
      </c>
      <c r="K271" s="7">
        <f t="shared" si="2"/>
        <v>-0.00449943757</v>
      </c>
      <c r="L271" s="7">
        <v>0.005510667382707641</v>
      </c>
      <c r="M271" s="1">
        <f t="shared" si="1"/>
        <v>1799774</v>
      </c>
    </row>
    <row r="272">
      <c r="A272" s="3">
        <v>45904.0</v>
      </c>
      <c r="B272" s="4">
        <v>3116.0</v>
      </c>
      <c r="C272" s="4">
        <v>3118.0</v>
      </c>
      <c r="D272" s="4">
        <v>3090.8</v>
      </c>
      <c r="E272" s="4">
        <v>3095.8</v>
      </c>
      <c r="F272" s="4">
        <v>3095.7</v>
      </c>
      <c r="G272" s="4">
        <v>3101.37</v>
      </c>
      <c r="H272" s="1" t="s">
        <v>4272</v>
      </c>
      <c r="I272" s="1" t="s">
        <v>4275</v>
      </c>
      <c r="J272" s="1" t="s">
        <v>4277</v>
      </c>
      <c r="K272" s="7">
        <f t="shared" si="2"/>
        <v>-0.0005811138015</v>
      </c>
      <c r="L272" s="7">
        <v>7.788776474253542E-4</v>
      </c>
      <c r="M272" s="1">
        <f t="shared" si="1"/>
        <v>1481391</v>
      </c>
    </row>
    <row r="273">
      <c r="A273" s="3">
        <v>45905.0</v>
      </c>
      <c r="B273" s="4">
        <v>3097.1</v>
      </c>
      <c r="C273" s="4">
        <v>3103.4</v>
      </c>
      <c r="D273" s="4">
        <v>3028.6</v>
      </c>
      <c r="E273" s="4">
        <v>3048.0</v>
      </c>
      <c r="F273" s="4">
        <v>3048.3</v>
      </c>
      <c r="G273" s="4">
        <v>3052.1</v>
      </c>
      <c r="H273" s="1" t="s">
        <v>4288</v>
      </c>
      <c r="I273" s="1" t="s">
        <v>4289</v>
      </c>
      <c r="J273" s="1" t="s">
        <v>4290</v>
      </c>
      <c r="K273" s="7">
        <f t="shared" si="2"/>
        <v>-0.0153115612</v>
      </c>
      <c r="L273" s="7">
        <v>2.708789009594259E-4</v>
      </c>
      <c r="M273" s="1">
        <f t="shared" si="1"/>
        <v>2802055</v>
      </c>
    </row>
    <row r="274">
      <c r="A274" s="3">
        <v>45908.0</v>
      </c>
      <c r="B274" s="4">
        <v>3050.0</v>
      </c>
      <c r="C274" s="4">
        <v>3064.9</v>
      </c>
      <c r="D274" s="4">
        <v>3016.0</v>
      </c>
      <c r="E274" s="4">
        <v>3023.2</v>
      </c>
      <c r="F274" s="4">
        <v>3019.0</v>
      </c>
      <c r="G274" s="4">
        <v>3028.84</v>
      </c>
      <c r="H274" s="1" t="s">
        <v>4300</v>
      </c>
      <c r="I274" s="1" t="s">
        <v>4301</v>
      </c>
      <c r="J274" s="1" t="s">
        <v>4302</v>
      </c>
      <c r="K274" s="7">
        <f t="shared" si="2"/>
        <v>-0.009611914838</v>
      </c>
      <c r="L274" s="7">
        <v>0.0012994624307829698</v>
      </c>
      <c r="M274" s="1">
        <f t="shared" si="1"/>
        <v>2626187</v>
      </c>
    </row>
    <row r="275">
      <c r="A275" s="3">
        <v>45909.0</v>
      </c>
      <c r="B275" s="4">
        <v>3032.1</v>
      </c>
      <c r="C275" s="4">
        <v>3060.0</v>
      </c>
      <c r="D275" s="4">
        <v>3030.8</v>
      </c>
      <c r="E275" s="4">
        <v>3052.0</v>
      </c>
      <c r="F275" s="4">
        <v>3049.4</v>
      </c>
      <c r="G275" s="4">
        <v>3048.62</v>
      </c>
      <c r="H275" s="1" t="s">
        <v>4312</v>
      </c>
      <c r="I275" s="1" t="s">
        <v>4314</v>
      </c>
      <c r="J275" s="1" t="s">
        <v>4317</v>
      </c>
      <c r="K275" s="7">
        <f t="shared" si="2"/>
        <v>0.01006955946</v>
      </c>
      <c r="L275" s="7">
        <v>0.0038529617751475722</v>
      </c>
      <c r="M275" s="1">
        <f t="shared" si="1"/>
        <v>2489301</v>
      </c>
    </row>
    <row r="276">
      <c r="A276" s="9">
        <v>45910.0</v>
      </c>
      <c r="B276" s="4">
        <v>3056.4</v>
      </c>
      <c r="C276" s="4">
        <v>3122.7</v>
      </c>
      <c r="D276" s="4">
        <v>3053.4</v>
      </c>
      <c r="E276" s="4">
        <v>3110.0</v>
      </c>
      <c r="F276" s="4">
        <v>3110.0</v>
      </c>
      <c r="G276" s="4">
        <v>3104.63</v>
      </c>
      <c r="H276" s="1" t="s">
        <v>4327</v>
      </c>
      <c r="I276" s="1" t="s">
        <v>4328</v>
      </c>
      <c r="J276" s="1" t="s">
        <v>4329</v>
      </c>
      <c r="K276" s="7">
        <f t="shared" si="2"/>
        <v>0.01987276185</v>
      </c>
      <c r="L276" s="7">
        <v>0.004202086164882623</v>
      </c>
      <c r="M276" s="1">
        <f t="shared" si="1"/>
        <v>2079428</v>
      </c>
    </row>
    <row r="277">
      <c r="A277" s="9">
        <v>45911.0</v>
      </c>
      <c r="B277" s="4">
        <v>3139.0</v>
      </c>
      <c r="C277" s="4">
        <v>3139.0</v>
      </c>
      <c r="D277" s="4">
        <v>3110.1</v>
      </c>
      <c r="E277" s="4">
        <v>3125.2</v>
      </c>
      <c r="F277" s="4">
        <v>3124.2</v>
      </c>
      <c r="G277" s="4">
        <v>3121.51</v>
      </c>
      <c r="H277" s="1" t="s">
        <v>4342</v>
      </c>
      <c r="I277" s="1" t="s">
        <v>4343</v>
      </c>
      <c r="J277" s="1" t="s">
        <v>4344</v>
      </c>
      <c r="K277" s="7">
        <f t="shared" si="2"/>
        <v>0.004565916399</v>
      </c>
      <c r="L277" s="7">
        <v>0.0012973959980940074</v>
      </c>
      <c r="M277" s="1">
        <f t="shared" si="1"/>
        <v>2263446</v>
      </c>
    </row>
    <row r="278">
      <c r="A278" s="9">
        <v>45912.0</v>
      </c>
      <c r="B278" s="4">
        <v>3144.0</v>
      </c>
      <c r="C278" s="4">
        <v>3148.7</v>
      </c>
      <c r="D278" s="4">
        <v>3121.0</v>
      </c>
      <c r="E278" s="4">
        <v>3133.0</v>
      </c>
      <c r="F278" s="4">
        <v>3133.4</v>
      </c>
      <c r="G278" s="4">
        <v>3134.12</v>
      </c>
      <c r="H278" s="1" t="s">
        <v>4354</v>
      </c>
      <c r="I278" s="1" t="s">
        <v>4355</v>
      </c>
      <c r="J278" s="1" t="s">
        <v>4356</v>
      </c>
      <c r="K278" s="7">
        <f t="shared" si="2"/>
        <v>0.002944753857</v>
      </c>
      <c r="L278" s="7">
        <v>0.0043390454100097975</v>
      </c>
      <c r="M278" s="1">
        <f t="shared" si="1"/>
        <v>1447167</v>
      </c>
    </row>
    <row r="279">
      <c r="A279" s="9">
        <v>45915.0</v>
      </c>
      <c r="B279" s="4">
        <v>3134.0</v>
      </c>
      <c r="C279" s="4">
        <v>3134.0</v>
      </c>
      <c r="D279" s="4">
        <v>3096.0</v>
      </c>
      <c r="E279" s="4">
        <v>3112.5</v>
      </c>
      <c r="F279" s="4">
        <v>3111.9</v>
      </c>
      <c r="G279" s="4">
        <v>3108.2</v>
      </c>
      <c r="H279" s="1" t="s">
        <v>4366</v>
      </c>
      <c r="I279" s="1" t="s">
        <v>4367</v>
      </c>
      <c r="J279" s="1" t="s">
        <v>4368</v>
      </c>
      <c r="K279" s="7">
        <f t="shared" si="2"/>
        <v>-0.006861556137</v>
      </c>
      <c r="L279" s="7">
        <v>-0.0017838655729871494</v>
      </c>
      <c r="M279" s="1">
        <f t="shared" si="1"/>
        <v>1732539</v>
      </c>
    </row>
    <row r="280">
      <c r="A280" s="9">
        <v>45916.0</v>
      </c>
      <c r="B280" s="4">
        <v>3128.0</v>
      </c>
      <c r="C280" s="4">
        <v>3150.0</v>
      </c>
      <c r="D280" s="4">
        <v>3109.1</v>
      </c>
      <c r="E280" s="4">
        <v>3147.9</v>
      </c>
      <c r="F280" s="4">
        <v>3145.7</v>
      </c>
      <c r="G280" s="4">
        <v>3132.7</v>
      </c>
      <c r="H280" s="1" t="s">
        <v>4378</v>
      </c>
      <c r="I280" s="1" t="s">
        <v>4379</v>
      </c>
      <c r="J280" s="11">
        <v>96675.0</v>
      </c>
      <c r="K280" s="7">
        <f t="shared" si="2"/>
        <v>0.01086153154</v>
      </c>
      <c r="L280" s="7">
        <v>0.006777240598024581</v>
      </c>
      <c r="M280" s="1">
        <f t="shared" si="1"/>
        <v>2573429</v>
      </c>
    </row>
    <row r="281">
      <c r="A281" s="9">
        <v>45917.0</v>
      </c>
      <c r="B281" s="4">
        <v>3152.0</v>
      </c>
      <c r="C281" s="4">
        <v>3182.4</v>
      </c>
      <c r="D281" s="4">
        <v>3142.4</v>
      </c>
      <c r="E281" s="4">
        <v>3175.0</v>
      </c>
      <c r="F281" s="4">
        <v>3172.8</v>
      </c>
      <c r="G281" s="4">
        <v>3170.19</v>
      </c>
      <c r="H281" s="1" t="s">
        <v>4389</v>
      </c>
      <c r="I281" s="1" t="s">
        <v>4390</v>
      </c>
      <c r="J281" s="1" t="s">
        <v>4391</v>
      </c>
      <c r="K281" s="7">
        <f t="shared" si="2"/>
        <v>0.008614934673</v>
      </c>
      <c r="L281" s="7">
        <v>0.0036114599965926465</v>
      </c>
      <c r="M281" s="1">
        <f t="shared" si="1"/>
        <v>2418271</v>
      </c>
    </row>
    <row r="282">
      <c r="A282" s="9">
        <v>45918.0</v>
      </c>
      <c r="B282" s="4">
        <v>3185.0</v>
      </c>
      <c r="C282" s="4">
        <v>3203.0</v>
      </c>
      <c r="D282" s="4">
        <v>3161.4</v>
      </c>
      <c r="E282" s="4">
        <v>3177.0</v>
      </c>
      <c r="F282" s="4">
        <v>3176.7</v>
      </c>
      <c r="G282" s="4">
        <v>3179.0</v>
      </c>
      <c r="H282" s="1" t="s">
        <v>4402</v>
      </c>
      <c r="I282" s="1" t="s">
        <v>4404</v>
      </c>
      <c r="J282" s="1" t="s">
        <v>4406</v>
      </c>
      <c r="K282" s="7">
        <f t="shared" si="2"/>
        <v>0.001229198185</v>
      </c>
      <c r="L282" s="7">
        <v>0.003685316962919772</v>
      </c>
      <c r="M282" s="1">
        <f t="shared" si="1"/>
        <v>2633138</v>
      </c>
    </row>
    <row r="283">
      <c r="A283" s="9">
        <v>45919.0</v>
      </c>
      <c r="B283" s="4">
        <v>3170.0</v>
      </c>
      <c r="C283" s="4">
        <v>3180.5</v>
      </c>
      <c r="D283" s="4">
        <v>3144.0</v>
      </c>
      <c r="E283" s="4">
        <v>3171.0</v>
      </c>
      <c r="F283" s="4">
        <v>3169.2</v>
      </c>
      <c r="G283" s="4">
        <v>3163.36</v>
      </c>
      <c r="H283" s="1" t="s">
        <v>4412</v>
      </c>
      <c r="I283" s="1" t="s">
        <v>4414</v>
      </c>
      <c r="J283" s="1" t="s">
        <v>4415</v>
      </c>
      <c r="K283" s="7">
        <f t="shared" si="2"/>
        <v>-0.002360940599</v>
      </c>
      <c r="L283" s="7">
        <v>-0.0037976525747730173</v>
      </c>
      <c r="M283" s="1">
        <f t="shared" si="1"/>
        <v>4901694</v>
      </c>
    </row>
    <row r="284">
      <c r="A284" s="9">
        <v>45922.0</v>
      </c>
      <c r="B284" s="4">
        <v>3095.0</v>
      </c>
      <c r="C284" s="4">
        <v>3106.9</v>
      </c>
      <c r="D284" s="4">
        <v>3065.0</v>
      </c>
      <c r="E284" s="4">
        <v>3075.5</v>
      </c>
      <c r="F284" s="4">
        <v>3073.8</v>
      </c>
      <c r="G284" s="4">
        <v>3082.86</v>
      </c>
      <c r="H284" s="1" t="s">
        <v>4422</v>
      </c>
      <c r="I284" s="1" t="s">
        <v>4423</v>
      </c>
      <c r="J284" s="1" t="s">
        <v>4425</v>
      </c>
      <c r="K284" s="7">
        <f t="shared" si="2"/>
        <v>-0.030102234</v>
      </c>
      <c r="L284" s="7">
        <v>-0.004923589600841816</v>
      </c>
      <c r="M284" s="1">
        <f t="shared" si="1"/>
        <v>3634901</v>
      </c>
    </row>
    <row r="285">
      <c r="A285" s="9">
        <v>45923.0</v>
      </c>
      <c r="B285" s="4">
        <v>3070.0</v>
      </c>
      <c r="C285" s="4">
        <v>3080.7</v>
      </c>
      <c r="D285" s="4">
        <v>3052.0</v>
      </c>
      <c r="E285" s="4">
        <v>3065.0</v>
      </c>
      <c r="F285" s="4">
        <v>3062.4</v>
      </c>
      <c r="G285" s="4">
        <v>3063.85</v>
      </c>
      <c r="H285" s="1" t="s">
        <v>4441</v>
      </c>
      <c r="I285" s="1" t="s">
        <v>4444</v>
      </c>
      <c r="J285" s="1" t="s">
        <v>4445</v>
      </c>
      <c r="K285" s="7">
        <f t="shared" si="2"/>
        <v>-0.003708764396</v>
      </c>
      <c r="L285" s="7">
        <v>-0.0013034498766979488</v>
      </c>
      <c r="M285" s="1">
        <f t="shared" si="1"/>
        <v>3177741</v>
      </c>
    </row>
    <row r="286">
      <c r="A286" s="9">
        <v>45924.0</v>
      </c>
      <c r="B286" s="4">
        <v>3050.0</v>
      </c>
      <c r="C286" s="4">
        <v>3057.0</v>
      </c>
      <c r="D286" s="4">
        <v>3033.0</v>
      </c>
      <c r="E286" s="4">
        <v>3036.8</v>
      </c>
      <c r="F286" s="4">
        <v>3035.4</v>
      </c>
      <c r="G286" s="4">
        <v>3044.04</v>
      </c>
      <c r="H286" s="1" t="s">
        <v>4453</v>
      </c>
      <c r="I286" s="1" t="s">
        <v>4455</v>
      </c>
      <c r="J286" s="1" t="s">
        <v>4457</v>
      </c>
      <c r="K286" s="7">
        <f t="shared" si="2"/>
        <v>-0.00881661442</v>
      </c>
      <c r="L286" s="7">
        <v>-0.004473668527384276</v>
      </c>
      <c r="M286" s="1">
        <f t="shared" si="1"/>
        <v>1625714</v>
      </c>
    </row>
    <row r="287">
      <c r="A287" s="9">
        <v>45925.0</v>
      </c>
      <c r="B287" s="4">
        <v>3022.0</v>
      </c>
      <c r="C287" s="4">
        <v>3029.6</v>
      </c>
      <c r="D287" s="4">
        <v>2951.0</v>
      </c>
      <c r="E287" s="4">
        <v>2958.0</v>
      </c>
      <c r="F287" s="4">
        <v>2957.4</v>
      </c>
      <c r="G287" s="4">
        <v>2977.56</v>
      </c>
      <c r="H287" s="1" t="s">
        <v>4463</v>
      </c>
      <c r="I287" s="1" t="s">
        <v>4466</v>
      </c>
      <c r="J287" s="1" t="s">
        <v>4468</v>
      </c>
      <c r="K287" s="7">
        <f t="shared" si="2"/>
        <v>-0.02569677802</v>
      </c>
      <c r="L287" s="7">
        <v>-0.006626917136597221</v>
      </c>
      <c r="M287" s="1">
        <f t="shared" si="1"/>
        <v>4974361</v>
      </c>
    </row>
    <row r="288">
      <c r="A288" s="9">
        <v>45926.0</v>
      </c>
      <c r="B288" s="4">
        <v>2941.0</v>
      </c>
      <c r="C288" s="4">
        <v>2954.8</v>
      </c>
      <c r="D288" s="4">
        <v>2891.3</v>
      </c>
      <c r="E288" s="4">
        <v>2905.4</v>
      </c>
      <c r="F288" s="4">
        <v>2899.1</v>
      </c>
      <c r="G288" s="4">
        <v>2915.19</v>
      </c>
      <c r="H288" s="1" t="s">
        <v>4474</v>
      </c>
      <c r="I288" s="1" t="s">
        <v>4476</v>
      </c>
      <c r="J288" s="1" t="s">
        <v>4479</v>
      </c>
      <c r="K288" s="7">
        <f t="shared" si="2"/>
        <v>-0.01971326165</v>
      </c>
      <c r="L288" s="7">
        <v>-0.009487422084822247</v>
      </c>
      <c r="M288" s="1">
        <f t="shared" si="1"/>
        <v>3934636</v>
      </c>
    </row>
    <row r="289">
      <c r="A289" s="9">
        <v>45929.0</v>
      </c>
      <c r="B289" s="4">
        <v>2916.0</v>
      </c>
      <c r="C289" s="4">
        <v>2929.3</v>
      </c>
      <c r="D289" s="4">
        <v>2894.0</v>
      </c>
      <c r="E289" s="4">
        <v>2904.3</v>
      </c>
      <c r="F289" s="4">
        <v>2896.1</v>
      </c>
      <c r="G289" s="4">
        <v>2904.37</v>
      </c>
      <c r="H289" s="1" t="s">
        <v>4485</v>
      </c>
      <c r="I289" s="1" t="s">
        <v>4487</v>
      </c>
      <c r="J289" s="1" t="s">
        <v>4489</v>
      </c>
      <c r="K289" s="7">
        <f t="shared" si="2"/>
        <v>-0.001034803905</v>
      </c>
      <c r="L289" s="7">
        <v>-8.03092310999496E-4</v>
      </c>
      <c r="M289" s="1">
        <f t="shared" si="1"/>
        <v>3110035</v>
      </c>
    </row>
    <row r="290">
      <c r="A290" s="9">
        <v>45930.0</v>
      </c>
      <c r="B290" s="4">
        <v>2911.0</v>
      </c>
      <c r="C290" s="4">
        <v>2915.3</v>
      </c>
      <c r="D290" s="4">
        <v>2885.1</v>
      </c>
      <c r="E290" s="4">
        <v>2891.0</v>
      </c>
      <c r="F290" s="4">
        <v>2888.4</v>
      </c>
      <c r="G290" s="4">
        <v>2895.89</v>
      </c>
      <c r="H290" s="1" t="s">
        <v>4498</v>
      </c>
      <c r="I290" s="1" t="s">
        <v>4500</v>
      </c>
      <c r="J290" s="1" t="s">
        <v>4502</v>
      </c>
      <c r="K290" s="7">
        <f t="shared" si="2"/>
        <v>-0.002658747971</v>
      </c>
      <c r="L290" s="7">
        <v>-9.661090566636321E-4</v>
      </c>
      <c r="M290" s="1">
        <f t="shared" si="1"/>
        <v>2253458</v>
      </c>
    </row>
    <row r="291">
      <c r="A291" s="3">
        <v>45931.0</v>
      </c>
      <c r="B291" s="4">
        <v>2891.0</v>
      </c>
      <c r="C291" s="4">
        <v>2924.8</v>
      </c>
      <c r="D291" s="4">
        <v>2866.6</v>
      </c>
      <c r="E291" s="4">
        <v>2915.1</v>
      </c>
      <c r="F291" s="4">
        <v>2914.2</v>
      </c>
      <c r="G291" s="4">
        <v>2897.26</v>
      </c>
      <c r="H291" s="1" t="s">
        <v>4511</v>
      </c>
      <c r="I291" s="1" t="s">
        <v>4513</v>
      </c>
      <c r="J291" s="1" t="s">
        <v>4514</v>
      </c>
      <c r="K291" s="7">
        <f t="shared" si="2"/>
        <v>0.008932280848</v>
      </c>
      <c r="L291" s="7">
        <v>0.009150342731531737</v>
      </c>
      <c r="M291" s="1">
        <f t="shared" si="1"/>
        <v>1952902</v>
      </c>
    </row>
    <row r="292">
      <c r="A292" s="3">
        <v>45933.0</v>
      </c>
      <c r="B292" s="4">
        <v>2924.0</v>
      </c>
      <c r="C292" s="4">
        <v>2924.0</v>
      </c>
      <c r="D292" s="4">
        <v>2891.1</v>
      </c>
      <c r="E292" s="4">
        <v>2903.0</v>
      </c>
      <c r="F292" s="4">
        <v>2901.9</v>
      </c>
      <c r="G292" s="4">
        <v>2902.27</v>
      </c>
      <c r="H292" s="1" t="s">
        <v>4521</v>
      </c>
      <c r="I292" s="1" t="s">
        <v>4522</v>
      </c>
      <c r="J292" s="1" t="s">
        <v>4524</v>
      </c>
      <c r="K292" s="7">
        <f t="shared" si="2"/>
        <v>-0.004220712374</v>
      </c>
      <c r="L292" s="7">
        <v>0.002333278306350009</v>
      </c>
      <c r="M292" s="1">
        <f t="shared" si="1"/>
        <v>2899519</v>
      </c>
    </row>
    <row r="293">
      <c r="A293" s="3">
        <v>45936.0</v>
      </c>
      <c r="B293" s="4">
        <v>2902.0</v>
      </c>
      <c r="C293" s="4">
        <v>2993.6</v>
      </c>
      <c r="D293" s="4">
        <v>2895.6</v>
      </c>
      <c r="E293" s="4">
        <v>2988.0</v>
      </c>
      <c r="F293" s="4">
        <v>2988.4</v>
      </c>
      <c r="G293" s="4">
        <v>2959.88</v>
      </c>
      <c r="H293" s="1" t="s">
        <v>4533</v>
      </c>
      <c r="I293" s="1" t="s">
        <v>4534</v>
      </c>
      <c r="J293" s="1" t="s">
        <v>4535</v>
      </c>
      <c r="K293" s="7">
        <f t="shared" si="2"/>
        <v>0.02980805679</v>
      </c>
      <c r="L293" s="7">
        <v>0.007367163099912689</v>
      </c>
      <c r="M293" s="1">
        <f t="shared" si="1"/>
        <v>2112774</v>
      </c>
    </row>
    <row r="294">
      <c r="A294" s="3">
        <v>45937.0</v>
      </c>
      <c r="B294" s="4">
        <v>2995.0</v>
      </c>
      <c r="C294" s="4">
        <v>3004.5</v>
      </c>
      <c r="D294" s="4">
        <v>2955.5</v>
      </c>
      <c r="E294" s="4">
        <v>2975.0</v>
      </c>
      <c r="F294" s="4">
        <v>2973.7</v>
      </c>
      <c r="G294" s="4">
        <v>2971.7</v>
      </c>
      <c r="H294" s="1" t="s">
        <v>4542</v>
      </c>
      <c r="I294" s="1" t="s">
        <v>4543</v>
      </c>
      <c r="J294" s="1" t="s">
        <v>4544</v>
      </c>
      <c r="K294" s="7">
        <f t="shared" si="2"/>
        <v>-0.004919020211</v>
      </c>
      <c r="L294" s="7">
        <v>0.0012222038348887482</v>
      </c>
      <c r="M294" s="1">
        <f t="shared" si="1"/>
        <v>3062943</v>
      </c>
    </row>
    <row r="295">
      <c r="A295" s="3">
        <v>45938.0</v>
      </c>
      <c r="B295" s="4">
        <v>2975.0</v>
      </c>
      <c r="C295" s="4">
        <v>3043.0</v>
      </c>
      <c r="D295" s="4">
        <v>2968.0</v>
      </c>
      <c r="E295" s="4">
        <v>3031.5</v>
      </c>
      <c r="F295" s="4">
        <v>3027.2</v>
      </c>
      <c r="G295" s="4">
        <v>3024.78</v>
      </c>
      <c r="H295" s="1" t="s">
        <v>4554</v>
      </c>
      <c r="I295" s="1" t="s">
        <v>4555</v>
      </c>
      <c r="J295" s="1" t="s">
        <v>4557</v>
      </c>
      <c r="K295" s="7">
        <f t="shared" si="2"/>
        <v>0.01799105491</v>
      </c>
      <c r="L295" s="7">
        <v>-0.0024752770996044264</v>
      </c>
      <c r="M295" s="1">
        <f t="shared" si="1"/>
        <v>4121889</v>
      </c>
    </row>
    <row r="296">
      <c r="A296" s="3">
        <v>45939.0</v>
      </c>
      <c r="B296" s="4">
        <v>3034.0</v>
      </c>
      <c r="C296" s="4">
        <v>3066.0</v>
      </c>
      <c r="D296" s="4">
        <v>3020.0</v>
      </c>
      <c r="E296" s="4">
        <v>3060.2</v>
      </c>
      <c r="F296" s="4">
        <v>3061.7</v>
      </c>
      <c r="G296" s="4">
        <v>3046.36</v>
      </c>
      <c r="H296" s="1" t="s">
        <v>4569</v>
      </c>
      <c r="I296" s="1" t="s">
        <v>4570</v>
      </c>
      <c r="J296" s="1" t="s">
        <v>4571</v>
      </c>
      <c r="K296" s="7">
        <f t="shared" si="2"/>
        <v>0.01139667019</v>
      </c>
      <c r="L296" s="7">
        <v>0.005416002060196789</v>
      </c>
      <c r="M296" s="1">
        <f t="shared" si="1"/>
        <v>3211304</v>
      </c>
    </row>
    <row r="297">
      <c r="A297" s="9">
        <v>45940.0</v>
      </c>
      <c r="B297" s="4">
        <v>3050.0</v>
      </c>
      <c r="C297" s="4">
        <v>3070.0</v>
      </c>
      <c r="D297" s="4">
        <v>3006.9</v>
      </c>
      <c r="E297" s="4">
        <v>3028.0</v>
      </c>
      <c r="F297" s="4">
        <v>3028.3</v>
      </c>
      <c r="G297" s="4">
        <v>3032.16</v>
      </c>
      <c r="H297" s="1" t="s">
        <v>4581</v>
      </c>
      <c r="I297" s="1" t="s">
        <v>4582</v>
      </c>
      <c r="J297" s="1" t="s">
        <v>4583</v>
      </c>
      <c r="K297" s="7">
        <f t="shared" si="2"/>
        <v>-0.01090897214</v>
      </c>
      <c r="L297" s="7">
        <v>0.004112096831838839</v>
      </c>
      <c r="M297" s="1">
        <f t="shared" si="1"/>
        <v>8817365</v>
      </c>
    </row>
    <row r="298">
      <c r="A298" s="9">
        <v>45943.0</v>
      </c>
      <c r="B298" s="4">
        <v>3027.0</v>
      </c>
      <c r="C298" s="4">
        <v>3035.5</v>
      </c>
      <c r="D298" s="4">
        <v>2998.2</v>
      </c>
      <c r="E298" s="4">
        <v>3006.0</v>
      </c>
      <c r="F298" s="4">
        <v>3007.2</v>
      </c>
      <c r="G298" s="4">
        <v>3011.37</v>
      </c>
      <c r="H298" s="1" t="s">
        <v>4593</v>
      </c>
      <c r="I298" s="1" t="s">
        <v>4596</v>
      </c>
      <c r="J298" s="1" t="s">
        <v>4598</v>
      </c>
      <c r="K298" s="7">
        <f t="shared" si="2"/>
        <v>-0.006967605587</v>
      </c>
      <c r="L298" s="7">
        <v>-0.002293818357270119</v>
      </c>
      <c r="M298" s="1">
        <f t="shared" si="1"/>
        <v>2866865</v>
      </c>
    </row>
    <row r="299">
      <c r="A299" s="9">
        <v>45944.0</v>
      </c>
      <c r="B299" s="4">
        <v>3021.0</v>
      </c>
      <c r="C299" s="4">
        <v>3027.2</v>
      </c>
      <c r="D299" s="4">
        <v>2955.5</v>
      </c>
      <c r="E299" s="4">
        <v>2960.0</v>
      </c>
      <c r="F299" s="4">
        <v>2960.3</v>
      </c>
      <c r="G299" s="4">
        <v>2976.34</v>
      </c>
      <c r="H299" s="1" t="s">
        <v>4607</v>
      </c>
      <c r="I299" s="1" t="s">
        <v>4609</v>
      </c>
      <c r="J299" s="1" t="s">
        <v>4610</v>
      </c>
      <c r="K299" s="7">
        <f t="shared" si="2"/>
        <v>-0.01559590317</v>
      </c>
      <c r="L299" s="7">
        <v>-0.003244494566412982</v>
      </c>
      <c r="M299" s="1">
        <f t="shared" si="1"/>
        <v>3611416</v>
      </c>
    </row>
    <row r="300">
      <c r="A300" s="9">
        <v>45945.0</v>
      </c>
      <c r="B300" s="4">
        <v>2971.0</v>
      </c>
      <c r="C300" s="4">
        <v>2979.7</v>
      </c>
      <c r="D300" s="4">
        <v>2951.0</v>
      </c>
      <c r="E300" s="4">
        <v>2970.0</v>
      </c>
      <c r="F300" s="4">
        <v>2969.8</v>
      </c>
      <c r="G300" s="4">
        <v>2967.01</v>
      </c>
      <c r="H300" s="1" t="s">
        <v>4617</v>
      </c>
      <c r="I300" s="1" t="s">
        <v>4620</v>
      </c>
      <c r="J300" s="1" t="s">
        <v>4622</v>
      </c>
      <c r="K300" s="7">
        <f t="shared" si="2"/>
        <v>0.003209134209</v>
      </c>
      <c r="L300" s="7">
        <v>0.007080789803344506</v>
      </c>
      <c r="M300" s="1">
        <f t="shared" si="1"/>
        <v>4282226</v>
      </c>
    </row>
    <row r="301">
      <c r="A301" s="9">
        <v>45946.0</v>
      </c>
      <c r="B301" s="4">
        <v>2969.9</v>
      </c>
      <c r="C301" s="4">
        <v>2975.0</v>
      </c>
      <c r="D301" s="4">
        <v>2943.1</v>
      </c>
      <c r="E301" s="4">
        <v>2971.8</v>
      </c>
      <c r="F301" s="4">
        <v>2970.7</v>
      </c>
      <c r="G301" s="4">
        <v>2961.98</v>
      </c>
      <c r="H301" s="1" t="s">
        <v>4629</v>
      </c>
      <c r="I301" s="1" t="s">
        <v>4633</v>
      </c>
      <c r="J301" s="1" t="s">
        <v>4637</v>
      </c>
      <c r="K301" s="7">
        <f t="shared" si="2"/>
        <v>0.0003030507105</v>
      </c>
      <c r="L301" s="7">
        <v>0.01033622853036008</v>
      </c>
      <c r="M301" s="1">
        <f t="shared" si="1"/>
        <v>3251495</v>
      </c>
    </row>
    <row r="302">
      <c r="A302" s="9">
        <v>45947.0</v>
      </c>
      <c r="B302" s="4">
        <v>2970.0</v>
      </c>
      <c r="C302" s="4">
        <v>2988.8</v>
      </c>
      <c r="D302" s="4">
        <v>2955.4</v>
      </c>
      <c r="E302" s="4">
        <v>2963.0</v>
      </c>
      <c r="F302" s="4">
        <v>2962.2</v>
      </c>
      <c r="G302" s="4">
        <v>2967.59</v>
      </c>
      <c r="H302" s="1" t="s">
        <v>4647</v>
      </c>
      <c r="I302" s="1" t="s">
        <v>4649</v>
      </c>
      <c r="J302" s="1" t="s">
        <v>4651</v>
      </c>
      <c r="K302" s="7">
        <f t="shared" si="2"/>
        <v>-0.002861278487</v>
      </c>
      <c r="L302" s="7">
        <v>0.004868029688922908</v>
      </c>
      <c r="M302" s="1">
        <f t="shared" si="1"/>
        <v>4374683</v>
      </c>
    </row>
    <row r="303">
      <c r="A303" s="9">
        <v>45950.0</v>
      </c>
      <c r="B303" s="4">
        <v>2985.5</v>
      </c>
      <c r="C303" s="4">
        <v>3023.0</v>
      </c>
      <c r="D303" s="4">
        <v>2978.5</v>
      </c>
      <c r="E303" s="4">
        <v>3016.3</v>
      </c>
      <c r="F303" s="4">
        <v>3015.2</v>
      </c>
      <c r="G303" s="4">
        <v>3007.54</v>
      </c>
      <c r="H303" s="1" t="s">
        <v>4660</v>
      </c>
      <c r="I303" s="1" t="s">
        <v>4662</v>
      </c>
      <c r="J303" s="1" t="s">
        <v>4664</v>
      </c>
      <c r="K303" s="7">
        <f t="shared" si="2"/>
        <v>0.01789210722</v>
      </c>
      <c r="L303" s="7">
        <v>0.0051847832640020425</v>
      </c>
      <c r="M303" s="1">
        <f t="shared" si="1"/>
        <v>3133039</v>
      </c>
    </row>
    <row r="304">
      <c r="A304" s="9">
        <v>45951.0</v>
      </c>
      <c r="B304" s="4">
        <v>3031.1</v>
      </c>
      <c r="C304" s="4">
        <v>3031.8</v>
      </c>
      <c r="D304" s="4">
        <v>2996.0</v>
      </c>
      <c r="E304" s="4">
        <v>3000.0</v>
      </c>
      <c r="F304" s="4">
        <v>3006.7</v>
      </c>
      <c r="G304" s="4">
        <v>3013.14</v>
      </c>
      <c r="H304" s="1" t="s">
        <v>4668</v>
      </c>
      <c r="I304" s="1" t="s">
        <v>4670</v>
      </c>
      <c r="J304" s="11">
        <v>29319.0</v>
      </c>
      <c r="K304" s="7">
        <f t="shared" si="2"/>
        <v>-0.002819050146</v>
      </c>
      <c r="L304" s="7">
        <v>9.847870712353984E-4</v>
      </c>
      <c r="M304" s="1">
        <f t="shared" si="1"/>
        <v>310644</v>
      </c>
    </row>
    <row r="305">
      <c r="A305" s="9">
        <v>45953.0</v>
      </c>
      <c r="B305" s="4">
        <v>3055.0</v>
      </c>
      <c r="C305" s="4">
        <v>3098.0</v>
      </c>
      <c r="D305" s="4">
        <v>3036.1</v>
      </c>
      <c r="E305" s="4">
        <v>3070.0</v>
      </c>
      <c r="F305" s="4">
        <v>3073.2</v>
      </c>
      <c r="G305" s="4">
        <v>3075.63</v>
      </c>
      <c r="H305" s="1" t="s">
        <v>4687</v>
      </c>
      <c r="I305" s="1" t="s">
        <v>4689</v>
      </c>
      <c r="J305" s="1" t="s">
        <v>4690</v>
      </c>
      <c r="K305" s="7">
        <f t="shared" si="2"/>
        <v>0.02211727143</v>
      </c>
      <c r="L305" s="7">
        <v>8.813774228216027E-4</v>
      </c>
      <c r="M305" s="1">
        <f t="shared" si="1"/>
        <v>5564758</v>
      </c>
    </row>
    <row r="306">
      <c r="A306" s="9">
        <v>45954.0</v>
      </c>
      <c r="B306" s="4">
        <v>3080.0</v>
      </c>
      <c r="C306" s="4">
        <v>3090.0</v>
      </c>
      <c r="D306" s="4">
        <v>3058.3</v>
      </c>
      <c r="E306" s="4">
        <v>3060.6</v>
      </c>
      <c r="F306" s="4">
        <v>3063.2</v>
      </c>
      <c r="G306" s="4">
        <v>3073.62</v>
      </c>
      <c r="H306" s="1" t="s">
        <v>4697</v>
      </c>
      <c r="I306" s="1" t="s">
        <v>4699</v>
      </c>
      <c r="J306" s="1" t="s">
        <v>4701</v>
      </c>
      <c r="K306" s="7">
        <f t="shared" si="2"/>
        <v>-0.003253937264</v>
      </c>
      <c r="L306" s="7">
        <v>-0.003717450582046548</v>
      </c>
      <c r="M306" s="1">
        <f t="shared" si="1"/>
        <v>2684318</v>
      </c>
    </row>
    <row r="307">
      <c r="A307" s="9">
        <v>45957.0</v>
      </c>
      <c r="B307" s="4">
        <v>3066.5</v>
      </c>
      <c r="C307" s="4">
        <v>3094.2</v>
      </c>
      <c r="D307" s="4">
        <v>3060.2</v>
      </c>
      <c r="E307" s="4">
        <v>3083.0</v>
      </c>
      <c r="F307" s="4">
        <v>3084.9</v>
      </c>
      <c r="G307" s="4">
        <v>3083.94</v>
      </c>
      <c r="H307" s="1" t="s">
        <v>4711</v>
      </c>
      <c r="I307" s="1" t="s">
        <v>4714</v>
      </c>
      <c r="J307" s="11">
        <v>85517.0</v>
      </c>
      <c r="K307" s="7">
        <f t="shared" si="2"/>
        <v>0.007084095064</v>
      </c>
      <c r="L307" s="7">
        <v>0.0066252764570083065</v>
      </c>
      <c r="M307" s="1">
        <f t="shared" si="1"/>
        <v>1946312</v>
      </c>
    </row>
    <row r="308">
      <c r="A308" s="9">
        <v>45958.0</v>
      </c>
      <c r="B308" s="4">
        <v>3076.0</v>
      </c>
      <c r="C308" s="4">
        <v>3090.2</v>
      </c>
      <c r="D308" s="4">
        <v>3040.2</v>
      </c>
      <c r="E308" s="4">
        <v>3059.8</v>
      </c>
      <c r="F308" s="4">
        <v>3057.9</v>
      </c>
      <c r="G308" s="4">
        <v>3059.27</v>
      </c>
      <c r="H308" s="1" t="s">
        <v>4725</v>
      </c>
      <c r="I308" s="1" t="s">
        <v>4729</v>
      </c>
      <c r="J308" s="1" t="s">
        <v>4731</v>
      </c>
      <c r="K308" s="7">
        <f t="shared" si="2"/>
        <v>-0.008752309637</v>
      </c>
      <c r="L308" s="7">
        <v>-0.0011495780066663411</v>
      </c>
      <c r="M308" s="1">
        <f t="shared" si="1"/>
        <v>3470737</v>
      </c>
    </row>
    <row r="309">
      <c r="A309" s="9">
        <v>45959.0</v>
      </c>
      <c r="B309" s="4">
        <v>3057.9</v>
      </c>
      <c r="C309" s="4">
        <v>3076.0</v>
      </c>
      <c r="D309" s="4">
        <v>3046.1</v>
      </c>
      <c r="E309" s="4">
        <v>3060.0</v>
      </c>
      <c r="F309" s="4">
        <v>3057.6</v>
      </c>
      <c r="G309" s="4">
        <v>3061.14</v>
      </c>
      <c r="H309" s="1" t="s">
        <v>4735</v>
      </c>
      <c r="I309" s="1" t="s">
        <v>4739</v>
      </c>
      <c r="J309" s="1" t="s">
        <v>4740</v>
      </c>
      <c r="K309" s="7">
        <f t="shared" si="2"/>
        <v>-0.00009810654371</v>
      </c>
      <c r="L309" s="7">
        <v>0.004538058774994052</v>
      </c>
      <c r="M309" s="1">
        <f t="shared" si="1"/>
        <v>2895420</v>
      </c>
    </row>
    <row r="310">
      <c r="A310" s="9">
        <v>45960.0</v>
      </c>
      <c r="B310" s="4">
        <v>3049.1</v>
      </c>
      <c r="C310" s="4">
        <v>3063.8</v>
      </c>
      <c r="D310" s="4">
        <v>3032.8</v>
      </c>
      <c r="E310" s="4">
        <v>3035.5</v>
      </c>
      <c r="F310" s="4">
        <v>3035.3</v>
      </c>
      <c r="G310" s="4">
        <v>3039.99</v>
      </c>
      <c r="H310" s="1" t="s">
        <v>4748</v>
      </c>
      <c r="I310" s="1" t="s">
        <v>4750</v>
      </c>
      <c r="J310" s="1" t="s">
        <v>4752</v>
      </c>
      <c r="K310" s="7">
        <f t="shared" si="2"/>
        <v>-0.007293301936</v>
      </c>
      <c r="L310" s="7">
        <v>-0.006757145763206388</v>
      </c>
      <c r="M310" s="1">
        <f t="shared" si="1"/>
        <v>2241536</v>
      </c>
    </row>
    <row r="311">
      <c r="A311" s="9">
        <v>45961.0</v>
      </c>
      <c r="B311" s="4">
        <v>3035.0</v>
      </c>
      <c r="C311" s="4">
        <v>3067.4</v>
      </c>
      <c r="D311" s="4">
        <v>3025.1</v>
      </c>
      <c r="E311" s="4">
        <v>3060.0</v>
      </c>
      <c r="F311" s="4">
        <v>3058.0</v>
      </c>
      <c r="G311" s="4">
        <v>3055.61</v>
      </c>
      <c r="H311" s="1" t="s">
        <v>4759</v>
      </c>
      <c r="I311" s="1" t="s">
        <v>4760</v>
      </c>
      <c r="J311" s="11">
        <v>81376.0</v>
      </c>
      <c r="K311" s="7">
        <f t="shared" si="2"/>
        <v>0.007478667677</v>
      </c>
      <c r="L311" s="7">
        <v>-0.006018660746545792</v>
      </c>
      <c r="M311" s="1">
        <f t="shared" si="1"/>
        <v>1868085</v>
      </c>
    </row>
    <row r="312">
      <c r="A312" s="3">
        <v>45964.0</v>
      </c>
      <c r="B312" s="4">
        <v>3046.9</v>
      </c>
      <c r="C312" s="4">
        <v>3058.0</v>
      </c>
      <c r="D312" s="4">
        <v>3010.0</v>
      </c>
      <c r="E312" s="4">
        <v>3019.5</v>
      </c>
      <c r="F312" s="4">
        <v>3016.8</v>
      </c>
      <c r="G312" s="4">
        <v>3024.83</v>
      </c>
      <c r="H312" s="1" t="s">
        <v>4770</v>
      </c>
      <c r="I312" s="1" t="s">
        <v>4771</v>
      </c>
      <c r="J312" s="1" t="s">
        <v>4772</v>
      </c>
      <c r="K312" s="7">
        <f t="shared" si="2"/>
        <v>-0.01347285808</v>
      </c>
      <c r="L312" s="7">
        <v>0.0016036793263380518</v>
      </c>
      <c r="M312" s="1">
        <f t="shared" si="1"/>
        <v>2194877</v>
      </c>
    </row>
    <row r="313">
      <c r="A313" s="3">
        <v>45965.0</v>
      </c>
      <c r="B313" s="4">
        <v>3019.6</v>
      </c>
      <c r="C313" s="4">
        <v>3029.3</v>
      </c>
      <c r="D313" s="4">
        <v>2976.0</v>
      </c>
      <c r="E313" s="4">
        <v>2987.7</v>
      </c>
      <c r="F313" s="4">
        <v>2990.2</v>
      </c>
      <c r="G313" s="4">
        <v>2992.11</v>
      </c>
      <c r="H313" s="1" t="s">
        <v>4782</v>
      </c>
      <c r="I313" s="1" t="s">
        <v>4784</v>
      </c>
      <c r="J313" s="1" t="s">
        <v>4786</v>
      </c>
      <c r="K313" s="7">
        <f t="shared" si="2"/>
        <v>-0.008817289844</v>
      </c>
      <c r="L313" s="7">
        <v>-0.006431617006328645</v>
      </c>
      <c r="M313" s="1">
        <f t="shared" si="1"/>
        <v>2670720</v>
      </c>
    </row>
    <row r="314">
      <c r="A314" s="3">
        <v>45967.0</v>
      </c>
      <c r="B314" s="4">
        <v>2990.1</v>
      </c>
      <c r="C314" s="4">
        <v>3024.0</v>
      </c>
      <c r="D314" s="4">
        <v>2990.0</v>
      </c>
      <c r="E314" s="4">
        <v>3010.0</v>
      </c>
      <c r="F314" s="4">
        <v>3010.9</v>
      </c>
      <c r="G314" s="4">
        <v>3010.5</v>
      </c>
      <c r="H314" s="1" t="s">
        <v>4794</v>
      </c>
      <c r="I314" s="1" t="s">
        <v>4796</v>
      </c>
      <c r="J314" s="1" t="s">
        <v>4798</v>
      </c>
      <c r="K314" s="7">
        <f t="shared" si="2"/>
        <v>0.006922613872</v>
      </c>
      <c r="L314" s="7">
        <v>-0.003435862276419934</v>
      </c>
      <c r="M314" s="1">
        <f t="shared" si="1"/>
        <v>2542721</v>
      </c>
    </row>
    <row r="315">
      <c r="A315" s="3">
        <v>45968.0</v>
      </c>
      <c r="B315" s="4">
        <v>3001.0</v>
      </c>
      <c r="C315" s="4">
        <v>3004.0</v>
      </c>
      <c r="D315" s="4">
        <v>2960.5</v>
      </c>
      <c r="E315" s="4">
        <v>2993.5</v>
      </c>
      <c r="F315" s="4">
        <v>2991.8</v>
      </c>
      <c r="G315" s="4">
        <v>2979.65</v>
      </c>
      <c r="H315" s="1" t="s">
        <v>4807</v>
      </c>
      <c r="I315" s="1" t="s">
        <v>4809</v>
      </c>
      <c r="J315" s="1" t="s">
        <v>4811</v>
      </c>
      <c r="K315" s="7">
        <f t="shared" si="2"/>
        <v>-0.006343618187</v>
      </c>
      <c r="L315" s="7">
        <v>-6.820934781671856E-4</v>
      </c>
      <c r="M315" s="1">
        <f t="shared" si="1"/>
        <v>1830520</v>
      </c>
    </row>
    <row r="316">
      <c r="A316" s="9">
        <v>45971.0</v>
      </c>
      <c r="B316" s="4">
        <v>2993.0</v>
      </c>
      <c r="C316" s="4">
        <v>3047.9</v>
      </c>
      <c r="D316" s="4">
        <v>2992.0</v>
      </c>
      <c r="E316" s="4">
        <v>3025.0</v>
      </c>
      <c r="F316" s="4">
        <v>3025.2</v>
      </c>
      <c r="G316" s="4">
        <v>3022.51</v>
      </c>
      <c r="H316" s="1" t="s">
        <v>4817</v>
      </c>
      <c r="I316" s="1" t="s">
        <v>4820</v>
      </c>
      <c r="J316" s="11">
        <v>78119.0</v>
      </c>
      <c r="K316" s="7">
        <f t="shared" si="2"/>
        <v>0.01116384785</v>
      </c>
      <c r="L316" s="7">
        <v>0.003218618955527719</v>
      </c>
      <c r="M316" s="1">
        <f t="shared" si="1"/>
        <v>1556656</v>
      </c>
    </row>
    <row r="317">
      <c r="A317" s="9">
        <v>45972.0</v>
      </c>
      <c r="B317" s="4">
        <v>3045.0</v>
      </c>
      <c r="C317" s="4">
        <v>3055.7</v>
      </c>
      <c r="D317" s="4">
        <v>3018.0</v>
      </c>
      <c r="E317" s="4">
        <v>3049.0</v>
      </c>
      <c r="F317" s="4">
        <v>3047.0</v>
      </c>
      <c r="G317" s="4">
        <v>3037.03</v>
      </c>
      <c r="H317" s="1" t="s">
        <v>4831</v>
      </c>
      <c r="I317" s="1" t="s">
        <v>4833</v>
      </c>
      <c r="J317" s="1" t="s">
        <v>4834</v>
      </c>
      <c r="K317" s="7">
        <f t="shared" si="2"/>
        <v>0.007206135132</v>
      </c>
      <c r="L317" s="7">
        <v>0.004715662372650808</v>
      </c>
      <c r="M317" s="1">
        <f t="shared" si="1"/>
        <v>2806868</v>
      </c>
    </row>
    <row r="318">
      <c r="A318" s="9">
        <v>45973.0</v>
      </c>
      <c r="B318" s="4">
        <v>3060.0</v>
      </c>
      <c r="C318" s="4">
        <v>3136.4</v>
      </c>
      <c r="D318" s="4">
        <v>3057.1</v>
      </c>
      <c r="E318" s="4">
        <v>3125.1</v>
      </c>
      <c r="F318" s="4">
        <v>3131.8</v>
      </c>
      <c r="G318" s="4">
        <v>3114.78</v>
      </c>
      <c r="H318" s="1" t="s">
        <v>4843</v>
      </c>
      <c r="I318" s="1" t="s">
        <v>4845</v>
      </c>
      <c r="J318" s="1" t="s">
        <v>4846</v>
      </c>
      <c r="K318" s="7">
        <f t="shared" si="2"/>
        <v>0.0278306531</v>
      </c>
      <c r="L318" s="7">
        <v>0.007038348002233845</v>
      </c>
      <c r="M318" s="1">
        <f t="shared" si="1"/>
        <v>4460315</v>
      </c>
    </row>
    <row r="319">
      <c r="A319" s="9">
        <v>45974.0</v>
      </c>
      <c r="B319" s="4">
        <v>3131.8</v>
      </c>
      <c r="C319" s="4">
        <v>3131.9</v>
      </c>
      <c r="D319" s="4">
        <v>3102.0</v>
      </c>
      <c r="E319" s="4">
        <v>3104.8</v>
      </c>
      <c r="F319" s="4">
        <v>3105.7</v>
      </c>
      <c r="G319" s="4">
        <v>3113.07</v>
      </c>
      <c r="H319" s="1" t="s">
        <v>4856</v>
      </c>
      <c r="I319" s="1" t="s">
        <v>4857</v>
      </c>
      <c r="J319" s="1" t="s">
        <v>4858</v>
      </c>
      <c r="K319" s="7">
        <f t="shared" si="2"/>
        <v>-0.008333865509</v>
      </c>
      <c r="L319" s="7">
        <v>1.2946459626377477E-4</v>
      </c>
      <c r="M319" s="1">
        <f t="shared" si="1"/>
        <v>1740435</v>
      </c>
    </row>
    <row r="320">
      <c r="A320" s="9">
        <v>45975.0</v>
      </c>
      <c r="B320" s="4">
        <v>3090.0</v>
      </c>
      <c r="C320" s="4">
        <v>3113.1</v>
      </c>
      <c r="D320" s="4">
        <v>3077.3</v>
      </c>
      <c r="E320" s="4">
        <v>3112.0</v>
      </c>
      <c r="F320" s="4">
        <v>3106.0</v>
      </c>
      <c r="G320" s="4">
        <v>3095.35</v>
      </c>
      <c r="H320" s="1" t="s">
        <v>4863</v>
      </c>
      <c r="I320" s="1" t="s">
        <v>4865</v>
      </c>
      <c r="J320" s="1" t="s">
        <v>4868</v>
      </c>
      <c r="K320" s="7">
        <f t="shared" si="2"/>
        <v>0.00009659658048</v>
      </c>
      <c r="L320" s="7">
        <v>0.001194011395273717</v>
      </c>
      <c r="M320" s="1">
        <f t="shared" si="1"/>
        <v>2210794</v>
      </c>
    </row>
    <row r="321">
      <c r="A321" s="9">
        <v>45978.0</v>
      </c>
      <c r="B321" s="4">
        <v>3106.0</v>
      </c>
      <c r="C321" s="4">
        <v>3123.5</v>
      </c>
      <c r="D321" s="4">
        <v>3086.6</v>
      </c>
      <c r="E321" s="4">
        <v>3100.0</v>
      </c>
      <c r="F321" s="4">
        <v>3102.2</v>
      </c>
      <c r="G321" s="4">
        <v>3099.87</v>
      </c>
      <c r="H321" s="1" t="s">
        <v>4875</v>
      </c>
      <c r="I321" s="1" t="s">
        <v>4878</v>
      </c>
      <c r="J321" s="11">
        <v>96155.0</v>
      </c>
      <c r="K321" s="7">
        <f t="shared" si="2"/>
        <v>-0.001223438506</v>
      </c>
      <c r="L321" s="7">
        <v>0.003990729465979474</v>
      </c>
      <c r="M321" s="1">
        <f t="shared" si="1"/>
        <v>2232853</v>
      </c>
    </row>
    <row r="322">
      <c r="A322" s="9">
        <v>45979.0</v>
      </c>
      <c r="B322" s="4">
        <v>3102.0</v>
      </c>
      <c r="C322" s="4">
        <v>3105.0</v>
      </c>
      <c r="D322" s="4">
        <v>3078.0</v>
      </c>
      <c r="E322" s="4">
        <v>3080.1</v>
      </c>
      <c r="F322" s="4">
        <v>3087.1</v>
      </c>
      <c r="G322" s="4">
        <v>3090.92</v>
      </c>
      <c r="H322" s="1" t="s">
        <v>4885</v>
      </c>
      <c r="I322" s="1" t="s">
        <v>4888</v>
      </c>
      <c r="J322" s="1" t="s">
        <v>4892</v>
      </c>
      <c r="K322" s="7">
        <f t="shared" si="2"/>
        <v>-0.004867513378</v>
      </c>
      <c r="L322" s="7">
        <v>-0.003974866847726905</v>
      </c>
      <c r="M322" s="1">
        <f t="shared" si="1"/>
        <v>2548350</v>
      </c>
    </row>
    <row r="323">
      <c r="A323" s="9">
        <v>45980.0</v>
      </c>
      <c r="B323" s="4">
        <v>3097.0</v>
      </c>
      <c r="C323" s="4">
        <v>3155.0</v>
      </c>
      <c r="D323" s="4">
        <v>3083.5</v>
      </c>
      <c r="E323" s="4">
        <v>3147.0</v>
      </c>
      <c r="F323" s="4">
        <v>3147.7</v>
      </c>
      <c r="G323" s="4">
        <v>3136.67</v>
      </c>
      <c r="H323" s="1" t="s">
        <v>4897</v>
      </c>
      <c r="I323" s="1" t="s">
        <v>4898</v>
      </c>
      <c r="J323" s="1" t="s">
        <v>4901</v>
      </c>
      <c r="K323" s="7">
        <f t="shared" si="2"/>
        <v>0.01963007353</v>
      </c>
      <c r="L323" s="7">
        <v>0.005503655917298584</v>
      </c>
      <c r="M323" s="1">
        <f t="shared" si="1"/>
        <v>3151053</v>
      </c>
    </row>
    <row r="324">
      <c r="A324" s="9">
        <v>45981.0</v>
      </c>
      <c r="B324" s="4">
        <v>3148.0</v>
      </c>
      <c r="C324" s="4">
        <v>3164.5</v>
      </c>
      <c r="D324" s="4">
        <v>3138.1</v>
      </c>
      <c r="E324" s="4">
        <v>3149.8</v>
      </c>
      <c r="F324" s="4">
        <v>3144.8</v>
      </c>
      <c r="G324" s="4">
        <v>3152.05</v>
      </c>
      <c r="H324" s="1" t="s">
        <v>4908</v>
      </c>
      <c r="I324" s="1" t="s">
        <v>4910</v>
      </c>
      <c r="J324" s="1" t="s">
        <v>4911</v>
      </c>
      <c r="K324" s="7">
        <f t="shared" si="2"/>
        <v>-0.0009213076214</v>
      </c>
      <c r="L324" s="7">
        <v>0.00535454166850589</v>
      </c>
      <c r="M324" s="1">
        <f t="shared" si="1"/>
        <v>2700767</v>
      </c>
    </row>
    <row r="325">
      <c r="A325" s="9">
        <v>45982.0</v>
      </c>
      <c r="B325" s="4">
        <v>3144.8</v>
      </c>
      <c r="C325" s="4">
        <v>3170.0</v>
      </c>
      <c r="D325" s="4">
        <v>3135.2</v>
      </c>
      <c r="E325" s="4">
        <v>3150.0</v>
      </c>
      <c r="F325" s="4">
        <v>3150.6</v>
      </c>
      <c r="G325" s="4">
        <v>3153.22</v>
      </c>
      <c r="H325" s="1" t="s">
        <v>4920</v>
      </c>
      <c r="I325" s="1" t="s">
        <v>4922</v>
      </c>
      <c r="J325" s="1" t="s">
        <v>4923</v>
      </c>
      <c r="K325" s="7">
        <f t="shared" si="2"/>
        <v>0.001844314424</v>
      </c>
      <c r="L325" s="7">
        <v>-0.004734242893385995</v>
      </c>
      <c r="M325" s="1">
        <f t="shared" si="1"/>
        <v>4177037</v>
      </c>
    </row>
    <row r="326">
      <c r="A326" s="9">
        <v>45985.0</v>
      </c>
      <c r="B326" s="4">
        <v>3158.0</v>
      </c>
      <c r="C326" s="4">
        <v>3178.9</v>
      </c>
      <c r="D326" s="4">
        <v>3131.0</v>
      </c>
      <c r="E326" s="4">
        <v>3134.0</v>
      </c>
      <c r="F326" s="4">
        <v>3141.2</v>
      </c>
      <c r="G326" s="4">
        <v>3151.71</v>
      </c>
      <c r="H326" s="1" t="s">
        <v>4932</v>
      </c>
      <c r="I326" s="1" t="s">
        <v>4934</v>
      </c>
      <c r="J326" s="1" t="s">
        <v>4935</v>
      </c>
      <c r="K326" s="7">
        <f t="shared" si="2"/>
        <v>-0.002983558687</v>
      </c>
      <c r="L326" s="7">
        <v>-0.004167921390662607</v>
      </c>
      <c r="M326" s="1">
        <f t="shared" si="1"/>
        <v>6703764</v>
      </c>
    </row>
    <row r="327">
      <c r="A327" s="9">
        <v>45986.0</v>
      </c>
      <c r="B327" s="4">
        <v>3145.3</v>
      </c>
      <c r="C327" s="4">
        <v>3149.8</v>
      </c>
      <c r="D327" s="4">
        <v>3115.0</v>
      </c>
      <c r="E327" s="4">
        <v>3115.7</v>
      </c>
      <c r="F327" s="4">
        <v>3119.2</v>
      </c>
      <c r="G327" s="4">
        <v>3127.55</v>
      </c>
      <c r="H327" s="1" t="s">
        <v>4945</v>
      </c>
      <c r="I327" s="1" t="s">
        <v>4946</v>
      </c>
      <c r="J327" s="1" t="s">
        <v>4947</v>
      </c>
      <c r="K327" s="7">
        <f t="shared" si="2"/>
        <v>-0.007003692856</v>
      </c>
      <c r="L327" s="7">
        <v>-0.0028775592750245856</v>
      </c>
      <c r="M327" s="1">
        <f t="shared" si="1"/>
        <v>2737920</v>
      </c>
    </row>
    <row r="328">
      <c r="A328" s="9">
        <v>45987.0</v>
      </c>
      <c r="B328" s="4">
        <v>3118.8</v>
      </c>
      <c r="C328" s="4">
        <v>3178.0</v>
      </c>
      <c r="D328" s="4">
        <v>3117.0</v>
      </c>
      <c r="E328" s="4">
        <v>3162.9</v>
      </c>
      <c r="F328" s="4">
        <v>3162.9</v>
      </c>
      <c r="G328" s="4">
        <v>3157.95</v>
      </c>
      <c r="H328" s="1" t="s">
        <v>4957</v>
      </c>
      <c r="I328" s="1" t="s">
        <v>4959</v>
      </c>
      <c r="J328" s="1" t="s">
        <v>4962</v>
      </c>
      <c r="K328" s="7">
        <f t="shared" si="2"/>
        <v>0.01401000256</v>
      </c>
      <c r="L328" s="7">
        <v>0.012381783904067252</v>
      </c>
      <c r="M328" s="1">
        <f t="shared" si="1"/>
        <v>2508527</v>
      </c>
    </row>
    <row r="329">
      <c r="A329" s="9">
        <v>45988.0</v>
      </c>
      <c r="B329" s="4">
        <v>3180.0</v>
      </c>
      <c r="C329" s="4">
        <v>3180.0</v>
      </c>
      <c r="D329" s="4">
        <v>3125.0</v>
      </c>
      <c r="E329" s="4">
        <v>3134.0</v>
      </c>
      <c r="F329" s="4">
        <v>3136.6</v>
      </c>
      <c r="G329" s="4">
        <v>3142.97</v>
      </c>
      <c r="H329" s="1" t="s">
        <v>4974</v>
      </c>
      <c r="I329" s="1" t="s">
        <v>4977</v>
      </c>
      <c r="J329" s="1" t="s">
        <v>4980</v>
      </c>
      <c r="K329" s="7">
        <f t="shared" si="2"/>
        <v>-0.008315153815</v>
      </c>
      <c r="L329" s="7">
        <v>3.9114224985022116E-4</v>
      </c>
      <c r="M329" s="1">
        <f t="shared" si="1"/>
        <v>2836233</v>
      </c>
    </row>
    <row r="330">
      <c r="A330" s="9">
        <v>45989.0</v>
      </c>
      <c r="B330" s="4">
        <v>3140.0</v>
      </c>
      <c r="C330" s="4">
        <v>3147.3</v>
      </c>
      <c r="D330" s="4">
        <v>3125.0</v>
      </c>
      <c r="E330" s="4">
        <v>3135.9</v>
      </c>
      <c r="F330" s="4">
        <v>3137.5</v>
      </c>
      <c r="G330" s="4">
        <v>3137.82</v>
      </c>
      <c r="H330" s="1" t="s">
        <v>4990</v>
      </c>
      <c r="I330" s="1" t="s">
        <v>4991</v>
      </c>
      <c r="J330" s="11">
        <v>79463.0</v>
      </c>
      <c r="K330" s="7">
        <f t="shared" si="2"/>
        <v>0.0002869348977</v>
      </c>
      <c r="L330" s="7">
        <v>-4.806307706684981E-4</v>
      </c>
      <c r="M330" s="1">
        <f t="shared" si="1"/>
        <v>1616690</v>
      </c>
    </row>
    <row r="331">
      <c r="A331" s="3">
        <v>45992.0</v>
      </c>
      <c r="B331" s="4">
        <v>3137.9</v>
      </c>
      <c r="C331" s="4">
        <v>3154.0</v>
      </c>
      <c r="D331" s="4">
        <v>3122.2</v>
      </c>
      <c r="E331" s="4">
        <v>3138.0</v>
      </c>
      <c r="F331" s="4">
        <v>3133.4</v>
      </c>
      <c r="G331" s="4">
        <v>3133.29</v>
      </c>
      <c r="H331" s="1" t="s">
        <v>5004</v>
      </c>
      <c r="I331" s="1" t="s">
        <v>5005</v>
      </c>
      <c r="J331" s="1" t="s">
        <v>5006</v>
      </c>
      <c r="K331" s="7">
        <f t="shared" si="2"/>
        <v>-0.001306772908</v>
      </c>
      <c r="L331" s="7">
        <v>-0.001038051059136499</v>
      </c>
      <c r="M331" s="1">
        <f t="shared" si="1"/>
        <v>1747647</v>
      </c>
    </row>
    <row r="332">
      <c r="A332" s="3">
        <v>45993.0</v>
      </c>
      <c r="B332" s="4">
        <v>3131.0</v>
      </c>
      <c r="C332" s="4">
        <v>3144.0</v>
      </c>
      <c r="D332" s="4">
        <v>3120.4</v>
      </c>
      <c r="E332" s="4">
        <v>3137.5</v>
      </c>
      <c r="F332" s="4">
        <v>3135.7</v>
      </c>
      <c r="G332" s="4">
        <v>3133.36</v>
      </c>
      <c r="H332" s="1" t="s">
        <v>5017</v>
      </c>
      <c r="I332" s="1" t="s">
        <v>5019</v>
      </c>
      <c r="J332" s="1" t="s">
        <v>5021</v>
      </c>
      <c r="K332" s="7">
        <f t="shared" si="2"/>
        <v>0.0007340269356</v>
      </c>
      <c r="L332" s="7">
        <v>-0.005484083550614568</v>
      </c>
      <c r="M332" s="1">
        <f t="shared" si="1"/>
        <v>2512003</v>
      </c>
    </row>
    <row r="333">
      <c r="A333" s="3">
        <v>45994.0</v>
      </c>
      <c r="B333" s="4">
        <v>3140.0</v>
      </c>
      <c r="C333" s="4">
        <v>3211.9</v>
      </c>
      <c r="D333" s="4">
        <v>3139.0</v>
      </c>
      <c r="E333" s="4">
        <v>3180.0</v>
      </c>
      <c r="F333" s="4">
        <v>3180.0</v>
      </c>
      <c r="G333" s="4">
        <v>3185.48</v>
      </c>
      <c r="H333" s="1" t="s">
        <v>5031</v>
      </c>
      <c r="I333" s="1" t="s">
        <v>5032</v>
      </c>
      <c r="J333" s="1" t="s">
        <v>5033</v>
      </c>
      <c r="K333" s="7">
        <f t="shared" si="2"/>
        <v>0.01412762701</v>
      </c>
      <c r="L333" s="7">
        <v>-0.00177472514808586</v>
      </c>
      <c r="M333" s="1">
        <f t="shared" si="1"/>
        <v>3952112</v>
      </c>
    </row>
    <row r="334">
      <c r="A334" s="3">
        <v>45995.0</v>
      </c>
      <c r="B334" s="4">
        <v>3194.0</v>
      </c>
      <c r="C334" s="4">
        <v>3250.0</v>
      </c>
      <c r="D334" s="4">
        <v>3187.4</v>
      </c>
      <c r="E334" s="4">
        <v>3227.0</v>
      </c>
      <c r="F334" s="4">
        <v>3229.2</v>
      </c>
      <c r="G334" s="4">
        <v>3231.21</v>
      </c>
      <c r="H334" s="1" t="s">
        <v>5041</v>
      </c>
      <c r="I334" s="1" t="s">
        <v>5043</v>
      </c>
      <c r="J334" s="1" t="s">
        <v>5045</v>
      </c>
      <c r="K334" s="7">
        <f t="shared" si="2"/>
        <v>0.01547169811</v>
      </c>
      <c r="L334" s="7">
        <v>0.0018375278996382667</v>
      </c>
      <c r="M334" s="1">
        <f t="shared" si="1"/>
        <v>5025905</v>
      </c>
    </row>
    <row r="335">
      <c r="A335" s="3">
        <v>45996.0</v>
      </c>
      <c r="B335" s="4">
        <v>3230.0</v>
      </c>
      <c r="C335" s="4">
        <v>3271.6</v>
      </c>
      <c r="D335" s="4">
        <v>3222.4</v>
      </c>
      <c r="E335" s="4">
        <v>3241.0</v>
      </c>
      <c r="F335" s="4">
        <v>3238.2</v>
      </c>
      <c r="G335" s="4">
        <v>3246.03</v>
      </c>
      <c r="H335" s="1" t="s">
        <v>5052</v>
      </c>
      <c r="I335" s="1" t="s">
        <v>5053</v>
      </c>
      <c r="J335" s="1" t="s">
        <v>5054</v>
      </c>
      <c r="K335" s="7">
        <f t="shared" si="2"/>
        <v>0.002787068004</v>
      </c>
      <c r="L335" s="7">
        <v>0.005865463100782666</v>
      </c>
      <c r="M335" s="1">
        <f t="shared" si="1"/>
        <v>5244013</v>
      </c>
    </row>
    <row r="336">
      <c r="A336" s="3">
        <v>45999.0</v>
      </c>
      <c r="B336" s="4">
        <v>3243.0</v>
      </c>
      <c r="C336" s="4">
        <v>3259.9</v>
      </c>
      <c r="D336" s="4">
        <v>3208.6</v>
      </c>
      <c r="E336" s="4">
        <v>3237.9</v>
      </c>
      <c r="F336" s="4">
        <v>3236.5</v>
      </c>
      <c r="G336" s="4">
        <v>3236.92</v>
      </c>
      <c r="H336" s="1" t="s">
        <v>5061</v>
      </c>
      <c r="I336" s="1" t="s">
        <v>5062</v>
      </c>
      <c r="J336" s="1" t="s">
        <v>5063</v>
      </c>
      <c r="K336" s="7">
        <f t="shared" si="2"/>
        <v>-0.0005249830153</v>
      </c>
      <c r="L336" s="7">
        <v>-0.0086265988707901</v>
      </c>
      <c r="M336" s="1">
        <f t="shared" si="1"/>
        <v>2544725</v>
      </c>
    </row>
    <row r="337">
      <c r="A337" s="3">
        <v>46000.0</v>
      </c>
      <c r="B337" s="4">
        <v>3230.0</v>
      </c>
      <c r="C337" s="4">
        <v>3233.7</v>
      </c>
      <c r="D337" s="4">
        <v>3181.2</v>
      </c>
      <c r="E337" s="4">
        <v>3208.0</v>
      </c>
      <c r="F337" s="4">
        <v>3208.3</v>
      </c>
      <c r="G337" s="4">
        <v>3201.08</v>
      </c>
      <c r="H337" s="1" t="s">
        <v>5070</v>
      </c>
      <c r="I337" s="1" t="s">
        <v>5071</v>
      </c>
      <c r="J337" s="1" t="s">
        <v>5072</v>
      </c>
      <c r="K337" s="7">
        <f t="shared" si="2"/>
        <v>-0.00871311602</v>
      </c>
      <c r="L337" s="7">
        <v>-0.0046570662023723616</v>
      </c>
      <c r="M337" s="1">
        <f t="shared" si="1"/>
        <v>2734893</v>
      </c>
    </row>
    <row r="338">
      <c r="A338" s="9">
        <v>46001.0</v>
      </c>
      <c r="B338" s="4">
        <v>3225.0</v>
      </c>
      <c r="C338" s="4">
        <v>3225.0</v>
      </c>
      <c r="D338" s="4">
        <v>3178.1</v>
      </c>
      <c r="E338" s="4">
        <v>3185.0</v>
      </c>
      <c r="F338" s="4">
        <v>3189.2</v>
      </c>
      <c r="G338" s="4">
        <v>3191.56</v>
      </c>
      <c r="H338" s="1" t="s">
        <v>5079</v>
      </c>
      <c r="I338" s="1" t="s">
        <v>5080</v>
      </c>
      <c r="J338" s="11">
        <v>82261.0</v>
      </c>
      <c r="K338" s="7">
        <f t="shared" si="2"/>
        <v>-0.005953308606</v>
      </c>
      <c r="L338" s="7">
        <v>-0.003159872521493188</v>
      </c>
      <c r="M338" s="1">
        <f t="shared" si="1"/>
        <v>1386849</v>
      </c>
    </row>
    <row r="339">
      <c r="A339" s="9">
        <v>46002.0</v>
      </c>
      <c r="B339" s="4">
        <v>3205.0</v>
      </c>
      <c r="C339" s="4">
        <v>3208.4</v>
      </c>
      <c r="D339" s="4">
        <v>3153.1</v>
      </c>
      <c r="E339" s="4">
        <v>3193.9</v>
      </c>
      <c r="F339" s="4">
        <v>3191.9</v>
      </c>
      <c r="G339" s="4">
        <v>3184.35</v>
      </c>
      <c r="H339" s="1" t="s">
        <v>5087</v>
      </c>
      <c r="I339" s="1" t="s">
        <v>5088</v>
      </c>
      <c r="J339" s="1" t="s">
        <v>5089</v>
      </c>
      <c r="K339" s="7">
        <f t="shared" si="2"/>
        <v>0.0008466072996</v>
      </c>
      <c r="L339" s="7">
        <v>0.0054565571861169065</v>
      </c>
      <c r="M339" s="1">
        <f t="shared" si="1"/>
        <v>1914362</v>
      </c>
    </row>
    <row r="340">
      <c r="A340" s="9">
        <v>46003.0</v>
      </c>
      <c r="B340" s="4">
        <v>3197.7</v>
      </c>
      <c r="C340" s="4">
        <v>3223.0</v>
      </c>
      <c r="D340" s="4">
        <v>3185.7</v>
      </c>
      <c r="E340" s="4">
        <v>3220.1</v>
      </c>
      <c r="F340" s="4">
        <v>3220.5</v>
      </c>
      <c r="G340" s="4">
        <v>3209.12</v>
      </c>
      <c r="H340" s="1" t="s">
        <v>5096</v>
      </c>
      <c r="I340" s="1" t="s">
        <v>5097</v>
      </c>
      <c r="J340" s="11">
        <v>83968.0</v>
      </c>
      <c r="K340" s="7">
        <f t="shared" si="2"/>
        <v>0.008960180457</v>
      </c>
      <c r="L340" s="7">
        <v>0.005730050524064145</v>
      </c>
      <c r="M340" s="1">
        <f t="shared" si="1"/>
        <v>1146554</v>
      </c>
    </row>
    <row r="341">
      <c r="A341" s="9">
        <v>46006.0</v>
      </c>
      <c r="B341" s="4">
        <v>3211.1</v>
      </c>
      <c r="C341" s="4">
        <v>3238.2</v>
      </c>
      <c r="D341" s="4">
        <v>3197.3</v>
      </c>
      <c r="E341" s="4">
        <v>3227.0</v>
      </c>
      <c r="F341" s="4">
        <v>3230.2</v>
      </c>
      <c r="G341" s="4">
        <v>3220.97</v>
      </c>
      <c r="H341" s="1" t="s">
        <v>5105</v>
      </c>
      <c r="I341" s="1" t="s">
        <v>5107</v>
      </c>
      <c r="J341" s="1" t="s">
        <v>5109</v>
      </c>
      <c r="K341" s="7">
        <f t="shared" si="2"/>
        <v>0.003011954665</v>
      </c>
      <c r="L341" s="7">
        <v>-7.544069459188679E-4</v>
      </c>
      <c r="M341" s="1">
        <f t="shared" si="1"/>
        <v>1562190</v>
      </c>
    </row>
    <row r="342">
      <c r="A342" s="9">
        <v>46007.0</v>
      </c>
      <c r="B342" s="4">
        <v>3220.0</v>
      </c>
      <c r="C342" s="4">
        <v>3220.0</v>
      </c>
      <c r="D342" s="4">
        <v>3191.1</v>
      </c>
      <c r="E342" s="4">
        <v>3206.6</v>
      </c>
      <c r="F342" s="4">
        <v>3205.1</v>
      </c>
      <c r="G342" s="4">
        <v>3204.68</v>
      </c>
      <c r="H342" s="1" t="s">
        <v>5115</v>
      </c>
      <c r="I342" s="1" t="s">
        <v>5116</v>
      </c>
      <c r="J342" s="11">
        <v>97265.0</v>
      </c>
      <c r="K342" s="7">
        <f t="shared" si="2"/>
        <v>-0.007770416692</v>
      </c>
      <c r="L342" s="7">
        <v>-0.006424024005563417</v>
      </c>
      <c r="M342" s="1">
        <f t="shared" si="1"/>
        <v>1734623</v>
      </c>
    </row>
    <row r="343">
      <c r="A343" s="9">
        <v>46008.0</v>
      </c>
      <c r="B343" s="4">
        <v>3200.5</v>
      </c>
      <c r="C343" s="4">
        <v>3236.9</v>
      </c>
      <c r="D343" s="4">
        <v>3200.5</v>
      </c>
      <c r="E343" s="4">
        <v>3217.8</v>
      </c>
      <c r="F343" s="4">
        <v>3217.8</v>
      </c>
      <c r="G343" s="4">
        <v>3218.6</v>
      </c>
      <c r="H343" s="1" t="s">
        <v>5123</v>
      </c>
      <c r="I343" s="1" t="s">
        <v>5125</v>
      </c>
      <c r="J343" s="11">
        <v>88357.0</v>
      </c>
      <c r="K343" s="7">
        <f t="shared" si="2"/>
        <v>0.003962434869</v>
      </c>
      <c r="L343" s="7">
        <v>-0.0016067223251263248</v>
      </c>
      <c r="M343" s="1">
        <f t="shared" si="1"/>
        <v>1376350</v>
      </c>
    </row>
    <row r="344">
      <c r="A344" s="9">
        <v>46009.0</v>
      </c>
      <c r="B344" s="4">
        <v>3228.0</v>
      </c>
      <c r="C344" s="4">
        <v>3287.8</v>
      </c>
      <c r="D344" s="4">
        <v>3221.0</v>
      </c>
      <c r="E344" s="4">
        <v>3281.2</v>
      </c>
      <c r="F344" s="4">
        <v>3280.8</v>
      </c>
      <c r="G344" s="4">
        <v>3260.45</v>
      </c>
      <c r="H344" s="1" t="s">
        <v>5130</v>
      </c>
      <c r="I344" s="1" t="s">
        <v>5132</v>
      </c>
      <c r="J344" s="1" t="s">
        <v>5133</v>
      </c>
      <c r="K344" s="7">
        <f t="shared" si="2"/>
        <v>0.01957859407</v>
      </c>
      <c r="L344" s="7">
        <v>-1.1619552608492731E-4</v>
      </c>
      <c r="M344" s="1">
        <f t="shared" si="1"/>
        <v>2307422</v>
      </c>
    </row>
    <row r="345">
      <c r="A345" s="9">
        <v>46010.0</v>
      </c>
      <c r="B345" s="4">
        <v>3299.0</v>
      </c>
      <c r="C345" s="4">
        <v>3317.9</v>
      </c>
      <c r="D345" s="4">
        <v>3278.8</v>
      </c>
      <c r="E345" s="4">
        <v>3285.0</v>
      </c>
      <c r="F345" s="4">
        <v>3282.0</v>
      </c>
      <c r="G345" s="4">
        <v>3295.0</v>
      </c>
      <c r="H345" s="1" t="s">
        <v>5138</v>
      </c>
      <c r="I345" s="1" t="s">
        <v>5139</v>
      </c>
      <c r="J345" s="1" t="s">
        <v>5140</v>
      </c>
      <c r="K345" s="7">
        <f t="shared" si="2"/>
        <v>0.0003657644477</v>
      </c>
      <c r="L345" s="7">
        <v>0.005843377344275143</v>
      </c>
      <c r="M345" s="1">
        <f t="shared" si="1"/>
        <v>3902511</v>
      </c>
    </row>
    <row r="346">
      <c r="A346" s="9">
        <v>46013.0</v>
      </c>
      <c r="B346" s="4">
        <v>3310.0</v>
      </c>
      <c r="C346" s="4">
        <v>3328.6</v>
      </c>
      <c r="D346" s="4">
        <v>3291.0</v>
      </c>
      <c r="E346" s="4">
        <v>3324.9</v>
      </c>
      <c r="F346" s="4">
        <v>3324.9</v>
      </c>
      <c r="G346" s="4">
        <v>3314.14</v>
      </c>
      <c r="H346" s="1" t="s">
        <v>5144</v>
      </c>
      <c r="I346" s="1" t="s">
        <v>5145</v>
      </c>
      <c r="J346" s="1" t="s">
        <v>5146</v>
      </c>
      <c r="K346" s="7">
        <f t="shared" si="2"/>
        <v>0.01307129799</v>
      </c>
      <c r="L346" s="7">
        <v>0.007933329225460594</v>
      </c>
      <c r="M346" s="1">
        <f t="shared" si="1"/>
        <v>2632816</v>
      </c>
    </row>
    <row r="347">
      <c r="A347" s="9">
        <v>46014.0</v>
      </c>
      <c r="B347" s="4">
        <v>3319.9</v>
      </c>
      <c r="C347" s="4">
        <v>3319.9</v>
      </c>
      <c r="D347" s="4">
        <v>3293.5</v>
      </c>
      <c r="E347" s="4">
        <v>3305.1</v>
      </c>
      <c r="F347" s="4">
        <v>3310.0</v>
      </c>
      <c r="G347" s="4">
        <v>3304.76</v>
      </c>
      <c r="H347" s="1" t="s">
        <v>5151</v>
      </c>
      <c r="I347" s="1" t="s">
        <v>5152</v>
      </c>
      <c r="J347" s="1" t="s">
        <v>5153</v>
      </c>
      <c r="K347" s="7">
        <f t="shared" si="2"/>
        <v>-0.004481337785</v>
      </c>
      <c r="L347" s="7">
        <v>1.8148889670034082E-4</v>
      </c>
      <c r="M347" s="1">
        <f t="shared" si="1"/>
        <v>2365420</v>
      </c>
    </row>
    <row r="348">
      <c r="A348" s="9">
        <v>46015.0</v>
      </c>
      <c r="B348" s="4">
        <v>3304.1</v>
      </c>
      <c r="C348" s="4">
        <v>3327.1</v>
      </c>
      <c r="D348" s="4">
        <v>3296.1</v>
      </c>
      <c r="E348" s="4">
        <v>3313.1</v>
      </c>
      <c r="F348" s="4">
        <v>3319.0</v>
      </c>
      <c r="G348" s="4">
        <v>3312.41</v>
      </c>
      <c r="H348" s="1" t="s">
        <v>5159</v>
      </c>
      <c r="I348" s="1" t="s">
        <v>5161</v>
      </c>
      <c r="J348" s="11">
        <v>84873.0</v>
      </c>
      <c r="K348" s="7">
        <f t="shared" si="2"/>
        <v>0.002719033233</v>
      </c>
      <c r="L348" s="7">
        <v>-0.0013389540114184665</v>
      </c>
      <c r="M348" s="1">
        <f t="shared" si="1"/>
        <v>1367708</v>
      </c>
    </row>
    <row r="349">
      <c r="A349" s="9">
        <v>46017.0</v>
      </c>
      <c r="B349" s="4">
        <v>3313.1</v>
      </c>
      <c r="C349" s="4">
        <v>3320.0</v>
      </c>
      <c r="D349" s="4">
        <v>3271.8</v>
      </c>
      <c r="E349" s="4">
        <v>3276.8</v>
      </c>
      <c r="F349" s="4">
        <v>3280.0</v>
      </c>
      <c r="G349" s="4">
        <v>3287.91</v>
      </c>
      <c r="H349" s="1" t="s">
        <v>5169</v>
      </c>
      <c r="I349" s="1" t="s">
        <v>5171</v>
      </c>
      <c r="J349" s="11">
        <v>89363.0</v>
      </c>
      <c r="K349" s="7">
        <f t="shared" si="2"/>
        <v>-0.01175052727</v>
      </c>
      <c r="L349" s="7">
        <v>-0.003817596903079679</v>
      </c>
      <c r="M349" s="1">
        <f t="shared" si="1"/>
        <v>1176664</v>
      </c>
    </row>
    <row r="350">
      <c r="A350" s="9">
        <v>46020.0</v>
      </c>
      <c r="B350" s="4">
        <v>3280.0</v>
      </c>
      <c r="C350" s="4">
        <v>3288.0</v>
      </c>
      <c r="D350" s="4">
        <v>3242.9</v>
      </c>
      <c r="E350" s="4">
        <v>3256.0</v>
      </c>
      <c r="F350" s="4">
        <v>3251.5</v>
      </c>
      <c r="G350" s="4">
        <v>3254.98</v>
      </c>
      <c r="H350" s="1" t="s">
        <v>5178</v>
      </c>
      <c r="I350" s="1" t="s">
        <v>5179</v>
      </c>
      <c r="J350" s="1" t="s">
        <v>5180</v>
      </c>
      <c r="K350" s="7">
        <f t="shared" si="2"/>
        <v>-0.00868902439</v>
      </c>
      <c r="L350" s="7">
        <v>-0.003847586426698131</v>
      </c>
      <c r="M350" s="1">
        <f t="shared" si="1"/>
        <v>2079473</v>
      </c>
    </row>
    <row r="351">
      <c r="A351" s="9">
        <v>46021.0</v>
      </c>
      <c r="B351" s="4">
        <v>3250.0</v>
      </c>
      <c r="C351" s="4">
        <v>3267.5</v>
      </c>
      <c r="D351" s="4">
        <v>3239.5</v>
      </c>
      <c r="E351" s="4">
        <v>3255.0</v>
      </c>
      <c r="F351" s="4">
        <v>3246.8</v>
      </c>
      <c r="G351" s="4">
        <v>3250.64</v>
      </c>
      <c r="H351" s="1" t="s">
        <v>5187</v>
      </c>
      <c r="I351" s="1" t="s">
        <v>5188</v>
      </c>
      <c r="J351" s="1" t="s">
        <v>5189</v>
      </c>
      <c r="K351" s="7">
        <f t="shared" si="2"/>
        <v>-0.001445486698</v>
      </c>
      <c r="L351" s="7">
        <v>-1.252789866664611E-4</v>
      </c>
      <c r="M351" s="1">
        <f t="shared" si="1"/>
        <v>2807593</v>
      </c>
    </row>
    <row r="352">
      <c r="A352" s="9">
        <v>46022.0</v>
      </c>
      <c r="B352" s="4">
        <v>3240.0</v>
      </c>
      <c r="C352" s="4">
        <v>3246.0</v>
      </c>
      <c r="D352" s="4">
        <v>3198.5</v>
      </c>
      <c r="E352" s="4">
        <v>3210.0</v>
      </c>
      <c r="F352" s="4">
        <v>3206.2</v>
      </c>
      <c r="G352" s="4">
        <v>3216.08</v>
      </c>
      <c r="H352" s="1" t="s">
        <v>5196</v>
      </c>
      <c r="I352" s="1" t="s">
        <v>5197</v>
      </c>
      <c r="J352" s="1" t="s">
        <v>5198</v>
      </c>
      <c r="K352" s="7">
        <f t="shared" si="2"/>
        <v>-0.01250461993</v>
      </c>
      <c r="L352" s="7">
        <v>0.007353834113694324</v>
      </c>
      <c r="M352" s="1">
        <f t="shared" si="1"/>
        <v>3362634</v>
      </c>
    </row>
    <row r="353">
      <c r="A353" s="3">
        <v>46023.0</v>
      </c>
      <c r="B353" s="4">
        <v>3215.0</v>
      </c>
      <c r="C353" s="4">
        <v>3234.1</v>
      </c>
      <c r="D353" s="4">
        <v>3198.2</v>
      </c>
      <c r="E353" s="4">
        <v>3225.0</v>
      </c>
      <c r="F353" s="4">
        <v>3227.4</v>
      </c>
      <c r="G353" s="4">
        <v>3219.97</v>
      </c>
      <c r="H353" s="1" t="s">
        <v>5207</v>
      </c>
      <c r="I353" s="1" t="s">
        <v>5209</v>
      </c>
      <c r="J353" s="11">
        <v>56642.0</v>
      </c>
      <c r="K353" s="7">
        <f t="shared" si="2"/>
        <v>0.006612188884</v>
      </c>
      <c r="L353" s="7">
        <v>6.486896087196409E-4</v>
      </c>
      <c r="M353" s="1">
        <f t="shared" si="1"/>
        <v>1255735</v>
      </c>
    </row>
    <row r="354">
      <c r="A354" s="3">
        <v>46024.0</v>
      </c>
      <c r="B354" s="4">
        <v>3234.0</v>
      </c>
      <c r="C354" s="4">
        <v>3254.3</v>
      </c>
      <c r="D354" s="4">
        <v>3219.5</v>
      </c>
      <c r="E354" s="4">
        <v>3245.7</v>
      </c>
      <c r="F354" s="4">
        <v>3250.7</v>
      </c>
      <c r="G354" s="4">
        <v>3241.1</v>
      </c>
      <c r="H354" s="1" t="s">
        <v>5217</v>
      </c>
      <c r="I354" s="1" t="s">
        <v>5219</v>
      </c>
      <c r="J354" s="11">
        <v>63356.0</v>
      </c>
      <c r="K354" s="7">
        <f t="shared" si="2"/>
        <v>0.0072194336</v>
      </c>
      <c r="L354" s="7">
        <v>0.006960765378223896</v>
      </c>
      <c r="M354" s="1">
        <f t="shared" si="1"/>
        <v>1184324</v>
      </c>
    </row>
    <row r="355">
      <c r="A355" s="3">
        <v>46027.0</v>
      </c>
      <c r="B355" s="4">
        <v>3240.5</v>
      </c>
      <c r="C355" s="4">
        <v>3247.0</v>
      </c>
      <c r="D355" s="4">
        <v>3191.0</v>
      </c>
      <c r="E355" s="4">
        <v>3213.0</v>
      </c>
      <c r="F355" s="4">
        <v>3216.1</v>
      </c>
      <c r="G355" s="4">
        <v>3220.21</v>
      </c>
      <c r="H355" s="1" t="s">
        <v>5227</v>
      </c>
      <c r="I355" s="1" t="s">
        <v>5228</v>
      </c>
      <c r="J355" s="1" t="s">
        <v>5229</v>
      </c>
      <c r="K355" s="7">
        <f t="shared" si="2"/>
        <v>-0.01064386132</v>
      </c>
      <c r="L355" s="7">
        <v>-0.0029720588486642826</v>
      </c>
      <c r="M355" s="1">
        <f t="shared" si="1"/>
        <v>2341703</v>
      </c>
    </row>
    <row r="356">
      <c r="A356" s="3">
        <v>46028.0</v>
      </c>
      <c r="B356" s="4">
        <v>3210.0</v>
      </c>
      <c r="C356" s="4">
        <v>3263.2</v>
      </c>
      <c r="D356" s="4">
        <v>3205.0</v>
      </c>
      <c r="E356" s="4">
        <v>3256.8</v>
      </c>
      <c r="F356" s="4">
        <v>3255.8</v>
      </c>
      <c r="G356" s="4">
        <v>3242.4</v>
      </c>
      <c r="H356" s="1" t="s">
        <v>5236</v>
      </c>
      <c r="I356" s="1" t="s">
        <v>5237</v>
      </c>
      <c r="J356" s="1" t="s">
        <v>5238</v>
      </c>
      <c r="K356" s="7">
        <f t="shared" si="2"/>
        <v>0.01234414353</v>
      </c>
      <c r="L356" s="7">
        <v>-0.002727587875186133</v>
      </c>
      <c r="M356" s="1">
        <f t="shared" si="1"/>
        <v>2912325</v>
      </c>
    </row>
    <row r="357">
      <c r="A357" s="3">
        <v>46029.0</v>
      </c>
      <c r="B357" s="4">
        <v>3242.9</v>
      </c>
      <c r="C357" s="4">
        <v>3300.6</v>
      </c>
      <c r="D357" s="4">
        <v>3223.2</v>
      </c>
      <c r="E357" s="4">
        <v>3294.0</v>
      </c>
      <c r="F357" s="4">
        <v>3295.6</v>
      </c>
      <c r="G357" s="4">
        <v>3284.64</v>
      </c>
      <c r="H357" s="1" t="s">
        <v>5245</v>
      </c>
      <c r="I357" s="1" t="s">
        <v>5246</v>
      </c>
      <c r="J357" s="11">
        <v>87338.0</v>
      </c>
      <c r="K357" s="7">
        <f t="shared" si="2"/>
        <v>0.0122243381</v>
      </c>
      <c r="L357" s="7">
        <v>-0.0014496518161711898</v>
      </c>
      <c r="M357" s="1">
        <f t="shared" si="1"/>
        <v>1989442</v>
      </c>
    </row>
    <row r="358">
      <c r="A358" s="3">
        <v>46030.0</v>
      </c>
      <c r="B358" s="4">
        <v>3286.9</v>
      </c>
      <c r="C358" s="4">
        <v>3286.9</v>
      </c>
      <c r="D358" s="4">
        <v>3182.0</v>
      </c>
      <c r="E358" s="4">
        <v>3196.0</v>
      </c>
      <c r="F358" s="4">
        <v>3203.9</v>
      </c>
      <c r="G358" s="4">
        <v>3211.48</v>
      </c>
      <c r="H358" s="1" t="s">
        <v>5253</v>
      </c>
      <c r="I358" s="1" t="s">
        <v>5254</v>
      </c>
      <c r="J358" s="1" t="s">
        <v>5255</v>
      </c>
      <c r="K358" s="7">
        <f t="shared" si="2"/>
        <v>-0.02782497876</v>
      </c>
      <c r="L358" s="7">
        <v>-0.01009534921530566</v>
      </c>
      <c r="M358" s="1">
        <f t="shared" si="1"/>
        <v>4159336</v>
      </c>
    </row>
    <row r="359">
      <c r="A359" s="3">
        <v>46031.0</v>
      </c>
      <c r="B359" s="4">
        <v>3191.0</v>
      </c>
      <c r="C359" s="4">
        <v>3229.7</v>
      </c>
      <c r="D359" s="4">
        <v>3191.0</v>
      </c>
      <c r="E359" s="4">
        <v>3212.6</v>
      </c>
      <c r="F359" s="4">
        <v>3207.8</v>
      </c>
      <c r="G359" s="4">
        <v>3209.44</v>
      </c>
      <c r="H359" s="1" t="s">
        <v>5261</v>
      </c>
      <c r="I359" s="1" t="s">
        <v>5263</v>
      </c>
      <c r="J359" s="1" t="s">
        <v>5264</v>
      </c>
      <c r="K359" s="7">
        <f t="shared" si="2"/>
        <v>0.001217266457</v>
      </c>
      <c r="L359" s="7">
        <v>-0.007479658459201923</v>
      </c>
      <c r="M359" s="1">
        <f t="shared" si="1"/>
        <v>1938673</v>
      </c>
    </row>
    <row r="360">
      <c r="A360" s="9">
        <v>46034.0</v>
      </c>
      <c r="B360" s="4">
        <v>3203.0</v>
      </c>
      <c r="C360" s="4">
        <v>3252.0</v>
      </c>
      <c r="D360" s="4">
        <v>3174.3</v>
      </c>
      <c r="E360" s="4">
        <v>3243.0</v>
      </c>
      <c r="F360" s="4">
        <v>3239.6</v>
      </c>
      <c r="G360" s="4">
        <v>3212.14</v>
      </c>
      <c r="H360" s="1" t="s">
        <v>5270</v>
      </c>
      <c r="I360" s="1" t="s">
        <v>5272</v>
      </c>
      <c r="J360" s="1" t="s">
        <v>5273</v>
      </c>
      <c r="K360" s="7">
        <f t="shared" si="2"/>
        <v>0.009913336243</v>
      </c>
      <c r="L360" s="7">
        <v>0.0041641845090000405</v>
      </c>
      <c r="M360" s="1">
        <f t="shared" si="1"/>
        <v>2228342</v>
      </c>
    </row>
    <row r="361">
      <c r="A361" s="9">
        <v>46035.0</v>
      </c>
      <c r="B361" s="4">
        <v>3245.0</v>
      </c>
      <c r="C361" s="4">
        <v>3280.0</v>
      </c>
      <c r="D361" s="4">
        <v>3210.5</v>
      </c>
      <c r="E361" s="4">
        <v>3263.0</v>
      </c>
      <c r="F361" s="4">
        <v>3268.0</v>
      </c>
      <c r="G361" s="4">
        <v>3251.44</v>
      </c>
      <c r="H361" s="1" t="s">
        <v>5280</v>
      </c>
      <c r="I361" s="1" t="s">
        <v>5281</v>
      </c>
      <c r="J361" s="1" t="s">
        <v>5282</v>
      </c>
      <c r="K361" s="7">
        <f t="shared" si="2"/>
        <v>0.008766514384</v>
      </c>
      <c r="L361" s="7">
        <v>-0.002246973177848246</v>
      </c>
      <c r="M361" s="1">
        <f t="shared" si="1"/>
        <v>5645341</v>
      </c>
    </row>
    <row r="362">
      <c r="A362" s="9">
        <v>46036.0</v>
      </c>
      <c r="B362" s="4">
        <v>3260.0</v>
      </c>
      <c r="C362" s="4">
        <v>3260.0</v>
      </c>
      <c r="D362" s="4">
        <v>3183.0</v>
      </c>
      <c r="E362" s="4">
        <v>3197.8</v>
      </c>
      <c r="F362" s="4">
        <v>3192.5</v>
      </c>
      <c r="G362" s="4">
        <v>3205.64</v>
      </c>
      <c r="H362" s="1" t="s">
        <v>5295</v>
      </c>
      <c r="I362" s="1" t="s">
        <v>5296</v>
      </c>
      <c r="J362" s="1" t="s">
        <v>5297</v>
      </c>
      <c r="K362" s="7">
        <f t="shared" si="2"/>
        <v>-0.02310281518</v>
      </c>
      <c r="L362" s="7">
        <v>-0.002592072997749938</v>
      </c>
      <c r="M362" s="1">
        <f t="shared" si="1"/>
        <v>3539511</v>
      </c>
    </row>
    <row r="363">
      <c r="A363" s="9">
        <v>46038.0</v>
      </c>
      <c r="B363" s="4">
        <v>3219.4</v>
      </c>
      <c r="C363" s="4">
        <v>3221.9</v>
      </c>
      <c r="D363" s="4">
        <v>3171.0</v>
      </c>
      <c r="E363" s="4">
        <v>3209.0</v>
      </c>
      <c r="F363" s="4">
        <v>3206.7</v>
      </c>
      <c r="G363" s="4">
        <v>3200.62</v>
      </c>
      <c r="H363" s="1" t="s">
        <v>5304</v>
      </c>
      <c r="I363" s="1" t="s">
        <v>5305</v>
      </c>
      <c r="J363" s="1" t="s">
        <v>5306</v>
      </c>
      <c r="K363" s="7">
        <f t="shared" si="2"/>
        <v>0.004447924824</v>
      </c>
      <c r="L363" s="7">
        <v>0.0011201764229162772</v>
      </c>
      <c r="M363" s="1">
        <f t="shared" si="1"/>
        <v>4293470</v>
      </c>
    </row>
    <row r="364">
      <c r="A364" s="9">
        <v>46041.0</v>
      </c>
      <c r="B364" s="4">
        <v>3188.0</v>
      </c>
      <c r="C364" s="4">
        <v>3220.0</v>
      </c>
      <c r="D364" s="4">
        <v>3152.1</v>
      </c>
      <c r="E364" s="4">
        <v>3161.0</v>
      </c>
      <c r="F364" s="4">
        <v>3163.6</v>
      </c>
      <c r="G364" s="4">
        <v>3168.85</v>
      </c>
      <c r="H364" s="1" t="s">
        <v>5313</v>
      </c>
      <c r="I364" s="1" t="s">
        <v>5314</v>
      </c>
      <c r="J364" s="1" t="s">
        <v>5315</v>
      </c>
      <c r="K364" s="7">
        <f t="shared" si="2"/>
        <v>-0.01344060873</v>
      </c>
      <c r="L364" s="7">
        <v>-0.004236339895735777</v>
      </c>
      <c r="M364" s="1">
        <f t="shared" si="1"/>
        <v>3387562</v>
      </c>
    </row>
    <row r="365">
      <c r="A365" s="9">
        <v>46042.0</v>
      </c>
      <c r="B365" s="4">
        <v>3151.6</v>
      </c>
      <c r="C365" s="4">
        <v>3160.0</v>
      </c>
      <c r="D365" s="4">
        <v>3091.1</v>
      </c>
      <c r="E365" s="4">
        <v>3104.2</v>
      </c>
      <c r="F365" s="4">
        <v>3102.3</v>
      </c>
      <c r="G365" s="4">
        <v>3127.35</v>
      </c>
      <c r="H365" s="1" t="s">
        <v>5322</v>
      </c>
      <c r="I365" s="1" t="s">
        <v>5324</v>
      </c>
      <c r="J365" s="1" t="s">
        <v>5326</v>
      </c>
      <c r="K365" s="7">
        <f t="shared" si="2"/>
        <v>-0.0193766595</v>
      </c>
      <c r="L365" s="7">
        <v>-0.013796877137441129</v>
      </c>
      <c r="M365" s="1">
        <f t="shared" si="1"/>
        <v>4499273</v>
      </c>
    </row>
    <row r="366">
      <c r="A366" s="9">
        <v>46043.0</v>
      </c>
      <c r="B366" s="4">
        <v>3100.0</v>
      </c>
      <c r="C366" s="4">
        <v>3138.5</v>
      </c>
      <c r="D366" s="4">
        <v>3082.0</v>
      </c>
      <c r="E366" s="4">
        <v>3122.0</v>
      </c>
      <c r="F366" s="4">
        <v>3122.6</v>
      </c>
      <c r="G366" s="4">
        <v>3112.68</v>
      </c>
      <c r="H366" s="1" t="s">
        <v>5332</v>
      </c>
      <c r="I366" s="1" t="s">
        <v>5335</v>
      </c>
      <c r="J366" s="1" t="s">
        <v>5338</v>
      </c>
      <c r="K366" s="7">
        <f t="shared" si="2"/>
        <v>0.006543532218</v>
      </c>
      <c r="L366" s="7">
        <v>-0.002972357079163777</v>
      </c>
      <c r="M366" s="1">
        <f t="shared" si="1"/>
        <v>2015150</v>
      </c>
    </row>
    <row r="367">
      <c r="A367" s="9">
        <v>46044.0</v>
      </c>
      <c r="B367" s="4">
        <v>3150.0</v>
      </c>
      <c r="C367" s="4">
        <v>3160.0</v>
      </c>
      <c r="D367" s="4">
        <v>3122.3</v>
      </c>
      <c r="E367" s="4">
        <v>3152.2</v>
      </c>
      <c r="F367" s="4">
        <v>3150.4</v>
      </c>
      <c r="G367" s="4">
        <v>3142.82</v>
      </c>
      <c r="H367" s="1" t="s">
        <v>5343</v>
      </c>
      <c r="I367" s="1" t="s">
        <v>5346</v>
      </c>
      <c r="J367" s="11">
        <v>91528.0</v>
      </c>
      <c r="K367" s="7">
        <f t="shared" si="2"/>
        <v>0.008902837379</v>
      </c>
      <c r="L367" s="7">
        <v>0.005262844082281683</v>
      </c>
      <c r="M367" s="1">
        <f t="shared" si="1"/>
        <v>2269827</v>
      </c>
    </row>
    <row r="368">
      <c r="A368" s="9">
        <v>46045.0</v>
      </c>
      <c r="B368" s="4">
        <v>3190.3</v>
      </c>
      <c r="C368" s="4">
        <v>3194.5</v>
      </c>
      <c r="D368" s="4">
        <v>3152.0</v>
      </c>
      <c r="E368" s="4">
        <v>3157.0</v>
      </c>
      <c r="F368" s="4">
        <v>3162.5</v>
      </c>
      <c r="G368" s="4">
        <v>3176.59</v>
      </c>
      <c r="H368" s="1" t="s">
        <v>5353</v>
      </c>
      <c r="I368" s="1" t="s">
        <v>5355</v>
      </c>
      <c r="J368" s="11">
        <v>89144.0</v>
      </c>
      <c r="K368" s="7">
        <f t="shared" si="2"/>
        <v>0.003840782123</v>
      </c>
      <c r="L368" s="7">
        <v>-0.009539381334050351</v>
      </c>
      <c r="M368" s="1">
        <f t="shared" si="1"/>
        <v>2068857</v>
      </c>
    </row>
    <row r="369">
      <c r="A369" s="9">
        <v>46049.0</v>
      </c>
      <c r="B369" s="4">
        <v>3175.0</v>
      </c>
      <c r="C369" s="4">
        <v>3175.0</v>
      </c>
      <c r="D369" s="4">
        <v>3130.0</v>
      </c>
      <c r="E369" s="4">
        <v>3167.0</v>
      </c>
      <c r="F369" s="4">
        <v>3158.0</v>
      </c>
      <c r="G369" s="4">
        <v>3146.85</v>
      </c>
      <c r="H369" s="1" t="s">
        <v>5362</v>
      </c>
      <c r="I369" s="1" t="s">
        <v>5363</v>
      </c>
      <c r="J369" s="1" t="s">
        <v>5364</v>
      </c>
      <c r="K369" s="7">
        <f t="shared" si="2"/>
        <v>-0.001422924901</v>
      </c>
      <c r="L369" s="7">
        <v>0.00506015294237414</v>
      </c>
      <c r="M369" s="1">
        <f t="shared" si="1"/>
        <v>4279874</v>
      </c>
    </row>
    <row r="370">
      <c r="A370" s="9">
        <v>46050.0</v>
      </c>
      <c r="B370" s="4">
        <v>3176.0</v>
      </c>
      <c r="C370" s="4">
        <v>3205.2</v>
      </c>
      <c r="D370" s="4">
        <v>3170.6</v>
      </c>
      <c r="E370" s="4">
        <v>3199.0</v>
      </c>
      <c r="F370" s="4">
        <v>3200.1</v>
      </c>
      <c r="G370" s="4">
        <v>3191.18</v>
      </c>
      <c r="H370" s="1" t="s">
        <v>5371</v>
      </c>
      <c r="I370" s="1" t="s">
        <v>5372</v>
      </c>
      <c r="J370" s="1" t="s">
        <v>5373</v>
      </c>
      <c r="K370" s="7">
        <f t="shared" si="2"/>
        <v>0.01333122229</v>
      </c>
      <c r="L370" s="7">
        <v>0.0066473621074540435</v>
      </c>
      <c r="M370" s="1">
        <f t="shared" si="1"/>
        <v>2751234</v>
      </c>
    </row>
    <row r="371">
      <c r="A371" s="9">
        <v>46051.0</v>
      </c>
      <c r="B371" s="4">
        <v>3200.1</v>
      </c>
      <c r="C371" s="4">
        <v>3200.1</v>
      </c>
      <c r="D371" s="4">
        <v>3125.6</v>
      </c>
      <c r="E371" s="4">
        <v>3139.0</v>
      </c>
      <c r="F371" s="4">
        <v>3144.4</v>
      </c>
      <c r="G371" s="4">
        <v>3143.88</v>
      </c>
      <c r="H371" s="1" t="s">
        <v>5380</v>
      </c>
      <c r="I371" s="1" t="s">
        <v>5381</v>
      </c>
      <c r="J371" s="1" t="s">
        <v>5382</v>
      </c>
      <c r="K371" s="7">
        <f t="shared" si="2"/>
        <v>-0.01740570607</v>
      </c>
      <c r="L371" s="7">
        <v>0.003004804135305026</v>
      </c>
      <c r="M371" s="1">
        <f t="shared" si="1"/>
        <v>2457641</v>
      </c>
    </row>
    <row r="372">
      <c r="A372" s="9">
        <v>46052.0</v>
      </c>
      <c r="B372" s="4">
        <v>3141.0</v>
      </c>
      <c r="C372" s="4">
        <v>3141.0</v>
      </c>
      <c r="D372" s="4">
        <v>3092.0</v>
      </c>
      <c r="E372" s="4">
        <v>3129.0</v>
      </c>
      <c r="F372" s="4">
        <v>3123.9</v>
      </c>
      <c r="G372" s="4">
        <v>3121.64</v>
      </c>
      <c r="H372" s="1" t="s">
        <v>5389</v>
      </c>
      <c r="I372" s="1" t="s">
        <v>5390</v>
      </c>
      <c r="J372" s="11">
        <v>80949.0</v>
      </c>
      <c r="K372" s="7">
        <f t="shared" si="2"/>
        <v>-0.006519526778</v>
      </c>
      <c r="L372" s="7">
        <v>-0.0038652341368037167</v>
      </c>
      <c r="M372" s="1">
        <f t="shared" si="1"/>
        <v>3022068</v>
      </c>
    </row>
    <row r="373">
      <c r="A373" s="3">
        <v>46054.0</v>
      </c>
      <c r="B373" s="4">
        <v>3123.8</v>
      </c>
      <c r="C373" s="4">
        <v>3234.0</v>
      </c>
      <c r="D373" s="4">
        <v>3105.2</v>
      </c>
      <c r="E373" s="4">
        <v>3178.2</v>
      </c>
      <c r="F373" s="4">
        <v>3186.9</v>
      </c>
      <c r="G373" s="4">
        <v>3182.48</v>
      </c>
      <c r="H373" s="1" t="s">
        <v>5397</v>
      </c>
      <c r="I373" s="1" t="s">
        <v>5398</v>
      </c>
      <c r="J373" s="1" t="s">
        <v>5399</v>
      </c>
      <c r="K373" s="7">
        <f t="shared" si="2"/>
        <v>0.02016709882</v>
      </c>
      <c r="L373" s="7">
        <v>-0.019557159867538972</v>
      </c>
      <c r="M373" s="1">
        <f t="shared" si="1"/>
        <v>3012937</v>
      </c>
    </row>
    <row r="374">
      <c r="A374" s="3">
        <v>46055.0</v>
      </c>
      <c r="B374" s="4">
        <v>3198.0</v>
      </c>
      <c r="C374" s="4">
        <v>3198.0</v>
      </c>
      <c r="D374" s="4">
        <v>3134.0</v>
      </c>
      <c r="E374" s="4">
        <v>3167.0</v>
      </c>
      <c r="F374" s="4">
        <v>3169.6</v>
      </c>
      <c r="G374" s="4">
        <v>3164.69</v>
      </c>
      <c r="H374" s="1" t="s">
        <v>5406</v>
      </c>
      <c r="I374" s="1" t="s">
        <v>5407</v>
      </c>
      <c r="J374" s="1" t="s">
        <v>5408</v>
      </c>
      <c r="K374" s="7">
        <f t="shared" si="2"/>
        <v>-0.005428472811</v>
      </c>
      <c r="L374" s="7">
        <v>0.010591953015957443</v>
      </c>
      <c r="M374" s="1">
        <f t="shared" si="1"/>
        <v>2636272</v>
      </c>
    </row>
    <row r="375">
      <c r="A375" s="3">
        <v>46056.0</v>
      </c>
      <c r="B375" s="4">
        <v>3350.0</v>
      </c>
      <c r="C375" s="4">
        <v>3350.0</v>
      </c>
      <c r="D375" s="4">
        <v>3186.3</v>
      </c>
      <c r="E375" s="4">
        <v>3220.0</v>
      </c>
      <c r="F375" s="4">
        <v>3225.3</v>
      </c>
      <c r="G375" s="4">
        <v>3231.27</v>
      </c>
      <c r="H375" s="1" t="s">
        <v>5415</v>
      </c>
      <c r="I375" s="1" t="s">
        <v>5417</v>
      </c>
      <c r="J375" s="1" t="s">
        <v>5419</v>
      </c>
      <c r="K375" s="7">
        <f t="shared" si="2"/>
        <v>0.01757319536</v>
      </c>
      <c r="L375" s="7">
        <v>0.025475917156932995</v>
      </c>
      <c r="M375" s="1">
        <f t="shared" si="1"/>
        <v>4366060</v>
      </c>
    </row>
    <row r="376">
      <c r="A376" s="3">
        <v>46057.0</v>
      </c>
      <c r="B376" s="4">
        <v>3120.0</v>
      </c>
      <c r="C376" s="4">
        <v>3120.0</v>
      </c>
      <c r="D376" s="4">
        <v>2986.0</v>
      </c>
      <c r="E376" s="4">
        <v>2999.9</v>
      </c>
      <c r="F376" s="4">
        <v>2999.1</v>
      </c>
      <c r="G376" s="4">
        <v>3020.56</v>
      </c>
      <c r="H376" s="1" t="s">
        <v>5424</v>
      </c>
      <c r="I376" s="1" t="s">
        <v>5425</v>
      </c>
      <c r="J376" s="1" t="s">
        <v>5426</v>
      </c>
      <c r="K376" s="7">
        <f t="shared" si="2"/>
        <v>-0.07013301088</v>
      </c>
      <c r="L376" s="7">
        <v>0.0018831952517826506</v>
      </c>
      <c r="M376" s="1">
        <f t="shared" si="1"/>
        <v>10852595</v>
      </c>
    </row>
    <row r="377">
      <c r="A377" s="3">
        <v>46058.0</v>
      </c>
      <c r="B377" s="4">
        <v>2990.0</v>
      </c>
      <c r="C377" s="4">
        <v>3029.7</v>
      </c>
      <c r="D377" s="4">
        <v>2972.3</v>
      </c>
      <c r="E377" s="4">
        <v>2991.7</v>
      </c>
      <c r="F377" s="4">
        <v>2991.5</v>
      </c>
      <c r="G377" s="4">
        <v>3000.1</v>
      </c>
      <c r="H377" s="1" t="s">
        <v>5433</v>
      </c>
      <c r="I377" s="1" t="s">
        <v>5434</v>
      </c>
      <c r="J377" s="1" t="s">
        <v>5435</v>
      </c>
      <c r="K377" s="7">
        <f t="shared" si="2"/>
        <v>-0.002534093561</v>
      </c>
      <c r="L377" s="7">
        <v>-0.005167597765363157</v>
      </c>
      <c r="M377" s="1">
        <f t="shared" si="1"/>
        <v>3521545</v>
      </c>
    </row>
    <row r="378">
      <c r="A378" s="3">
        <v>46059.0</v>
      </c>
      <c r="B378" s="4">
        <v>2976.6</v>
      </c>
      <c r="C378" s="4">
        <v>2985.0</v>
      </c>
      <c r="D378" s="4">
        <v>2916.0</v>
      </c>
      <c r="E378" s="4">
        <v>2940.3</v>
      </c>
      <c r="F378" s="4">
        <v>2941.6</v>
      </c>
      <c r="G378" s="4">
        <v>2934.09</v>
      </c>
      <c r="H378" s="1" t="s">
        <v>5442</v>
      </c>
      <c r="I378" s="1" t="s">
        <v>5444</v>
      </c>
      <c r="J378" s="1" t="s">
        <v>5446</v>
      </c>
      <c r="K378" s="7">
        <f t="shared" si="2"/>
        <v>-0.01668059502</v>
      </c>
      <c r="L378" s="7">
        <v>0.001984962640585328</v>
      </c>
      <c r="M378" s="1">
        <f t="shared" si="1"/>
        <v>4687389</v>
      </c>
    </row>
    <row r="379">
      <c r="A379" s="3">
        <v>46062.0</v>
      </c>
      <c r="B379" s="4">
        <v>2959.1</v>
      </c>
      <c r="C379" s="4">
        <v>2977.0</v>
      </c>
      <c r="D379" s="4">
        <v>2937.5</v>
      </c>
      <c r="E379" s="4">
        <v>2951.0</v>
      </c>
      <c r="F379" s="4">
        <v>2948.2</v>
      </c>
      <c r="G379" s="4">
        <v>2949.18</v>
      </c>
      <c r="H379" s="1" t="s">
        <v>5450</v>
      </c>
      <c r="I379" s="1" t="s">
        <v>5452</v>
      </c>
      <c r="J379" s="1" t="s">
        <v>5453</v>
      </c>
      <c r="K379" s="7">
        <f t="shared" si="2"/>
        <v>0.002243676911</v>
      </c>
      <c r="L379" s="7">
        <v>0.00675652008079796</v>
      </c>
      <c r="M379" s="1">
        <f t="shared" si="1"/>
        <v>2380318</v>
      </c>
    </row>
    <row r="380">
      <c r="A380" s="9">
        <v>46063.0</v>
      </c>
      <c r="B380" s="4">
        <v>2949.8</v>
      </c>
      <c r="C380" s="4">
        <v>3011.6</v>
      </c>
      <c r="D380" s="4">
        <v>2943.5</v>
      </c>
      <c r="E380" s="4">
        <v>2983.0</v>
      </c>
      <c r="F380" s="4">
        <v>2984.6</v>
      </c>
      <c r="G380" s="4">
        <v>2985.3</v>
      </c>
      <c r="H380" s="1" t="s">
        <v>5457</v>
      </c>
      <c r="I380" s="1" t="s">
        <v>5458</v>
      </c>
      <c r="J380" s="1" t="s">
        <v>5459</v>
      </c>
      <c r="K380" s="7">
        <f t="shared" si="2"/>
        <v>0.01234651652</v>
      </c>
      <c r="L380" s="7">
        <v>0.0026230027873029725</v>
      </c>
      <c r="M380" s="1">
        <f t="shared" si="1"/>
        <v>3547763</v>
      </c>
    </row>
    <row r="381">
      <c r="A381" s="9">
        <v>46064.0</v>
      </c>
      <c r="B381" s="4">
        <v>2980.0</v>
      </c>
      <c r="C381" s="4">
        <v>2998.0</v>
      </c>
      <c r="D381" s="4">
        <v>2904.2</v>
      </c>
      <c r="E381" s="4">
        <v>2909.0</v>
      </c>
      <c r="F381" s="4">
        <v>2909.8</v>
      </c>
      <c r="G381" s="4">
        <v>2938.39</v>
      </c>
      <c r="H381" s="1" t="s">
        <v>5463</v>
      </c>
      <c r="I381" s="1" t="s">
        <v>5464</v>
      </c>
      <c r="J381" s="1" t="s">
        <v>5465</v>
      </c>
      <c r="K381" s="7">
        <f t="shared" si="2"/>
        <v>-0.02506198486</v>
      </c>
      <c r="L381" s="7">
        <v>7.210291824029199E-4</v>
      </c>
      <c r="M381" s="1">
        <f t="shared" si="1"/>
        <v>3363513</v>
      </c>
    </row>
    <row r="382">
      <c r="A382" s="9">
        <v>46065.0</v>
      </c>
      <c r="B382" s="4">
        <v>2869.8</v>
      </c>
      <c r="C382" s="4">
        <v>2880.0</v>
      </c>
      <c r="D382" s="4">
        <v>2740.0</v>
      </c>
      <c r="E382" s="4">
        <v>2741.9</v>
      </c>
      <c r="F382" s="4">
        <v>2750.1</v>
      </c>
      <c r="G382" s="4">
        <v>2778.17</v>
      </c>
      <c r="H382" s="1" t="s">
        <v>5472</v>
      </c>
      <c r="I382" s="1" t="s">
        <v>5473</v>
      </c>
      <c r="J382" s="1" t="s">
        <v>5474</v>
      </c>
      <c r="K382" s="7">
        <f t="shared" si="2"/>
        <v>-0.05488349715</v>
      </c>
      <c r="L382" s="7">
        <v>-0.005650414100412764</v>
      </c>
      <c r="M382" s="1">
        <f t="shared" si="1"/>
        <v>10612156</v>
      </c>
    </row>
    <row r="383">
      <c r="A383" s="9">
        <v>46066.0</v>
      </c>
      <c r="B383" s="4">
        <v>2585.0</v>
      </c>
      <c r="C383" s="4">
        <v>2713.0</v>
      </c>
      <c r="D383" s="4">
        <v>2585.0</v>
      </c>
      <c r="E383" s="4">
        <v>2695.0</v>
      </c>
      <c r="F383" s="4">
        <v>2692.2</v>
      </c>
      <c r="G383" s="4">
        <v>2649.41</v>
      </c>
      <c r="H383" s="1" t="s">
        <v>5478</v>
      </c>
      <c r="I383" s="1" t="s">
        <v>5479</v>
      </c>
      <c r="J383" s="1" t="s">
        <v>5480</v>
      </c>
      <c r="K383" s="7">
        <f t="shared" si="2"/>
        <v>-0.02105377986</v>
      </c>
      <c r="L383" s="7">
        <v>-0.013023497318577845</v>
      </c>
      <c r="M383" s="1">
        <f t="shared" si="1"/>
        <v>11168735</v>
      </c>
    </row>
    <row r="384">
      <c r="A384" s="9">
        <v>46069.0</v>
      </c>
      <c r="B384" s="4">
        <v>2700.0</v>
      </c>
      <c r="C384" s="4">
        <v>2719.8</v>
      </c>
      <c r="D384" s="4">
        <v>2671.0</v>
      </c>
      <c r="E384" s="4">
        <v>2713.0</v>
      </c>
      <c r="F384" s="4">
        <v>2706.6</v>
      </c>
      <c r="G384" s="4">
        <v>2692.22</v>
      </c>
      <c r="H384" s="1" t="s">
        <v>5487</v>
      </c>
      <c r="I384" s="1" t="s">
        <v>5488</v>
      </c>
      <c r="J384" s="1" t="s">
        <v>5489</v>
      </c>
      <c r="K384" s="7">
        <f t="shared" si="2"/>
        <v>0.00534878538</v>
      </c>
      <c r="L384" s="7">
        <v>0.008309417339651662</v>
      </c>
      <c r="M384" s="1">
        <f t="shared" si="1"/>
        <v>2918730</v>
      </c>
    </row>
    <row r="385">
      <c r="A385" s="9">
        <v>46070.0</v>
      </c>
      <c r="B385" s="4">
        <v>2716.0</v>
      </c>
      <c r="C385" s="4">
        <v>2760.0</v>
      </c>
      <c r="D385" s="4">
        <v>2695.2</v>
      </c>
      <c r="E385" s="4">
        <v>2719.8</v>
      </c>
      <c r="F385" s="4">
        <v>2717.4</v>
      </c>
      <c r="G385" s="4">
        <v>2735.6</v>
      </c>
      <c r="H385" s="1" t="s">
        <v>5496</v>
      </c>
      <c r="I385" s="1" t="s">
        <v>5497</v>
      </c>
      <c r="J385" s="1" t="s">
        <v>5498</v>
      </c>
      <c r="K385" s="7">
        <f t="shared" si="2"/>
        <v>0.003990246065</v>
      </c>
      <c r="L385" s="7">
        <v>0.0016606477110123119</v>
      </c>
      <c r="M385" s="1">
        <f t="shared" si="1"/>
        <v>4209118</v>
      </c>
    </row>
    <row r="386">
      <c r="A386" s="9">
        <v>46071.0</v>
      </c>
      <c r="B386" s="4">
        <v>2730.0</v>
      </c>
      <c r="C386" s="4">
        <v>2730.0</v>
      </c>
      <c r="D386" s="4">
        <v>2657.3</v>
      </c>
      <c r="E386" s="4">
        <v>2694.5</v>
      </c>
      <c r="F386" s="4">
        <v>2694.9</v>
      </c>
      <c r="G386" s="4">
        <v>2687.82</v>
      </c>
      <c r="H386" s="1" t="s">
        <v>5507</v>
      </c>
      <c r="I386" s="1" t="s">
        <v>5509</v>
      </c>
      <c r="J386" s="1" t="s">
        <v>5510</v>
      </c>
      <c r="K386" s="7">
        <f t="shared" si="2"/>
        <v>-0.008279973504</v>
      </c>
      <c r="L386" s="7">
        <v>0.003652032621455724</v>
      </c>
      <c r="M386" s="1">
        <f t="shared" si="1"/>
        <v>2950820</v>
      </c>
    </row>
    <row r="387">
      <c r="A387" s="9">
        <v>46072.0</v>
      </c>
      <c r="B387" s="4">
        <v>2708.0</v>
      </c>
      <c r="C387" s="4">
        <v>2748.7</v>
      </c>
      <c r="D387" s="4">
        <v>2666.6</v>
      </c>
      <c r="E387" s="4">
        <v>2675.0</v>
      </c>
      <c r="F387" s="4">
        <v>2677.9</v>
      </c>
      <c r="G387" s="4">
        <v>2709.33</v>
      </c>
      <c r="H387" s="1" t="s">
        <v>5517</v>
      </c>
      <c r="I387" s="1" t="s">
        <v>5518</v>
      </c>
      <c r="J387" s="1" t="s">
        <v>5519</v>
      </c>
      <c r="K387" s="7">
        <f t="shared" si="2"/>
        <v>-0.006308211807</v>
      </c>
      <c r="L387" s="7">
        <v>-0.014136684308474071</v>
      </c>
      <c r="M387" s="1">
        <f t="shared" si="1"/>
        <v>3238849</v>
      </c>
    </row>
    <row r="388">
      <c r="A388" s="9">
        <v>46073.0</v>
      </c>
      <c r="B388" s="4">
        <v>2667.0</v>
      </c>
      <c r="C388" s="4">
        <v>2702.6</v>
      </c>
      <c r="D388" s="4">
        <v>2647.5</v>
      </c>
      <c r="E388" s="4">
        <v>2685.0</v>
      </c>
      <c r="F388" s="4">
        <v>2686.2</v>
      </c>
      <c r="G388" s="4">
        <v>2684.4</v>
      </c>
      <c r="H388" s="1" t="s">
        <v>5526</v>
      </c>
      <c r="I388" s="1" t="s">
        <v>5528</v>
      </c>
      <c r="J388" s="11">
        <v>98725.0</v>
      </c>
      <c r="K388" s="7">
        <f t="shared" si="2"/>
        <v>0.003099443594</v>
      </c>
      <c r="L388" s="7">
        <v>0.004592535264110121</v>
      </c>
      <c r="M388" s="1">
        <f t="shared" si="1"/>
        <v>2293482</v>
      </c>
    </row>
    <row r="389">
      <c r="A389" s="9">
        <v>46076.0</v>
      </c>
      <c r="B389" s="4">
        <v>2686.0</v>
      </c>
      <c r="C389" s="4">
        <v>2704.0</v>
      </c>
      <c r="D389" s="4">
        <v>2660.2</v>
      </c>
      <c r="E389" s="4">
        <v>2674.0</v>
      </c>
      <c r="F389" s="4">
        <v>2676.3</v>
      </c>
      <c r="G389" s="4">
        <v>2675.99</v>
      </c>
      <c r="H389" s="1" t="s">
        <v>5537</v>
      </c>
      <c r="I389" s="1" t="s">
        <v>5538</v>
      </c>
      <c r="J389" s="1" t="s">
        <v>5539</v>
      </c>
      <c r="K389" s="7">
        <f t="shared" si="2"/>
        <v>-0.003685503686</v>
      </c>
      <c r="L389" s="7">
        <v>0.005543334799824021</v>
      </c>
      <c r="M389" s="1">
        <f t="shared" si="1"/>
        <v>4699596</v>
      </c>
    </row>
    <row r="390">
      <c r="A390" s="9">
        <v>46077.0</v>
      </c>
      <c r="B390" s="4">
        <v>2641.0</v>
      </c>
      <c r="C390" s="4">
        <v>2647.5</v>
      </c>
      <c r="D390" s="4">
        <v>2561.3</v>
      </c>
      <c r="E390" s="4">
        <v>2581.0</v>
      </c>
      <c r="F390" s="4">
        <v>2573.7</v>
      </c>
      <c r="G390" s="4">
        <v>2586.99</v>
      </c>
      <c r="H390" s="1" t="s">
        <v>5548</v>
      </c>
      <c r="I390" s="1" t="s">
        <v>5550</v>
      </c>
      <c r="J390" s="1" t="s">
        <v>5551</v>
      </c>
      <c r="K390" s="7">
        <f t="shared" si="2"/>
        <v>-0.03833650936</v>
      </c>
      <c r="L390" s="7">
        <v>-0.011214171819702039</v>
      </c>
      <c r="M390" s="1">
        <f t="shared" si="1"/>
        <v>7798833</v>
      </c>
    </row>
    <row r="391">
      <c r="A391" s="9">
        <v>46078.0</v>
      </c>
      <c r="B391" s="4">
        <v>2596.0</v>
      </c>
      <c r="C391" s="4">
        <v>2654.2</v>
      </c>
      <c r="D391" s="4">
        <v>2595.0</v>
      </c>
      <c r="E391" s="4">
        <v>2629.0</v>
      </c>
      <c r="F391" s="4">
        <v>2629.3</v>
      </c>
      <c r="G391" s="4">
        <v>2632.16</v>
      </c>
      <c r="H391" s="1" t="s">
        <v>5558</v>
      </c>
      <c r="I391" s="1" t="s">
        <v>5559</v>
      </c>
      <c r="J391" s="1" t="s">
        <v>5560</v>
      </c>
      <c r="K391" s="7">
        <f t="shared" si="2"/>
        <v>0.02160313945</v>
      </c>
      <c r="L391" s="7">
        <v>0.002275350889786036</v>
      </c>
      <c r="M391" s="1">
        <f t="shared" si="1"/>
        <v>3621285</v>
      </c>
    </row>
    <row r="392">
      <c r="A392" s="9">
        <v>46079.0</v>
      </c>
      <c r="B392" s="4">
        <v>2650.0</v>
      </c>
      <c r="C392" s="4">
        <v>2671.0</v>
      </c>
      <c r="D392" s="4">
        <v>2635.0</v>
      </c>
      <c r="E392" s="4">
        <v>2649.0</v>
      </c>
      <c r="F392" s="4">
        <v>2647.7</v>
      </c>
      <c r="G392" s="4">
        <v>2649.37</v>
      </c>
      <c r="H392" s="1" t="s">
        <v>5567</v>
      </c>
      <c r="I392" s="1" t="s">
        <v>5568</v>
      </c>
      <c r="J392" s="1" t="s">
        <v>5569</v>
      </c>
      <c r="K392" s="7">
        <f t="shared" si="2"/>
        <v>0.00699806032</v>
      </c>
      <c r="L392" s="7">
        <v>5.51358775630306E-4</v>
      </c>
      <c r="M392" s="1">
        <f t="shared" si="1"/>
        <v>3464267</v>
      </c>
    </row>
    <row r="393">
      <c r="A393" s="9">
        <v>46080.0</v>
      </c>
      <c r="B393" s="4">
        <v>2681.6</v>
      </c>
      <c r="C393" s="4">
        <v>2688.6</v>
      </c>
      <c r="D393" s="4">
        <v>2626.1</v>
      </c>
      <c r="E393" s="4">
        <v>2639.7</v>
      </c>
      <c r="F393" s="4">
        <v>2637.4</v>
      </c>
      <c r="G393" s="4">
        <v>2644.9</v>
      </c>
      <c r="H393" s="1" t="s">
        <v>5577</v>
      </c>
      <c r="I393" s="1" t="s">
        <v>5579</v>
      </c>
      <c r="J393" s="1" t="s">
        <v>5581</v>
      </c>
      <c r="K393" s="7">
        <f t="shared" si="2"/>
        <v>-0.003890168826</v>
      </c>
      <c r="L393" s="7">
        <v>-0.012468353561560204</v>
      </c>
      <c r="M393" s="1">
        <f t="shared" si="1"/>
        <v>5083717</v>
      </c>
    </row>
    <row r="394">
      <c r="A394" s="3">
        <v>46083.0</v>
      </c>
      <c r="B394" s="4">
        <v>2592.0</v>
      </c>
      <c r="C394" s="4">
        <v>2623.8</v>
      </c>
      <c r="D394" s="4">
        <v>2580.3</v>
      </c>
      <c r="E394" s="4">
        <v>2611.7</v>
      </c>
      <c r="F394" s="4">
        <v>2613.5</v>
      </c>
      <c r="G394" s="4">
        <v>2606.37</v>
      </c>
      <c r="H394" s="1" t="s">
        <v>5589</v>
      </c>
      <c r="I394" s="1" t="s">
        <v>5591</v>
      </c>
      <c r="J394" s="1" t="s">
        <v>5593</v>
      </c>
      <c r="K394" s="7">
        <f t="shared" si="2"/>
        <v>-0.009061954956</v>
      </c>
      <c r="L394" s="7">
        <v>-0.012429181072059094</v>
      </c>
      <c r="M394" s="1">
        <f t="shared" si="1"/>
        <v>3374385</v>
      </c>
    </row>
    <row r="395">
      <c r="A395" s="3">
        <v>46085.0</v>
      </c>
      <c r="B395" s="4">
        <v>2625.0</v>
      </c>
      <c r="C395" s="4">
        <v>2635.0</v>
      </c>
      <c r="D395" s="4">
        <v>2580.4</v>
      </c>
      <c r="E395" s="4">
        <v>2583.0</v>
      </c>
      <c r="F395" s="4">
        <v>2587.8</v>
      </c>
      <c r="G395" s="4">
        <v>2598.18</v>
      </c>
      <c r="H395" s="1" t="s">
        <v>5600</v>
      </c>
      <c r="I395" s="1" t="s">
        <v>5601</v>
      </c>
      <c r="J395" s="1" t="s">
        <v>5602</v>
      </c>
      <c r="K395" s="7">
        <f t="shared" si="2"/>
        <v>-0.009833556533</v>
      </c>
      <c r="L395" s="7">
        <v>-0.015491218827541581</v>
      </c>
      <c r="M395" s="1">
        <f t="shared" si="1"/>
        <v>3446434</v>
      </c>
    </row>
    <row r="396">
      <c r="A396" s="3">
        <v>46086.0</v>
      </c>
      <c r="B396" s="4">
        <v>2600.0</v>
      </c>
      <c r="C396" s="4">
        <v>2609.5</v>
      </c>
      <c r="D396" s="4">
        <v>2546.4</v>
      </c>
      <c r="E396" s="4">
        <v>2575.0</v>
      </c>
      <c r="F396" s="4">
        <v>2578.8</v>
      </c>
      <c r="G396" s="4">
        <v>2567.95</v>
      </c>
      <c r="H396" s="1" t="s">
        <v>5612</v>
      </c>
      <c r="I396" s="1" t="s">
        <v>5613</v>
      </c>
      <c r="J396" s="1" t="s">
        <v>5614</v>
      </c>
      <c r="K396" s="7">
        <f t="shared" si="2"/>
        <v>-0.00347785764</v>
      </c>
      <c r="L396" s="7">
        <v>0.011658258613998957</v>
      </c>
      <c r="M396" s="1">
        <f t="shared" si="1"/>
        <v>2960636</v>
      </c>
    </row>
    <row r="397">
      <c r="A397" s="3">
        <v>46087.0</v>
      </c>
      <c r="B397" s="4">
        <v>2572.0</v>
      </c>
      <c r="C397" s="4">
        <v>2619.2</v>
      </c>
      <c r="D397" s="4">
        <v>2553.6</v>
      </c>
      <c r="E397" s="4">
        <v>2560.0</v>
      </c>
      <c r="F397" s="4">
        <v>2557.6</v>
      </c>
      <c r="G397" s="4">
        <v>2581.54</v>
      </c>
      <c r="H397" s="1" t="s">
        <v>5623</v>
      </c>
      <c r="I397" s="1" t="s">
        <v>5625</v>
      </c>
      <c r="J397" s="1" t="s">
        <v>5626</v>
      </c>
      <c r="K397" s="7">
        <f t="shared" si="2"/>
        <v>-0.008220877928</v>
      </c>
      <c r="L397" s="7">
        <v>-0.01273727181325939</v>
      </c>
      <c r="M397" s="1">
        <f t="shared" si="1"/>
        <v>3998643</v>
      </c>
    </row>
    <row r="398">
      <c r="A398" s="3">
        <v>46090.0</v>
      </c>
      <c r="B398" s="4">
        <v>2530.0</v>
      </c>
      <c r="C398" s="4">
        <v>2560.0</v>
      </c>
      <c r="D398" s="4">
        <v>2505.0</v>
      </c>
      <c r="E398" s="4">
        <v>2527.8</v>
      </c>
      <c r="F398" s="4">
        <v>2527.4</v>
      </c>
      <c r="G398" s="4">
        <v>2525.33</v>
      </c>
      <c r="H398" s="1" t="s">
        <v>5636</v>
      </c>
      <c r="I398" s="1" t="s">
        <v>5637</v>
      </c>
      <c r="J398" s="1" t="s">
        <v>5638</v>
      </c>
      <c r="K398" s="7">
        <f t="shared" si="2"/>
        <v>-0.01180794495</v>
      </c>
      <c r="L398" s="7">
        <v>-0.017275755660938814</v>
      </c>
      <c r="M398" s="1">
        <f t="shared" si="1"/>
        <v>3653428</v>
      </c>
    </row>
    <row r="399">
      <c r="A399" s="9">
        <v>46091.0</v>
      </c>
      <c r="B399" s="4">
        <v>2541.0</v>
      </c>
      <c r="C399" s="4">
        <v>2545.2</v>
      </c>
      <c r="D399" s="4">
        <v>2490.1</v>
      </c>
      <c r="E399" s="4">
        <v>2517.4</v>
      </c>
      <c r="F399" s="4">
        <v>2513.1</v>
      </c>
      <c r="G399" s="4">
        <v>2507.26</v>
      </c>
      <c r="H399" s="1" t="s">
        <v>5645</v>
      </c>
      <c r="I399" s="1" t="s">
        <v>5648</v>
      </c>
      <c r="J399" s="1" t="s">
        <v>5651</v>
      </c>
      <c r="K399" s="7">
        <f t="shared" si="2"/>
        <v>-0.005657988447</v>
      </c>
      <c r="L399" s="7">
        <v>0.009719889878704235</v>
      </c>
      <c r="M399" s="1">
        <f t="shared" si="1"/>
        <v>4323710</v>
      </c>
    </row>
    <row r="400">
      <c r="A400" s="9">
        <v>46092.0</v>
      </c>
      <c r="B400" s="4">
        <v>2508.1</v>
      </c>
      <c r="C400" s="4">
        <v>2521.0</v>
      </c>
      <c r="D400" s="4">
        <v>2460.1</v>
      </c>
      <c r="E400" s="4">
        <v>2463.0</v>
      </c>
      <c r="F400" s="4">
        <v>2464.9</v>
      </c>
      <c r="G400" s="4">
        <v>2482.92</v>
      </c>
      <c r="H400" s="1" t="s">
        <v>5657</v>
      </c>
      <c r="I400" s="1" t="s">
        <v>5658</v>
      </c>
      <c r="J400" s="1" t="s">
        <v>5659</v>
      </c>
      <c r="K400" s="7">
        <f t="shared" si="2"/>
        <v>-0.01917949942</v>
      </c>
      <c r="L400" s="7">
        <v>-0.016270567481122433</v>
      </c>
      <c r="M400" s="1">
        <f t="shared" si="1"/>
        <v>2720664</v>
      </c>
    </row>
    <row r="401">
      <c r="A401" s="9">
        <v>46093.0</v>
      </c>
      <c r="B401" s="4">
        <v>2459.8</v>
      </c>
      <c r="C401" s="4">
        <v>2472.9</v>
      </c>
      <c r="D401" s="4">
        <v>2436.0</v>
      </c>
      <c r="E401" s="4">
        <v>2447.0</v>
      </c>
      <c r="F401" s="4">
        <v>2442.4</v>
      </c>
      <c r="G401" s="4">
        <v>2450.97</v>
      </c>
      <c r="H401" s="1" t="s">
        <v>5666</v>
      </c>
      <c r="I401" s="1" t="s">
        <v>5667</v>
      </c>
      <c r="J401" s="1" t="s">
        <v>5668</v>
      </c>
      <c r="K401" s="7">
        <f t="shared" si="2"/>
        <v>-0.009128159357</v>
      </c>
      <c r="L401" s="7">
        <v>-0.00954042950787377</v>
      </c>
      <c r="M401" s="1">
        <f t="shared" si="1"/>
        <v>2752075</v>
      </c>
    </row>
    <row r="402">
      <c r="A402" s="9">
        <v>46094.0</v>
      </c>
      <c r="B402" s="4">
        <v>2437.0</v>
      </c>
      <c r="C402" s="4">
        <v>2445.9</v>
      </c>
      <c r="D402" s="4">
        <v>2397.0</v>
      </c>
      <c r="E402" s="4">
        <v>2412.0</v>
      </c>
      <c r="F402" s="4">
        <v>2410.5</v>
      </c>
      <c r="G402" s="4">
        <v>2418.06</v>
      </c>
      <c r="H402" s="1" t="s">
        <v>5673</v>
      </c>
      <c r="I402" s="1" t="s">
        <v>5676</v>
      </c>
      <c r="J402" s="1" t="s">
        <v>5677</v>
      </c>
      <c r="K402" s="7">
        <f t="shared" si="2"/>
        <v>-0.01306092368</v>
      </c>
      <c r="L402" s="7">
        <v>-0.02064583540440341</v>
      </c>
      <c r="M402" s="1">
        <f t="shared" si="1"/>
        <v>2466488</v>
      </c>
    </row>
    <row r="403">
      <c r="A403" s="9">
        <v>46097.0</v>
      </c>
      <c r="B403" s="4">
        <v>2410.0</v>
      </c>
      <c r="C403" s="4">
        <v>2425.0</v>
      </c>
      <c r="D403" s="4">
        <v>2366.1</v>
      </c>
      <c r="E403" s="4">
        <v>2401.0</v>
      </c>
      <c r="F403" s="4">
        <v>2409.2</v>
      </c>
      <c r="G403" s="4">
        <v>2394.18</v>
      </c>
      <c r="H403" s="1" t="s">
        <v>5681</v>
      </c>
      <c r="I403" s="1" t="s">
        <v>5682</v>
      </c>
      <c r="J403" s="1" t="s">
        <v>5683</v>
      </c>
      <c r="K403" s="7">
        <f t="shared" si="2"/>
        <v>-0.0005393071977</v>
      </c>
      <c r="L403" s="7">
        <v>0.01113122054675591</v>
      </c>
      <c r="M403" s="1">
        <f t="shared" si="1"/>
        <v>3807907</v>
      </c>
    </row>
    <row r="404">
      <c r="A404" s="9">
        <v>46098.0</v>
      </c>
      <c r="B404" s="4">
        <v>2420.0</v>
      </c>
      <c r="C404" s="4">
        <v>2420.0</v>
      </c>
      <c r="D404" s="4">
        <v>2360.0</v>
      </c>
      <c r="E404" s="4">
        <v>2394.0</v>
      </c>
      <c r="F404" s="4">
        <v>2391.7</v>
      </c>
      <c r="G404" s="4">
        <v>2387.21</v>
      </c>
      <c r="H404" s="1" t="s">
        <v>5690</v>
      </c>
      <c r="I404" s="1" t="s">
        <v>5691</v>
      </c>
      <c r="J404" s="1" t="s">
        <v>5692</v>
      </c>
      <c r="K404" s="7">
        <f t="shared" si="2"/>
        <v>-0.007263822016</v>
      </c>
      <c r="L404" s="7">
        <v>0.00736261576842906</v>
      </c>
      <c r="M404" s="1">
        <f t="shared" si="1"/>
        <v>2993367</v>
      </c>
    </row>
    <row r="405">
      <c r="A405" s="9">
        <v>46099.0</v>
      </c>
      <c r="B405" s="4">
        <v>2410.0</v>
      </c>
      <c r="C405" s="4">
        <v>2482.9</v>
      </c>
      <c r="D405" s="4">
        <v>2410.0</v>
      </c>
      <c r="E405" s="4">
        <v>2439.0</v>
      </c>
      <c r="F405" s="4">
        <v>2440.8</v>
      </c>
      <c r="G405" s="4">
        <v>2457.23</v>
      </c>
      <c r="H405" s="1" t="s">
        <v>5699</v>
      </c>
      <c r="I405" s="1" t="s">
        <v>5700</v>
      </c>
      <c r="J405" s="1" t="s">
        <v>5701</v>
      </c>
      <c r="K405" s="7">
        <f t="shared" si="2"/>
        <v>0.0205293306</v>
      </c>
      <c r="L405" s="7">
        <v>0.00833928794821278</v>
      </c>
      <c r="M405" s="1">
        <f t="shared" si="1"/>
        <v>3082388</v>
      </c>
    </row>
    <row r="406">
      <c r="A406" s="9">
        <v>46100.0</v>
      </c>
      <c r="B406" s="4">
        <v>2417.0</v>
      </c>
      <c r="C406" s="4">
        <v>2424.0</v>
      </c>
      <c r="D406" s="4">
        <v>2350.2</v>
      </c>
      <c r="E406" s="4">
        <v>2362.8</v>
      </c>
      <c r="F406" s="4">
        <v>2356.0</v>
      </c>
      <c r="G406" s="4">
        <v>2378.78</v>
      </c>
      <c r="H406" s="1" t="s">
        <v>5705</v>
      </c>
      <c r="I406" s="1" t="s">
        <v>5706</v>
      </c>
      <c r="J406" s="1" t="s">
        <v>5707</v>
      </c>
      <c r="K406" s="7">
        <f t="shared" si="2"/>
        <v>-0.03474270731</v>
      </c>
      <c r="L406" s="7">
        <v>-0.032620763905828035</v>
      </c>
      <c r="M406" s="1">
        <f t="shared" si="1"/>
        <v>2757060</v>
      </c>
    </row>
    <row r="407">
      <c r="A407" s="9">
        <v>46101.0</v>
      </c>
      <c r="B407" s="4">
        <v>2386.0</v>
      </c>
      <c r="C407" s="4">
        <v>2407.8</v>
      </c>
      <c r="D407" s="4">
        <v>2364.2</v>
      </c>
      <c r="E407" s="4">
        <v>2397.6</v>
      </c>
      <c r="F407" s="4">
        <v>2390.6</v>
      </c>
      <c r="G407" s="4">
        <v>2384.64</v>
      </c>
      <c r="H407" s="1" t="s">
        <v>5714</v>
      </c>
      <c r="I407" s="1" t="s">
        <v>5715</v>
      </c>
      <c r="J407" s="1" t="s">
        <v>5716</v>
      </c>
      <c r="K407" s="7">
        <f t="shared" si="2"/>
        <v>0.01468590832</v>
      </c>
      <c r="L407" s="7">
        <v>0.004884326030392748</v>
      </c>
      <c r="M407" s="1">
        <f t="shared" si="1"/>
        <v>4206320</v>
      </c>
    </row>
    <row r="408">
      <c r="A408" s="9">
        <v>46104.0</v>
      </c>
      <c r="B408" s="4">
        <v>2365.0</v>
      </c>
      <c r="C408" s="4">
        <v>2406.8</v>
      </c>
      <c r="D408" s="4">
        <v>2348.0</v>
      </c>
      <c r="E408" s="4">
        <v>2380.0</v>
      </c>
      <c r="F408" s="4">
        <v>2383.8</v>
      </c>
      <c r="G408" s="4">
        <v>2389.12</v>
      </c>
      <c r="H408" s="1" t="s">
        <v>5723</v>
      </c>
      <c r="I408" s="1" t="s">
        <v>5724</v>
      </c>
      <c r="J408" s="1" t="s">
        <v>5725</v>
      </c>
      <c r="K408" s="7">
        <f t="shared" si="2"/>
        <v>-0.002844474191</v>
      </c>
      <c r="L408" s="7">
        <v>-0.02603776850029196</v>
      </c>
      <c r="M408" s="1">
        <f t="shared" si="1"/>
        <v>3860515</v>
      </c>
    </row>
    <row r="409">
      <c r="A409" s="9">
        <v>46105.0</v>
      </c>
      <c r="B409" s="4">
        <v>2404.1</v>
      </c>
      <c r="C409" s="4">
        <v>2435.4</v>
      </c>
      <c r="D409" s="4">
        <v>2379.1</v>
      </c>
      <c r="E409" s="4">
        <v>2400.8</v>
      </c>
      <c r="F409" s="4">
        <v>2398.8</v>
      </c>
      <c r="G409" s="4">
        <v>2405.63</v>
      </c>
      <c r="H409" s="1" t="s">
        <v>5729</v>
      </c>
      <c r="I409" s="1" t="s">
        <v>5730</v>
      </c>
      <c r="J409" s="1" t="s">
        <v>5732</v>
      </c>
      <c r="K409" s="7">
        <f t="shared" si="2"/>
        <v>0.006292474201</v>
      </c>
      <c r="L409" s="7">
        <v>0.017756683464629885</v>
      </c>
      <c r="M409" s="1">
        <f t="shared" si="1"/>
        <v>3420182</v>
      </c>
    </row>
    <row r="410">
      <c r="A410" s="9">
        <v>46106.0</v>
      </c>
      <c r="B410" s="4">
        <v>2400.9</v>
      </c>
      <c r="C410" s="4">
        <v>2421.6</v>
      </c>
      <c r="D410" s="4">
        <v>2369.8</v>
      </c>
      <c r="E410" s="4">
        <v>2377.9</v>
      </c>
      <c r="F410" s="4">
        <v>2377.4</v>
      </c>
      <c r="G410" s="4">
        <v>2397.29</v>
      </c>
      <c r="H410" s="1" t="s">
        <v>5738</v>
      </c>
      <c r="I410" s="1" t="s">
        <v>5739</v>
      </c>
      <c r="J410" s="1" t="s">
        <v>5740</v>
      </c>
      <c r="K410" s="7">
        <f t="shared" si="2"/>
        <v>-0.00892112723</v>
      </c>
      <c r="L410" s="7">
        <v>0.017198111066496713</v>
      </c>
      <c r="M410" s="1">
        <f t="shared" si="1"/>
        <v>5843778</v>
      </c>
    </row>
    <row r="411">
      <c r="A411" s="9">
        <v>46108.0</v>
      </c>
      <c r="B411" s="4">
        <v>2403.9</v>
      </c>
      <c r="C411" s="4">
        <v>2422.1</v>
      </c>
      <c r="D411" s="4">
        <v>2385.0</v>
      </c>
      <c r="E411" s="4">
        <v>2387.5</v>
      </c>
      <c r="F411" s="4">
        <v>2389.8</v>
      </c>
      <c r="G411" s="4">
        <v>2403.64</v>
      </c>
      <c r="H411" s="1" t="s">
        <v>5746</v>
      </c>
      <c r="I411" s="1" t="s">
        <v>5748</v>
      </c>
      <c r="J411" s="1" t="s">
        <v>5749</v>
      </c>
      <c r="K411" s="7">
        <f t="shared" si="2"/>
        <v>0.005215781947</v>
      </c>
      <c r="L411" s="7">
        <v>-0.020889067189554914</v>
      </c>
      <c r="M411" s="1">
        <f t="shared" si="1"/>
        <v>4979411</v>
      </c>
    </row>
    <row r="412">
      <c r="A412" s="9">
        <v>46111.0</v>
      </c>
      <c r="B412" s="4">
        <v>2375.1</v>
      </c>
      <c r="C412" s="4">
        <v>2398.0</v>
      </c>
      <c r="D412" s="4">
        <v>2346.2</v>
      </c>
      <c r="E412" s="4">
        <v>2365.0</v>
      </c>
      <c r="F412" s="4">
        <v>2358.9</v>
      </c>
      <c r="G412" s="4">
        <v>2370.92</v>
      </c>
      <c r="H412" s="1" t="s">
        <v>5753</v>
      </c>
      <c r="I412" s="1" t="s">
        <v>5754</v>
      </c>
      <c r="J412" s="1" t="s">
        <v>5755</v>
      </c>
      <c r="K412" s="7">
        <f t="shared" si="2"/>
        <v>-0.0129299523</v>
      </c>
      <c r="L412" s="7">
        <v>-0.02139388946344358</v>
      </c>
      <c r="M412" s="1">
        <f t="shared" si="1"/>
        <v>6804756</v>
      </c>
    </row>
    <row r="413">
      <c r="A413" s="3">
        <v>46113.0</v>
      </c>
      <c r="B413" s="4">
        <v>2429.0</v>
      </c>
      <c r="C413" s="4">
        <v>2472.0</v>
      </c>
      <c r="D413" s="4">
        <v>2397.9</v>
      </c>
      <c r="E413" s="4">
        <v>2411.2</v>
      </c>
      <c r="F413" s="4">
        <v>2408.2</v>
      </c>
      <c r="G413" s="4">
        <v>2433.7</v>
      </c>
      <c r="H413" s="1" t="s">
        <v>5762</v>
      </c>
      <c r="I413" s="1" t="s">
        <v>5763</v>
      </c>
      <c r="J413" s="1" t="s">
        <v>5764</v>
      </c>
      <c r="K413" s="7">
        <f t="shared" si="2"/>
        <v>0.02089957183</v>
      </c>
      <c r="L413" s="7">
        <v>0.015583438566323651</v>
      </c>
      <c r="M413" s="1">
        <f t="shared" si="1"/>
        <v>4132661</v>
      </c>
    </row>
    <row r="414">
      <c r="A414" s="3">
        <v>46114.0</v>
      </c>
      <c r="B414" s="4">
        <v>2386.0</v>
      </c>
      <c r="C414" s="4">
        <v>2469.9</v>
      </c>
      <c r="D414" s="4">
        <v>2375.7</v>
      </c>
      <c r="E414" s="4">
        <v>2445.7</v>
      </c>
      <c r="F414" s="4">
        <v>2450.7</v>
      </c>
      <c r="G414" s="4">
        <v>2428.65</v>
      </c>
      <c r="H414" s="1" t="s">
        <v>5771</v>
      </c>
      <c r="I414" s="1" t="s">
        <v>5772</v>
      </c>
      <c r="J414" s="1" t="s">
        <v>5773</v>
      </c>
      <c r="K414" s="7">
        <f t="shared" si="2"/>
        <v>0.01764803588</v>
      </c>
      <c r="L414" s="7">
        <v>0.001485929962873669</v>
      </c>
      <c r="M414" s="1">
        <f t="shared" si="1"/>
        <v>5378361</v>
      </c>
    </row>
    <row r="415">
      <c r="A415" s="3">
        <v>46118.0</v>
      </c>
      <c r="B415" s="4">
        <v>2474.0</v>
      </c>
      <c r="C415" s="4">
        <v>2482.0</v>
      </c>
      <c r="D415" s="4">
        <v>2448.2</v>
      </c>
      <c r="E415" s="4">
        <v>2472.0</v>
      </c>
      <c r="F415" s="4">
        <v>2473.9</v>
      </c>
      <c r="G415" s="4">
        <v>2465.46</v>
      </c>
      <c r="H415" s="1" t="s">
        <v>5777</v>
      </c>
      <c r="I415" s="1" t="s">
        <v>5779</v>
      </c>
      <c r="J415" s="1" t="s">
        <v>5782</v>
      </c>
      <c r="K415" s="7">
        <f t="shared" si="2"/>
        <v>0.009466682989</v>
      </c>
      <c r="L415" s="7">
        <v>0.011233605276250334</v>
      </c>
      <c r="M415" s="1">
        <f t="shared" si="1"/>
        <v>2572417</v>
      </c>
    </row>
    <row r="416">
      <c r="A416" s="3">
        <v>46119.0</v>
      </c>
      <c r="B416" s="4">
        <v>2461.0</v>
      </c>
      <c r="C416" s="4">
        <v>2543.9</v>
      </c>
      <c r="D416" s="4">
        <v>2448.0</v>
      </c>
      <c r="E416" s="4">
        <v>2543.5</v>
      </c>
      <c r="F416" s="4">
        <v>2539.8</v>
      </c>
      <c r="G416" s="4">
        <v>2522.72</v>
      </c>
      <c r="H416" s="1" t="s">
        <v>5786</v>
      </c>
      <c r="I416" s="1" t="s">
        <v>5787</v>
      </c>
      <c r="J416" s="1" t="s">
        <v>5788</v>
      </c>
      <c r="K416" s="7">
        <f t="shared" si="2"/>
        <v>0.02663810178</v>
      </c>
      <c r="L416" s="7">
        <v>0.0067658615697757316</v>
      </c>
      <c r="M416" s="1">
        <f t="shared" si="1"/>
        <v>4516550</v>
      </c>
    </row>
    <row r="417">
      <c r="A417" s="3">
        <v>46120.0</v>
      </c>
      <c r="B417" s="4">
        <v>2572.0</v>
      </c>
      <c r="C417" s="4">
        <v>2580.3</v>
      </c>
      <c r="D417" s="4">
        <v>2540.1</v>
      </c>
      <c r="E417" s="4">
        <v>2561.1</v>
      </c>
      <c r="F417" s="4">
        <v>2559.2</v>
      </c>
      <c r="G417" s="4">
        <v>2557.13</v>
      </c>
      <c r="H417" s="1" t="s">
        <v>5795</v>
      </c>
      <c r="I417" s="1" t="s">
        <v>5796</v>
      </c>
      <c r="J417" s="1" t="s">
        <v>5797</v>
      </c>
      <c r="K417" s="7">
        <f t="shared" si="2"/>
        <v>0.007638396724</v>
      </c>
      <c r="L417" s="7">
        <v>0.037783827380192876</v>
      </c>
      <c r="M417" s="1">
        <f t="shared" si="1"/>
        <v>4769337</v>
      </c>
    </row>
    <row r="418">
      <c r="A418" s="3">
        <v>46121.0</v>
      </c>
      <c r="B418" s="4">
        <v>2554.0</v>
      </c>
      <c r="C418" s="4">
        <v>2605.0</v>
      </c>
      <c r="D418" s="4">
        <v>2531.1</v>
      </c>
      <c r="E418" s="4">
        <v>2590.0</v>
      </c>
      <c r="F418" s="4">
        <v>2589.0</v>
      </c>
      <c r="G418" s="4">
        <v>2577.84</v>
      </c>
      <c r="H418" s="1" t="s">
        <v>5801</v>
      </c>
      <c r="I418" s="1" t="s">
        <v>5802</v>
      </c>
      <c r="J418" s="1" t="s">
        <v>5804</v>
      </c>
      <c r="K418" s="7">
        <f t="shared" si="2"/>
        <v>0.01164426383</v>
      </c>
      <c r="L418" s="7">
        <v>-0.009261439283920933</v>
      </c>
      <c r="M418" s="1">
        <f t="shared" si="1"/>
        <v>5628261</v>
      </c>
    </row>
    <row r="419">
      <c r="A419" s="9">
        <v>46122.0</v>
      </c>
      <c r="B419" s="4">
        <v>2565.8</v>
      </c>
      <c r="C419" s="4">
        <v>2565.8</v>
      </c>
      <c r="D419" s="4">
        <v>2501.1</v>
      </c>
      <c r="E419" s="4">
        <v>2523.0</v>
      </c>
      <c r="F419" s="4">
        <v>2524.3</v>
      </c>
      <c r="G419" s="4">
        <v>2522.67</v>
      </c>
      <c r="H419" s="1" t="s">
        <v>5810</v>
      </c>
      <c r="I419" s="1" t="s">
        <v>5811</v>
      </c>
      <c r="J419" s="1" t="s">
        <v>5812</v>
      </c>
      <c r="K419" s="7">
        <f t="shared" si="2"/>
        <v>-0.02499034376</v>
      </c>
      <c r="L419" s="7">
        <v>0.01158775357411746</v>
      </c>
      <c r="M419" s="1">
        <f t="shared" si="1"/>
        <v>10480239</v>
      </c>
    </row>
    <row r="420">
      <c r="A420" s="9">
        <v>46125.0</v>
      </c>
      <c r="B420" s="4">
        <v>2489.9</v>
      </c>
      <c r="C420" s="4">
        <v>2504.9</v>
      </c>
      <c r="D420" s="4">
        <v>2470.0</v>
      </c>
      <c r="E420" s="4">
        <v>2470.7</v>
      </c>
      <c r="F420" s="4">
        <v>2472.6</v>
      </c>
      <c r="G420" s="4">
        <v>2480.4</v>
      </c>
      <c r="H420" s="1" t="s">
        <v>5816</v>
      </c>
      <c r="I420" s="1" t="s">
        <v>5817</v>
      </c>
      <c r="J420" s="1" t="s">
        <v>5818</v>
      </c>
      <c r="K420" s="7">
        <f t="shared" si="2"/>
        <v>-0.02048092541</v>
      </c>
      <c r="L420" s="7">
        <v>-0.008646353937115794</v>
      </c>
      <c r="M420" s="1">
        <f t="shared" si="1"/>
        <v>3739587</v>
      </c>
    </row>
    <row r="421">
      <c r="A421" s="9">
        <v>46127.0</v>
      </c>
      <c r="B421" s="4">
        <v>2501.9</v>
      </c>
      <c r="C421" s="4">
        <v>2559.0</v>
      </c>
      <c r="D421" s="4">
        <v>2493.4</v>
      </c>
      <c r="E421" s="4">
        <v>2552.8</v>
      </c>
      <c r="F421" s="4">
        <v>2554.9</v>
      </c>
      <c r="G421" s="4">
        <v>2542.02</v>
      </c>
      <c r="H421" s="1" t="s">
        <v>5823</v>
      </c>
      <c r="I421" s="1" t="s">
        <v>5825</v>
      </c>
      <c r="J421" s="1" t="s">
        <v>5827</v>
      </c>
      <c r="K421" s="7">
        <f t="shared" si="2"/>
        <v>0.03328480142</v>
      </c>
      <c r="L421" s="7">
        <v>0.01630062094607763</v>
      </c>
      <c r="M421" s="1">
        <f t="shared" si="1"/>
        <v>5261384</v>
      </c>
    </row>
    <row r="422">
      <c r="A422" s="9">
        <v>46128.0</v>
      </c>
      <c r="B422" s="4">
        <v>2572.0</v>
      </c>
      <c r="C422" s="4">
        <v>2594.0</v>
      </c>
      <c r="D422" s="4">
        <v>2558.0</v>
      </c>
      <c r="E422" s="4">
        <v>2573.0</v>
      </c>
      <c r="F422" s="4">
        <v>2576.9</v>
      </c>
      <c r="G422" s="4">
        <v>2575.26</v>
      </c>
      <c r="H422" s="1" t="s">
        <v>5831</v>
      </c>
      <c r="I422" s="1" t="s">
        <v>5832</v>
      </c>
      <c r="J422" s="1" t="s">
        <v>5833</v>
      </c>
      <c r="K422" s="7">
        <f t="shared" si="2"/>
        <v>0.008610904536</v>
      </c>
      <c r="L422" s="7">
        <v>-0.0014258417831482123</v>
      </c>
      <c r="M422" s="1">
        <f t="shared" si="1"/>
        <v>3905403</v>
      </c>
    </row>
    <row r="423">
      <c r="A423" s="9">
        <v>46129.0</v>
      </c>
      <c r="B423" s="4">
        <v>2570.0</v>
      </c>
      <c r="C423" s="4">
        <v>2589.0</v>
      </c>
      <c r="D423" s="4">
        <v>2555.9</v>
      </c>
      <c r="E423" s="4">
        <v>2583.6</v>
      </c>
      <c r="F423" s="4">
        <v>2581.5</v>
      </c>
      <c r="G423" s="4">
        <v>2577.98</v>
      </c>
      <c r="H423" s="1" t="s">
        <v>5837</v>
      </c>
      <c r="I423" s="1" t="s">
        <v>5838</v>
      </c>
      <c r="J423" s="1" t="s">
        <v>5839</v>
      </c>
      <c r="K423" s="7">
        <f t="shared" si="2"/>
        <v>0.001785090613</v>
      </c>
      <c r="L423" s="7">
        <v>0.006480209118993223</v>
      </c>
      <c r="M423" s="1">
        <f t="shared" si="1"/>
        <v>2718206</v>
      </c>
    </row>
    <row r="424">
      <c r="A424" s="9">
        <v>46132.0</v>
      </c>
      <c r="B424" s="4">
        <v>2587.1</v>
      </c>
      <c r="C424" s="4">
        <v>2594.0</v>
      </c>
      <c r="D424" s="4">
        <v>2561.2</v>
      </c>
      <c r="E424" s="4">
        <v>2575.9</v>
      </c>
      <c r="F424" s="4">
        <v>2579.6</v>
      </c>
      <c r="G424" s="4">
        <v>2581.08</v>
      </c>
      <c r="H424" s="1" t="s">
        <v>5844</v>
      </c>
      <c r="I424" s="1" t="s">
        <v>5846</v>
      </c>
      <c r="J424" s="1" t="s">
        <v>5847</v>
      </c>
      <c r="K424" s="7">
        <f t="shared" si="2"/>
        <v>-0.0007360061979</v>
      </c>
      <c r="L424" s="7">
        <v>4.639980618841718E-4</v>
      </c>
      <c r="M424" s="1">
        <f t="shared" si="1"/>
        <v>2288558</v>
      </c>
    </row>
    <row r="425">
      <c r="A425" s="9">
        <v>46133.0</v>
      </c>
      <c r="B425" s="4">
        <v>2560.0</v>
      </c>
      <c r="C425" s="4">
        <v>2614.0</v>
      </c>
      <c r="D425" s="4">
        <v>2560.0</v>
      </c>
      <c r="E425" s="4">
        <v>2609.9</v>
      </c>
      <c r="F425" s="4">
        <v>2610.5</v>
      </c>
      <c r="G425" s="4">
        <v>2596.45</v>
      </c>
      <c r="H425" s="1" t="s">
        <v>5851</v>
      </c>
      <c r="I425" s="1" t="s">
        <v>5852</v>
      </c>
      <c r="J425" s="1" t="s">
        <v>5853</v>
      </c>
      <c r="K425" s="7">
        <f t="shared" si="2"/>
        <v>0.01197860133</v>
      </c>
      <c r="L425" s="7">
        <v>0.00869079842477996</v>
      </c>
      <c r="M425" s="1">
        <f t="shared" si="1"/>
        <v>2719959</v>
      </c>
    </row>
    <row r="426">
      <c r="A426" s="9">
        <v>46134.0</v>
      </c>
      <c r="B426" s="4">
        <v>2580.0</v>
      </c>
      <c r="C426" s="4">
        <v>2580.0</v>
      </c>
      <c r="D426" s="4">
        <v>2503.6</v>
      </c>
      <c r="E426" s="4">
        <v>2535.3</v>
      </c>
      <c r="F426" s="4">
        <v>2538.5</v>
      </c>
      <c r="G426" s="4">
        <v>2543.73</v>
      </c>
      <c r="H426" s="1" t="s">
        <v>5857</v>
      </c>
      <c r="I426" s="1" t="s">
        <v>5858</v>
      </c>
      <c r="J426" s="1" t="s">
        <v>5859</v>
      </c>
      <c r="K426" s="7">
        <f t="shared" si="2"/>
        <v>-0.02758092319</v>
      </c>
      <c r="L426" s="7">
        <v>-0.008076788489864343</v>
      </c>
      <c r="M426" s="1">
        <f t="shared" si="1"/>
        <v>5232045</v>
      </c>
    </row>
    <row r="427">
      <c r="A427" s="9">
        <v>46135.0</v>
      </c>
      <c r="B427" s="4">
        <v>2529.0</v>
      </c>
      <c r="C427" s="4">
        <v>2559.5</v>
      </c>
      <c r="D427" s="4">
        <v>2516.3</v>
      </c>
      <c r="E427" s="4">
        <v>2518.2</v>
      </c>
      <c r="F427" s="4">
        <v>2521.8</v>
      </c>
      <c r="G427" s="4">
        <v>2538.03</v>
      </c>
      <c r="H427" s="1" t="s">
        <v>5863</v>
      </c>
      <c r="I427" s="1" t="s">
        <v>5864</v>
      </c>
      <c r="J427" s="1" t="s">
        <v>5865</v>
      </c>
      <c r="K427" s="7">
        <f t="shared" si="2"/>
        <v>-0.006578688202</v>
      </c>
      <c r="L427" s="7">
        <v>-0.008411237955377954</v>
      </c>
      <c r="M427" s="1">
        <f t="shared" si="1"/>
        <v>2509050</v>
      </c>
    </row>
    <row r="428">
      <c r="A428" s="9">
        <v>46136.0</v>
      </c>
      <c r="B428" s="4">
        <v>2488.0</v>
      </c>
      <c r="C428" s="4">
        <v>2505.0</v>
      </c>
      <c r="D428" s="4">
        <v>2388.8</v>
      </c>
      <c r="E428" s="4">
        <v>2401.0</v>
      </c>
      <c r="F428" s="4">
        <v>2396.9</v>
      </c>
      <c r="G428" s="4">
        <v>2426.09</v>
      </c>
      <c r="H428" s="1" t="s">
        <v>5869</v>
      </c>
      <c r="I428" s="1" t="s">
        <v>5870</v>
      </c>
      <c r="J428" s="1" t="s">
        <v>5871</v>
      </c>
      <c r="K428" s="7">
        <f t="shared" si="2"/>
        <v>-0.04952811484</v>
      </c>
      <c r="L428" s="7">
        <v>-0.011380442269386715</v>
      </c>
      <c r="M428" s="1">
        <f t="shared" si="1"/>
        <v>5107719</v>
      </c>
    </row>
    <row r="429">
      <c r="A429" s="9">
        <v>46139.0</v>
      </c>
      <c r="B429" s="4">
        <v>2396.9</v>
      </c>
      <c r="C429" s="4">
        <v>2459.0</v>
      </c>
      <c r="D429" s="4">
        <v>2396.9</v>
      </c>
      <c r="E429" s="4">
        <v>2448.0</v>
      </c>
      <c r="F429" s="4">
        <v>2447.6</v>
      </c>
      <c r="G429" s="4">
        <v>2439.56</v>
      </c>
      <c r="H429" s="1" t="s">
        <v>5875</v>
      </c>
      <c r="I429" s="1" t="s">
        <v>5876</v>
      </c>
      <c r="J429" s="1" t="s">
        <v>5877</v>
      </c>
      <c r="K429" s="7">
        <f t="shared" si="2"/>
        <v>0.02115232175</v>
      </c>
      <c r="L429" s="7">
        <v>0.008149234557775876</v>
      </c>
      <c r="M429" s="1">
        <f t="shared" si="1"/>
        <v>5853425</v>
      </c>
    </row>
    <row r="430">
      <c r="A430" s="9">
        <v>46140.0</v>
      </c>
      <c r="B430" s="4">
        <v>2444.0</v>
      </c>
      <c r="C430" s="4">
        <v>2487.0</v>
      </c>
      <c r="D430" s="4">
        <v>2427.4</v>
      </c>
      <c r="E430" s="4">
        <v>2450.7</v>
      </c>
      <c r="F430" s="4">
        <v>2444.7</v>
      </c>
      <c r="G430" s="4">
        <v>2452.87</v>
      </c>
      <c r="H430" s="1" t="s">
        <v>5881</v>
      </c>
      <c r="I430" s="1" t="s">
        <v>5882</v>
      </c>
      <c r="J430" s="1" t="s">
        <v>5883</v>
      </c>
      <c r="K430" s="7">
        <f t="shared" si="2"/>
        <v>-0.001184834123</v>
      </c>
      <c r="L430" s="7">
        <v>-0.004026115794410755</v>
      </c>
      <c r="M430" s="1">
        <f t="shared" si="1"/>
        <v>4508363</v>
      </c>
    </row>
    <row r="431">
      <c r="A431" s="9">
        <v>46141.0</v>
      </c>
      <c r="B431" s="4">
        <v>2451.0</v>
      </c>
      <c r="C431" s="4">
        <v>2487.9</v>
      </c>
      <c r="D431" s="4">
        <v>2447.6</v>
      </c>
      <c r="E431" s="4">
        <v>2465.0</v>
      </c>
      <c r="F431" s="4">
        <v>2474.7</v>
      </c>
      <c r="G431" s="4">
        <v>2473.75</v>
      </c>
      <c r="H431" s="1" t="s">
        <v>5887</v>
      </c>
      <c r="I431" s="1" t="s">
        <v>5888</v>
      </c>
      <c r="J431" s="1" t="s">
        <v>5889</v>
      </c>
      <c r="K431" s="7">
        <f t="shared" si="2"/>
        <v>0.01227144435</v>
      </c>
      <c r="L431" s="7">
        <v>0.007582608550698697</v>
      </c>
      <c r="M431" s="1">
        <f t="shared" si="1"/>
        <v>2835961</v>
      </c>
    </row>
    <row r="432">
      <c r="A432" s="9">
        <v>46142.0</v>
      </c>
      <c r="B432" s="4">
        <v>2479.0</v>
      </c>
      <c r="C432" s="4">
        <v>2491.0</v>
      </c>
      <c r="D432" s="4">
        <v>2438.0</v>
      </c>
      <c r="E432" s="4">
        <v>2474.8</v>
      </c>
      <c r="F432" s="4">
        <v>2473.9</v>
      </c>
      <c r="G432" s="4">
        <v>2470.47</v>
      </c>
      <c r="H432" s="1" t="s">
        <v>5893</v>
      </c>
      <c r="I432" s="1" t="s">
        <v>5894</v>
      </c>
      <c r="J432" s="1" t="s">
        <v>5896</v>
      </c>
      <c r="K432" s="7">
        <f t="shared" si="2"/>
        <v>-0.0003232715077</v>
      </c>
      <c r="L432" s="7">
        <v>-0.00744902833815537</v>
      </c>
      <c r="M432" s="1">
        <f t="shared" si="1"/>
        <v>3970446</v>
      </c>
    </row>
    <row r="433">
      <c r="A433" s="12">
        <v>46146.0</v>
      </c>
      <c r="B433" s="4">
        <v>2494.0</v>
      </c>
      <c r="C433" s="4">
        <v>2498.3</v>
      </c>
      <c r="D433" s="4">
        <v>2425.0</v>
      </c>
      <c r="E433" s="4">
        <v>2430.0</v>
      </c>
      <c r="F433" s="4">
        <v>2431.3</v>
      </c>
      <c r="G433" s="4">
        <v>2444.12</v>
      </c>
      <c r="H433" s="1" t="s">
        <v>5900</v>
      </c>
      <c r="I433" s="1" t="s">
        <v>5902</v>
      </c>
      <c r="J433" s="1" t="s">
        <v>5904</v>
      </c>
      <c r="K433" s="7">
        <f t="shared" si="2"/>
        <v>-0.01721977445</v>
      </c>
      <c r="L433" s="7">
        <v>0.005073434579780019</v>
      </c>
      <c r="M433" s="1">
        <f t="shared" si="1"/>
        <v>2632358</v>
      </c>
    </row>
    <row r="434">
      <c r="A434" s="12">
        <v>46147.0</v>
      </c>
      <c r="B434" s="4">
        <v>2430.0</v>
      </c>
      <c r="C434" s="4">
        <v>2460.4</v>
      </c>
      <c r="D434" s="4">
        <v>2412.2</v>
      </c>
      <c r="E434" s="4">
        <v>2429.8</v>
      </c>
      <c r="F434" s="4">
        <v>2427.3</v>
      </c>
      <c r="G434" s="4">
        <v>2432.41</v>
      </c>
      <c r="H434" s="1" t="s">
        <v>5910</v>
      </c>
      <c r="I434" s="1" t="s">
        <v>5912</v>
      </c>
      <c r="J434" s="1" t="s">
        <v>5913</v>
      </c>
      <c r="K434" s="7">
        <f t="shared" si="2"/>
        <v>-0.001645210381</v>
      </c>
      <c r="L434" s="7">
        <v>-0.0035863395703855418</v>
      </c>
      <c r="M434" s="1">
        <f t="shared" si="1"/>
        <v>3385720</v>
      </c>
    </row>
    <row r="435">
      <c r="A435" s="12">
        <v>46148.0</v>
      </c>
      <c r="B435" s="4">
        <v>2441.9</v>
      </c>
      <c r="C435" s="4">
        <v>2471.0</v>
      </c>
      <c r="D435" s="4">
        <v>2406.5</v>
      </c>
      <c r="E435" s="4">
        <v>2435.0</v>
      </c>
      <c r="F435" s="4">
        <v>2435.4</v>
      </c>
      <c r="G435" s="4">
        <v>2433.81</v>
      </c>
      <c r="H435" s="1" t="s">
        <v>5917</v>
      </c>
      <c r="I435" s="1" t="s">
        <v>5918</v>
      </c>
      <c r="J435" s="1" t="s">
        <v>5919</v>
      </c>
      <c r="K435" s="7">
        <f t="shared" si="2"/>
        <v>0.003337041157</v>
      </c>
      <c r="L435" s="7">
        <v>0.012405961852135475</v>
      </c>
      <c r="M435" s="1">
        <f t="shared" si="1"/>
        <v>3147628</v>
      </c>
    </row>
    <row r="436">
      <c r="A436" s="12">
        <v>46149.0</v>
      </c>
      <c r="B436" s="4">
        <v>2438.2</v>
      </c>
      <c r="C436" s="4">
        <v>2439.7</v>
      </c>
      <c r="D436" s="4">
        <v>2398.0</v>
      </c>
      <c r="E436" s="4">
        <v>2403.0</v>
      </c>
      <c r="F436" s="4">
        <v>2401.4</v>
      </c>
      <c r="G436" s="4">
        <v>2408.44</v>
      </c>
      <c r="H436" s="1" t="s">
        <v>5923</v>
      </c>
      <c r="I436" s="1" t="s">
        <v>5925</v>
      </c>
      <c r="J436" s="1" t="s">
        <v>5927</v>
      </c>
      <c r="K436" s="7">
        <f t="shared" si="2"/>
        <v>-0.01396074567</v>
      </c>
      <c r="L436" s="7">
        <v>-1.7672963858785917E-4</v>
      </c>
      <c r="M436" s="1">
        <f t="shared" si="1"/>
        <v>5829594</v>
      </c>
    </row>
    <row r="437">
      <c r="A437" s="12">
        <v>46150.0</v>
      </c>
      <c r="B437" s="4">
        <v>2398.0</v>
      </c>
      <c r="C437" s="4">
        <v>2407.0</v>
      </c>
      <c r="D437" s="4">
        <v>2375.1</v>
      </c>
      <c r="E437" s="4">
        <v>2397.2</v>
      </c>
      <c r="F437" s="4">
        <v>2394.4</v>
      </c>
      <c r="G437" s="4">
        <v>2387.75</v>
      </c>
      <c r="H437" s="1" t="s">
        <v>5932</v>
      </c>
      <c r="I437" s="1" t="s">
        <v>5933</v>
      </c>
      <c r="J437" s="1" t="s">
        <v>5934</v>
      </c>
      <c r="K437" s="7">
        <f t="shared" si="2"/>
        <v>-0.00291496627</v>
      </c>
      <c r="L437" s="7">
        <v>-0.006186630711585853</v>
      </c>
      <c r="M437" s="1">
        <f t="shared" si="1"/>
        <v>3792199</v>
      </c>
    </row>
    <row r="438">
      <c r="A438" s="13">
        <v>46153.0</v>
      </c>
      <c r="B438" s="4">
        <v>2371.0</v>
      </c>
      <c r="C438" s="4">
        <v>2415.0</v>
      </c>
      <c r="D438" s="4">
        <v>2371.0</v>
      </c>
      <c r="E438" s="4">
        <v>2400.0</v>
      </c>
      <c r="F438" s="4">
        <v>2392.9</v>
      </c>
      <c r="G438" s="4">
        <v>2397.63</v>
      </c>
      <c r="H438" s="1" t="s">
        <v>5938</v>
      </c>
      <c r="I438" s="1" t="s">
        <v>5939</v>
      </c>
      <c r="J438" s="1" t="s">
        <v>5940</v>
      </c>
      <c r="K438" s="7">
        <f t="shared" si="2"/>
        <v>-0.0006264617441</v>
      </c>
      <c r="L438" s="7">
        <v>-0.01490311732844158</v>
      </c>
      <c r="M438" s="1">
        <f t="shared" si="1"/>
        <v>1975188</v>
      </c>
    </row>
    <row r="439">
      <c r="A439" s="13">
        <v>46154.0</v>
      </c>
      <c r="B439" s="4">
        <v>2375.0</v>
      </c>
      <c r="C439" s="4">
        <v>2375.0</v>
      </c>
      <c r="D439" s="4">
        <v>2283.0</v>
      </c>
      <c r="E439" s="4">
        <v>2303.5</v>
      </c>
      <c r="F439" s="4">
        <v>2300.3</v>
      </c>
      <c r="G439" s="4">
        <v>2302.3</v>
      </c>
      <c r="H439" s="1" t="s">
        <v>5947</v>
      </c>
      <c r="I439" s="1" t="s">
        <v>5948</v>
      </c>
      <c r="J439" s="1" t="s">
        <v>5949</v>
      </c>
      <c r="K439" s="7">
        <f t="shared" si="2"/>
        <v>-0.03869781437</v>
      </c>
      <c r="L439" s="7">
        <v>-0.018319732447088777</v>
      </c>
      <c r="M439" s="1">
        <f t="shared" si="1"/>
        <v>6347884</v>
      </c>
    </row>
    <row r="440">
      <c r="A440" s="13">
        <v>46155.0</v>
      </c>
      <c r="B440" s="4">
        <v>2306.0</v>
      </c>
      <c r="C440" s="4">
        <v>2309.2</v>
      </c>
      <c r="D440" s="4">
        <v>2269.0</v>
      </c>
      <c r="E440" s="4">
        <v>2274.0</v>
      </c>
      <c r="F440" s="4">
        <v>2272.8</v>
      </c>
      <c r="G440" s="4">
        <v>2285.14</v>
      </c>
      <c r="H440" s="1" t="s">
        <v>5956</v>
      </c>
      <c r="I440" s="1" t="s">
        <v>5957</v>
      </c>
      <c r="J440" s="1" t="s">
        <v>5958</v>
      </c>
      <c r="K440" s="7">
        <f t="shared" si="2"/>
        <v>-0.0119549624</v>
      </c>
      <c r="L440" s="7">
        <v>0.0014136285771111624</v>
      </c>
      <c r="M440" s="1">
        <f t="shared" si="1"/>
        <v>3171843</v>
      </c>
    </row>
    <row r="441">
      <c r="A441" s="13">
        <v>46156.0</v>
      </c>
      <c r="B441" s="4">
        <v>2265.0</v>
      </c>
      <c r="C441" s="4">
        <v>2265.0</v>
      </c>
      <c r="D441" s="4">
        <v>2206.4</v>
      </c>
      <c r="E441" s="4">
        <v>2249.9</v>
      </c>
      <c r="F441" s="4">
        <v>2246.0</v>
      </c>
      <c r="G441" s="4">
        <v>2236.83</v>
      </c>
      <c r="H441" s="1" t="s">
        <v>5963</v>
      </c>
      <c r="I441" s="1" t="s">
        <v>5965</v>
      </c>
      <c r="J441" s="1" t="s">
        <v>5967</v>
      </c>
      <c r="K441" s="7">
        <f t="shared" si="2"/>
        <v>-0.01179162267</v>
      </c>
      <c r="L441" s="7">
        <v>0.011831236171975774</v>
      </c>
      <c r="M441" s="1">
        <f t="shared" si="1"/>
        <v>5633313</v>
      </c>
    </row>
    <row r="442">
      <c r="A442" s="13">
        <v>46157.0</v>
      </c>
      <c r="B442" s="4">
        <v>2252.0</v>
      </c>
      <c r="C442" s="4">
        <v>2304.9</v>
      </c>
      <c r="D442" s="4">
        <v>2252.0</v>
      </c>
      <c r="E442" s="4">
        <v>2267.0</v>
      </c>
      <c r="F442" s="4">
        <v>2264.0</v>
      </c>
      <c r="G442" s="4">
        <v>2280.06</v>
      </c>
      <c r="H442" s="1" t="s">
        <v>5971</v>
      </c>
      <c r="I442" s="1" t="s">
        <v>5972</v>
      </c>
      <c r="J442" s="1" t="s">
        <v>5974</v>
      </c>
      <c r="K442" s="7">
        <f t="shared" si="2"/>
        <v>0.008014247551</v>
      </c>
      <c r="L442" s="7">
        <v>-0.0019460016209644126</v>
      </c>
      <c r="M442" s="1">
        <f t="shared" si="1"/>
        <v>3410637</v>
      </c>
    </row>
    <row r="443">
      <c r="A443" s="13">
        <v>46160.0</v>
      </c>
      <c r="B443" s="4">
        <v>2264.0</v>
      </c>
      <c r="C443" s="4">
        <v>2292.9</v>
      </c>
      <c r="D443" s="4">
        <v>2252.2</v>
      </c>
      <c r="E443" s="4">
        <v>2289.9</v>
      </c>
      <c r="F443" s="4">
        <v>2283.2</v>
      </c>
      <c r="G443" s="4">
        <v>2277.12</v>
      </c>
      <c r="H443" s="1" t="s">
        <v>5980</v>
      </c>
      <c r="I443" s="1" t="s">
        <v>5981</v>
      </c>
      <c r="J443" s="1" t="s">
        <v>5982</v>
      </c>
      <c r="K443" s="7">
        <f t="shared" si="2"/>
        <v>0.008480565371</v>
      </c>
      <c r="L443" s="7">
        <v>2.728022500899075E-4</v>
      </c>
      <c r="M443" s="1">
        <f t="shared" si="1"/>
        <v>3773336</v>
      </c>
    </row>
    <row r="444">
      <c r="A444" s="13">
        <v>46161.0</v>
      </c>
      <c r="B444" s="4">
        <v>2300.0</v>
      </c>
      <c r="C444" s="4">
        <v>2377.6</v>
      </c>
      <c r="D444" s="4">
        <v>2297.1</v>
      </c>
      <c r="E444" s="4">
        <v>2330.0</v>
      </c>
      <c r="F444" s="4">
        <v>2327.1</v>
      </c>
      <c r="G444" s="4">
        <v>2347.34</v>
      </c>
      <c r="H444" s="1" t="s">
        <v>5989</v>
      </c>
      <c r="I444" s="1" t="s">
        <v>5990</v>
      </c>
      <c r="J444" s="1" t="s">
        <v>5991</v>
      </c>
      <c r="K444" s="7">
        <f t="shared" si="2"/>
        <v>0.01922740014</v>
      </c>
      <c r="L444" s="7">
        <v>-0.0013509542303472408</v>
      </c>
      <c r="M444" s="1">
        <f t="shared" si="1"/>
        <v>10394707</v>
      </c>
    </row>
    <row r="445">
      <c r="A445" s="13">
        <v>46162.0</v>
      </c>
      <c r="B445" s="4">
        <v>2323.9</v>
      </c>
      <c r="C445" s="4">
        <v>2342.0</v>
      </c>
      <c r="D445" s="4">
        <v>2317.8</v>
      </c>
      <c r="E445" s="4">
        <v>2324.1</v>
      </c>
      <c r="F445" s="4">
        <v>2327.4</v>
      </c>
      <c r="G445" s="4">
        <v>2332.61</v>
      </c>
      <c r="H445" s="1" t="s">
        <v>5998</v>
      </c>
      <c r="I445" s="1" t="s">
        <v>5999</v>
      </c>
      <c r="J445" s="11">
        <v>98920.0</v>
      </c>
      <c r="K445" s="7">
        <f t="shared" si="2"/>
        <v>0.000128915818</v>
      </c>
      <c r="L445" s="7">
        <v>0.0017359640951816412</v>
      </c>
      <c r="M445" s="1">
        <f t="shared" si="1"/>
        <v>2537422</v>
      </c>
    </row>
    <row r="446">
      <c r="A446" s="13">
        <v>46163.0</v>
      </c>
      <c r="B446" s="4">
        <v>2331.0</v>
      </c>
      <c r="C446" s="4">
        <v>2335.9</v>
      </c>
      <c r="D446" s="4">
        <v>2314.0</v>
      </c>
      <c r="E446" s="4">
        <v>2325.4</v>
      </c>
      <c r="F446" s="4">
        <v>2327.2</v>
      </c>
      <c r="G446" s="4">
        <v>2324.25</v>
      </c>
      <c r="H446" s="1" t="s">
        <v>6006</v>
      </c>
      <c r="I446" s="1" t="s">
        <v>6007</v>
      </c>
      <c r="J446" s="1" t="s">
        <v>6008</v>
      </c>
      <c r="K446" s="7">
        <f t="shared" si="2"/>
        <v>-0.00008593280055</v>
      </c>
      <c r="L446" s="7">
        <v>-1.817490172872595E-4</v>
      </c>
      <c r="M446" s="1">
        <f t="shared" si="1"/>
        <v>3299087</v>
      </c>
    </row>
    <row r="447">
      <c r="A447" s="13">
        <v>46164.0</v>
      </c>
      <c r="B447" s="4">
        <v>2331.1</v>
      </c>
      <c r="C447" s="4">
        <v>2340.0</v>
      </c>
      <c r="D447" s="4">
        <v>2308.1</v>
      </c>
      <c r="E447" s="4">
        <v>2317.9</v>
      </c>
      <c r="F447" s="4">
        <v>2317.3</v>
      </c>
      <c r="G447" s="4">
        <v>2323.55</v>
      </c>
      <c r="H447" s="1" t="s">
        <v>6015</v>
      </c>
      <c r="I447" s="1" t="s">
        <v>6016</v>
      </c>
      <c r="J447" s="11">
        <v>87846.0</v>
      </c>
      <c r="K447" s="7">
        <f t="shared" si="2"/>
        <v>-0.004254039189</v>
      </c>
      <c r="L447" s="7">
        <v>0.0027309583296342183</v>
      </c>
      <c r="M447" s="1">
        <f t="shared" si="1"/>
        <v>2617262</v>
      </c>
    </row>
    <row r="448">
      <c r="A448" s="13">
        <v>46167.0</v>
      </c>
      <c r="B448" s="4">
        <v>2325.0</v>
      </c>
      <c r="C448" s="4">
        <v>2326.1</v>
      </c>
      <c r="D448" s="4">
        <v>2293.0</v>
      </c>
      <c r="E448" s="4">
        <v>2307.4</v>
      </c>
      <c r="F448" s="4">
        <v>2308.2</v>
      </c>
      <c r="G448" s="4">
        <v>2310.3</v>
      </c>
      <c r="H448" s="1" t="s">
        <v>6023</v>
      </c>
      <c r="I448" s="1" t="s">
        <v>6025</v>
      </c>
      <c r="J448" s="11">
        <v>75809.0</v>
      </c>
      <c r="K448" s="7">
        <f t="shared" si="2"/>
        <v>-0.00392698399</v>
      </c>
      <c r="L448" s="7">
        <v>0.013170709085006786</v>
      </c>
      <c r="M448" s="1">
        <f t="shared" si="1"/>
        <v>3298364</v>
      </c>
    </row>
    <row r="449">
      <c r="A449" s="13">
        <v>46168.0</v>
      </c>
      <c r="B449" s="4">
        <v>2308.2</v>
      </c>
      <c r="C449" s="4">
        <v>2327.9</v>
      </c>
      <c r="D449" s="4">
        <v>2272.4</v>
      </c>
      <c r="E449" s="4">
        <v>2281.4</v>
      </c>
      <c r="F449" s="4">
        <v>2276.2</v>
      </c>
      <c r="G449" s="4">
        <v>2289.98</v>
      </c>
      <c r="H449" s="1" t="s">
        <v>6034</v>
      </c>
      <c r="I449" s="1" t="s">
        <v>6035</v>
      </c>
      <c r="J449" s="1" t="s">
        <v>6036</v>
      </c>
      <c r="K449" s="7">
        <f t="shared" si="2"/>
        <v>-0.01386361667</v>
      </c>
      <c r="L449" s="7">
        <v>-0.004910181135749863</v>
      </c>
      <c r="M449" s="1">
        <f t="shared" si="1"/>
        <v>3587597</v>
      </c>
    </row>
    <row r="450">
      <c r="A450" s="13">
        <v>46169.0</v>
      </c>
      <c r="B450" s="4">
        <v>2275.0</v>
      </c>
      <c r="C450" s="4">
        <v>2295.6</v>
      </c>
      <c r="D450" s="4">
        <v>2260.9</v>
      </c>
      <c r="E450" s="4">
        <v>2289.9</v>
      </c>
      <c r="F450" s="4">
        <v>2284.2</v>
      </c>
      <c r="G450" s="4">
        <v>2276.47</v>
      </c>
      <c r="H450" s="1" t="s">
        <v>6043</v>
      </c>
      <c r="I450" s="1" t="s">
        <v>6044</v>
      </c>
      <c r="J450" s="1" t="s">
        <v>6045</v>
      </c>
      <c r="K450" s="7">
        <f t="shared" si="2"/>
        <v>0.003514629646</v>
      </c>
      <c r="L450" s="7">
        <v>-2.7390157106592757E-4</v>
      </c>
      <c r="M450" s="1">
        <f t="shared" si="1"/>
        <v>2653950</v>
      </c>
    </row>
    <row r="451">
      <c r="A451" s="13">
        <v>46171.0</v>
      </c>
      <c r="B451" s="4">
        <v>2291.0</v>
      </c>
      <c r="C451" s="4">
        <v>2334.0</v>
      </c>
      <c r="D451" s="4">
        <v>2235.0</v>
      </c>
      <c r="E451" s="4">
        <v>2256.0</v>
      </c>
      <c r="F451" s="4">
        <v>2258.9</v>
      </c>
      <c r="G451" s="4">
        <v>2271.96</v>
      </c>
      <c r="H451" s="1" t="s">
        <v>6052</v>
      </c>
      <c r="I451" s="1" t="s">
        <v>6054</v>
      </c>
      <c r="J451" s="1" t="s">
        <v>6056</v>
      </c>
      <c r="K451" s="7">
        <f t="shared" si="2"/>
        <v>-0.01107608791</v>
      </c>
      <c r="L451" s="7">
        <v>-0.015033159535954785</v>
      </c>
      <c r="M451" s="1">
        <f t="shared" si="1"/>
        <v>16331582</v>
      </c>
    </row>
    <row r="452">
      <c r="A452" s="3">
        <v>46174.0</v>
      </c>
      <c r="B452" s="4">
        <v>2284.0</v>
      </c>
      <c r="C452" s="4">
        <v>2335.0</v>
      </c>
      <c r="D452" s="4">
        <v>2280.0</v>
      </c>
      <c r="E452" s="4">
        <v>2296.4</v>
      </c>
      <c r="F452" s="4">
        <v>2297.4</v>
      </c>
      <c r="G452" s="4">
        <v>2300.81</v>
      </c>
      <c r="H452" s="1" t="s">
        <v>6070</v>
      </c>
      <c r="I452" s="1" t="s">
        <v>6073</v>
      </c>
      <c r="J452" s="1" t="s">
        <v>6074</v>
      </c>
      <c r="K452" s="7">
        <f t="shared" si="2"/>
        <v>0.01704369383</v>
      </c>
      <c r="L452" s="7">
        <v>-0.007013408924419593</v>
      </c>
      <c r="M452" s="1">
        <f t="shared" si="1"/>
        <v>7505095</v>
      </c>
    </row>
    <row r="453">
      <c r="A453" s="3">
        <v>46175.0</v>
      </c>
      <c r="B453" s="4">
        <v>2320.0</v>
      </c>
      <c r="C453" s="4">
        <v>2457.4</v>
      </c>
      <c r="D453" s="4">
        <v>2316.2</v>
      </c>
      <c r="E453" s="4">
        <v>2451.1</v>
      </c>
      <c r="F453" s="4">
        <v>2446.9</v>
      </c>
      <c r="G453" s="4">
        <v>2419.08</v>
      </c>
      <c r="H453" s="1" t="s">
        <v>6082</v>
      </c>
      <c r="I453" s="1" t="s">
        <v>6083</v>
      </c>
      <c r="J453" s="1" t="s">
        <v>6084</v>
      </c>
      <c r="K453" s="7">
        <f t="shared" si="2"/>
        <v>0.06507356142</v>
      </c>
      <c r="L453" s="7">
        <v>0.0043173128736753285</v>
      </c>
      <c r="M453" s="1">
        <f t="shared" si="1"/>
        <v>11306127</v>
      </c>
    </row>
    <row r="454">
      <c r="A454" s="3">
        <v>46176.0</v>
      </c>
      <c r="B454" s="4">
        <v>2393.0</v>
      </c>
      <c r="C454" s="4">
        <v>2393.0</v>
      </c>
      <c r="D454" s="4">
        <v>2224.8</v>
      </c>
      <c r="E454" s="4">
        <v>2245.0</v>
      </c>
      <c r="F454" s="4">
        <v>2241.7</v>
      </c>
      <c r="G454" s="4">
        <v>2267.78</v>
      </c>
      <c r="H454" s="1" t="s">
        <v>6091</v>
      </c>
      <c r="I454" s="1" t="s">
        <v>6092</v>
      </c>
      <c r="J454" s="1" t="s">
        <v>6095</v>
      </c>
      <c r="K454" s="7">
        <f t="shared" si="2"/>
        <v>-0.08386121215</v>
      </c>
      <c r="L454" s="7">
        <v>-0.0033193448179683538</v>
      </c>
      <c r="M454" s="1">
        <f t="shared" si="1"/>
        <v>15660062</v>
      </c>
    </row>
    <row r="455">
      <c r="A455" s="3">
        <v>46177.0</v>
      </c>
      <c r="B455" s="4">
        <v>2241.7</v>
      </c>
      <c r="C455" s="4">
        <v>2253.1</v>
      </c>
      <c r="D455" s="4">
        <v>2216.6</v>
      </c>
      <c r="E455" s="4">
        <v>2243.0</v>
      </c>
      <c r="F455" s="4">
        <v>2241.0</v>
      </c>
      <c r="G455" s="4">
        <v>2236.45</v>
      </c>
      <c r="H455" s="1" t="s">
        <v>6111</v>
      </c>
      <c r="I455" s="1" t="s">
        <v>6113</v>
      </c>
      <c r="J455" s="1" t="s">
        <v>6115</v>
      </c>
      <c r="K455" s="7">
        <f t="shared" si="2"/>
        <v>-0.0003122630147</v>
      </c>
      <c r="L455" s="7">
        <v>4.678367570154462E-4</v>
      </c>
      <c r="M455" s="1">
        <f t="shared" si="1"/>
        <v>4867263</v>
      </c>
    </row>
    <row r="456">
      <c r="A456" s="3">
        <v>46178.0</v>
      </c>
      <c r="B456" s="4">
        <v>2262.9</v>
      </c>
      <c r="C456" s="4">
        <v>2271.8</v>
      </c>
      <c r="D456" s="4">
        <v>2192.0</v>
      </c>
      <c r="E456" s="4">
        <v>2196.0</v>
      </c>
      <c r="F456" s="4">
        <v>2198.9</v>
      </c>
      <c r="G456" s="4">
        <v>2219.87</v>
      </c>
      <c r="H456" s="1" t="s">
        <v>6123</v>
      </c>
      <c r="I456" s="1" t="s">
        <v>6124</v>
      </c>
      <c r="J456" s="1" t="s">
        <v>6125</v>
      </c>
      <c r="K456" s="7">
        <f t="shared" si="2"/>
        <v>-0.01878625614</v>
      </c>
      <c r="L456" s="7">
        <v>-0.0021288362290772357</v>
      </c>
      <c r="M456" s="1">
        <f t="shared" si="1"/>
        <v>5019717</v>
      </c>
    </row>
    <row r="457">
      <c r="A457" s="3">
        <v>46181.0</v>
      </c>
      <c r="B457" s="4">
        <v>2170.0</v>
      </c>
      <c r="C457" s="4">
        <v>2177.0</v>
      </c>
      <c r="D457" s="4">
        <v>2143.3</v>
      </c>
      <c r="E457" s="4">
        <v>2149.4</v>
      </c>
      <c r="F457" s="4">
        <v>2151.4</v>
      </c>
      <c r="G457" s="4">
        <v>2158.3</v>
      </c>
      <c r="H457" s="1" t="s">
        <v>6132</v>
      </c>
      <c r="I457" s="1" t="s">
        <v>6134</v>
      </c>
      <c r="J457" s="1" t="s">
        <v>6136</v>
      </c>
      <c r="K457" s="7">
        <f t="shared" si="2"/>
        <v>-0.02160170995</v>
      </c>
      <c r="L457" s="7">
        <v>-0.010429371712736533</v>
      </c>
      <c r="M457" s="1">
        <f t="shared" si="1"/>
        <v>6536734</v>
      </c>
    </row>
    <row r="458">
      <c r="A458" s="3">
        <v>46182.0</v>
      </c>
      <c r="B458" s="4">
        <v>2174.0</v>
      </c>
      <c r="C458" s="4">
        <v>2174.0</v>
      </c>
      <c r="D458" s="4">
        <v>2132.8</v>
      </c>
      <c r="E458" s="4">
        <v>2152.0</v>
      </c>
      <c r="F458" s="4">
        <v>2151.0</v>
      </c>
      <c r="G458" s="4">
        <v>2148.74</v>
      </c>
      <c r="H458" s="1" t="s">
        <v>6143</v>
      </c>
      <c r="I458" s="1" t="s">
        <v>6145</v>
      </c>
      <c r="J458" s="1" t="s">
        <v>6150</v>
      </c>
      <c r="K458" s="7">
        <f t="shared" si="2"/>
        <v>-0.0001859254439</v>
      </c>
      <c r="L458" s="7">
        <v>0.005150715737577241</v>
      </c>
      <c r="M458" s="1">
        <f t="shared" si="1"/>
        <v>4148655</v>
      </c>
    </row>
    <row r="459">
      <c r="A459" s="9">
        <v>46183.0</v>
      </c>
      <c r="B459" s="4">
        <v>2151.3</v>
      </c>
      <c r="C459" s="4">
        <v>2180.8</v>
      </c>
      <c r="D459" s="4">
        <v>2144.8</v>
      </c>
      <c r="E459" s="4">
        <v>2151.8</v>
      </c>
      <c r="F459" s="4">
        <v>2153.9</v>
      </c>
      <c r="G459" s="4">
        <v>2162.42</v>
      </c>
      <c r="H459" s="1" t="s">
        <v>6165</v>
      </c>
      <c r="I459" s="1" t="s">
        <v>6166</v>
      </c>
      <c r="J459" s="1" t="s">
        <v>6167</v>
      </c>
      <c r="K459" s="7">
        <f t="shared" si="2"/>
        <v>0.001348210135</v>
      </c>
      <c r="L459" s="7">
        <v>-0.0011681388514806243</v>
      </c>
      <c r="M459" s="1">
        <f t="shared" si="1"/>
        <v>2848650</v>
      </c>
    </row>
    <row r="460">
      <c r="A460" s="9">
        <v>46184.0</v>
      </c>
      <c r="B460" s="4">
        <v>2127.0</v>
      </c>
      <c r="C460" s="4">
        <v>2154.6</v>
      </c>
      <c r="D460" s="4">
        <v>2110.0</v>
      </c>
      <c r="E460" s="4">
        <v>2136.7</v>
      </c>
      <c r="F460" s="4">
        <v>2135.6</v>
      </c>
      <c r="G460" s="4">
        <v>2132.03</v>
      </c>
      <c r="H460" s="1" t="s">
        <v>6174</v>
      </c>
      <c r="I460" s="1" t="s">
        <v>6175</v>
      </c>
      <c r="J460" s="1" t="s">
        <v>6176</v>
      </c>
      <c r="K460" s="7">
        <f t="shared" si="2"/>
        <v>-0.008496216166</v>
      </c>
      <c r="L460" s="7">
        <v>-0.002298088085479494</v>
      </c>
      <c r="M460" s="1">
        <f t="shared" si="1"/>
        <v>3079815</v>
      </c>
    </row>
    <row r="461">
      <c r="A461" s="9">
        <v>46185.0</v>
      </c>
      <c r="B461" s="4">
        <v>2150.0</v>
      </c>
      <c r="C461" s="4">
        <v>2168.0</v>
      </c>
      <c r="D461" s="4">
        <v>2138.0</v>
      </c>
      <c r="E461" s="4">
        <v>2161.1</v>
      </c>
      <c r="F461" s="4">
        <v>2161.4</v>
      </c>
      <c r="G461" s="4">
        <v>2153.15</v>
      </c>
      <c r="H461" s="1" t="s">
        <v>6183</v>
      </c>
      <c r="I461" s="1" t="s">
        <v>6184</v>
      </c>
      <c r="J461" s="11">
        <v>98414.0</v>
      </c>
      <c r="K461" s="7">
        <f t="shared" si="2"/>
        <v>0.01208091403</v>
      </c>
      <c r="L461" s="7">
        <v>0.019916586073501094</v>
      </c>
      <c r="M461" s="1">
        <f t="shared" si="1"/>
        <v>2124656</v>
      </c>
    </row>
    <row r="462">
      <c r="A462" s="9">
        <v>46188.0</v>
      </c>
      <c r="B462" s="4">
        <v>2192.0</v>
      </c>
      <c r="C462" s="4">
        <v>2192.0</v>
      </c>
      <c r="D462" s="4">
        <v>2159.3</v>
      </c>
      <c r="E462" s="4">
        <v>2162.6</v>
      </c>
      <c r="F462" s="4">
        <v>2162.0</v>
      </c>
      <c r="G462" s="4">
        <v>2170.27</v>
      </c>
      <c r="H462" s="1" t="s">
        <v>6197</v>
      </c>
      <c r="I462" s="1" t="s">
        <v>6198</v>
      </c>
      <c r="J462" s="1" t="s">
        <v>6199</v>
      </c>
      <c r="K462" s="7">
        <f t="shared" si="2"/>
        <v>0.0002775978532</v>
      </c>
      <c r="L462" s="7">
        <v>0.00977864699084363</v>
      </c>
      <c r="M462" s="1">
        <f t="shared" si="1"/>
        <v>3337083</v>
      </c>
    </row>
    <row r="463">
      <c r="A463" s="9">
        <v>46189.0</v>
      </c>
      <c r="B463" s="4">
        <v>2167.0</v>
      </c>
      <c r="C463" s="4">
        <v>2209.0</v>
      </c>
      <c r="D463" s="4">
        <v>2160.6</v>
      </c>
      <c r="E463" s="4">
        <v>2197.9</v>
      </c>
      <c r="F463" s="4">
        <v>2199.0</v>
      </c>
      <c r="G463" s="4">
        <v>2189.97</v>
      </c>
      <c r="H463" s="1" t="s">
        <v>6205</v>
      </c>
      <c r="I463" s="1" t="s">
        <v>6206</v>
      </c>
      <c r="J463" s="1" t="s">
        <v>6207</v>
      </c>
      <c r="K463" s="7">
        <f t="shared" si="2"/>
        <v>0.01711378353</v>
      </c>
      <c r="L463" s="7">
        <v>0.005669932380030099</v>
      </c>
      <c r="M463" s="1">
        <f t="shared" si="1"/>
        <v>3079898</v>
      </c>
    </row>
    <row r="464">
      <c r="A464" s="9">
        <v>46190.0</v>
      </c>
      <c r="B464" s="4">
        <v>2209.0</v>
      </c>
      <c r="C464" s="4">
        <v>2231.0</v>
      </c>
      <c r="D464" s="4">
        <v>2200.7</v>
      </c>
      <c r="E464" s="4">
        <v>2221.0</v>
      </c>
      <c r="F464" s="4">
        <v>2223.0</v>
      </c>
      <c r="G464" s="4">
        <v>2220.4</v>
      </c>
      <c r="H464" s="1" t="s">
        <v>6214</v>
      </c>
      <c r="I464" s="1" t="s">
        <v>6215</v>
      </c>
      <c r="J464" s="1" t="s">
        <v>6216</v>
      </c>
      <c r="K464" s="7">
        <f t="shared" si="2"/>
        <v>0.01091405184</v>
      </c>
      <c r="L464" s="7">
        <v>0.004024736182815951</v>
      </c>
      <c r="M464" s="1">
        <f t="shared" si="1"/>
        <v>2865010</v>
      </c>
    </row>
    <row r="465">
      <c r="A465" s="9">
        <v>46191.0</v>
      </c>
      <c r="B465" s="4">
        <v>2209.0</v>
      </c>
      <c r="C465" s="4">
        <v>2214.0</v>
      </c>
      <c r="D465" s="4">
        <v>2182.0</v>
      </c>
      <c r="E465" s="4">
        <v>2202.5</v>
      </c>
      <c r="F465" s="4">
        <v>2203.3</v>
      </c>
      <c r="G465" s="4">
        <v>2197.22</v>
      </c>
      <c r="H465" s="1" t="s">
        <v>6223</v>
      </c>
      <c r="I465" s="1" t="s">
        <v>6225</v>
      </c>
      <c r="J465" s="1" t="s">
        <v>6227</v>
      </c>
      <c r="K465" s="7">
        <f t="shared" si="2"/>
        <v>-0.008861898336</v>
      </c>
      <c r="L465" s="7">
        <v>0.0034169652532415194</v>
      </c>
      <c r="M465" s="1">
        <f t="shared" si="1"/>
        <v>3735188</v>
      </c>
    </row>
    <row r="466">
      <c r="A466" s="9">
        <v>46192.0</v>
      </c>
      <c r="B466" s="4">
        <v>2105.0</v>
      </c>
      <c r="C466" s="4">
        <v>2138.0</v>
      </c>
      <c r="D466" s="4">
        <v>2059.9</v>
      </c>
      <c r="E466" s="4">
        <v>2135.9</v>
      </c>
      <c r="F466" s="4">
        <v>2125.0</v>
      </c>
      <c r="G466" s="4">
        <v>2089.19</v>
      </c>
      <c r="H466" s="1" t="s">
        <v>6234</v>
      </c>
      <c r="I466" s="1" t="s">
        <v>6235</v>
      </c>
      <c r="J466" s="1" t="s">
        <v>6237</v>
      </c>
      <c r="K466" s="7">
        <f t="shared" si="2"/>
        <v>-0.03553760269</v>
      </c>
      <c r="L466" s="7">
        <v>-0.006409301555776293</v>
      </c>
      <c r="M466" s="1">
        <f t="shared" si="1"/>
        <v>13286502</v>
      </c>
    </row>
    <row r="467">
      <c r="A467" s="9">
        <v>46195.0</v>
      </c>
      <c r="B467" s="4">
        <v>2132.2</v>
      </c>
      <c r="C467" s="4">
        <v>2157.0</v>
      </c>
      <c r="D467" s="4">
        <v>2121.0</v>
      </c>
      <c r="E467" s="4">
        <v>2129.5</v>
      </c>
      <c r="F467" s="4">
        <v>2127.8</v>
      </c>
      <c r="G467" s="4">
        <v>2135.79</v>
      </c>
      <c r="H467" s="1" t="s">
        <v>6243</v>
      </c>
      <c r="I467" s="1" t="s">
        <v>6245</v>
      </c>
      <c r="J467" s="1" t="s">
        <v>6247</v>
      </c>
      <c r="K467" s="7">
        <f t="shared" si="2"/>
        <v>0.001317647059</v>
      </c>
      <c r="L467" s="7">
        <v>0.003739625454439573</v>
      </c>
      <c r="M467" s="1">
        <f t="shared" si="1"/>
        <v>4566101</v>
      </c>
    </row>
    <row r="468">
      <c r="A468" s="9">
        <v>46196.0</v>
      </c>
      <c r="B468" s="4">
        <v>2111.0</v>
      </c>
      <c r="C468" s="4">
        <v>2114.0</v>
      </c>
      <c r="D468" s="4">
        <v>2055.0</v>
      </c>
      <c r="E468" s="4">
        <v>2060.0</v>
      </c>
      <c r="F468" s="4">
        <v>2059.6</v>
      </c>
      <c r="G468" s="4">
        <v>2073.42</v>
      </c>
      <c r="H468" s="1" t="s">
        <v>6254</v>
      </c>
      <c r="I468" s="1" t="s">
        <v>6256</v>
      </c>
      <c r="J468" s="1" t="s">
        <v>6257</v>
      </c>
      <c r="K468" s="7">
        <f t="shared" si="2"/>
        <v>-0.03205188458</v>
      </c>
      <c r="L468" s="7">
        <v>-0.011567072841857325</v>
      </c>
      <c r="M468" s="1">
        <f t="shared" si="1"/>
        <v>6392736</v>
      </c>
    </row>
    <row r="469">
      <c r="A469" s="9">
        <v>46197.0</v>
      </c>
      <c r="B469" s="4">
        <v>2061.0</v>
      </c>
      <c r="C469" s="4">
        <v>2120.7</v>
      </c>
      <c r="D469" s="4">
        <v>2061.0</v>
      </c>
      <c r="E469" s="4">
        <v>2107.1</v>
      </c>
      <c r="F469" s="4">
        <v>2109.0</v>
      </c>
      <c r="G469" s="4">
        <v>2093.61</v>
      </c>
      <c r="H469" s="1" t="s">
        <v>6264</v>
      </c>
      <c r="I469" s="1" t="s">
        <v>6265</v>
      </c>
      <c r="J469" s="1" t="s">
        <v>6266</v>
      </c>
      <c r="K469" s="7">
        <f t="shared" si="2"/>
        <v>0.02398523985</v>
      </c>
      <c r="L469" s="7">
        <v>0.008292023623138038</v>
      </c>
      <c r="M469" s="1">
        <f t="shared" si="1"/>
        <v>4747277</v>
      </c>
    </row>
    <row r="470">
      <c r="A470" s="9">
        <v>46198.0</v>
      </c>
      <c r="B470" s="4">
        <v>2133.6</v>
      </c>
      <c r="C470" s="4">
        <v>2148.5</v>
      </c>
      <c r="D470" s="4">
        <v>2088.0</v>
      </c>
      <c r="E470" s="4">
        <v>2095.9</v>
      </c>
      <c r="F470" s="4">
        <v>2094.7</v>
      </c>
      <c r="G470" s="4">
        <v>2117.73</v>
      </c>
      <c r="H470" s="1" t="s">
        <v>6267</v>
      </c>
      <c r="I470" s="1" t="s">
        <v>6268</v>
      </c>
      <c r="J470" s="1" t="s">
        <v>6269</v>
      </c>
      <c r="K470" s="7">
        <f t="shared" si="2"/>
        <v>-0.006780464675</v>
      </c>
      <c r="L470" s="7">
        <v>0.0014299600568653088</v>
      </c>
      <c r="M470" s="1">
        <f t="shared" si="1"/>
        <v>4738903</v>
      </c>
    </row>
    <row r="471">
      <c r="A471" s="9">
        <v>46202.0</v>
      </c>
      <c r="B471" s="4">
        <v>2090.0</v>
      </c>
      <c r="C471" s="4">
        <v>2105.0</v>
      </c>
      <c r="D471" s="4">
        <v>2071.0</v>
      </c>
      <c r="E471" s="4">
        <v>2094.0</v>
      </c>
      <c r="F471" s="4">
        <v>2097.9</v>
      </c>
      <c r="G471" s="4">
        <v>2089.53</v>
      </c>
      <c r="H471" s="1" t="s">
        <v>6274</v>
      </c>
      <c r="I471" s="1" t="s">
        <v>6275</v>
      </c>
      <c r="J471" s="1" t="s">
        <v>6276</v>
      </c>
      <c r="K471" s="7">
        <f t="shared" si="2"/>
        <v>0.001527665059</v>
      </c>
      <c r="L471" s="7">
        <v>-0.004562271366810775</v>
      </c>
      <c r="M471" s="1">
        <f t="shared" si="1"/>
        <v>3412470</v>
      </c>
    </row>
    <row r="472">
      <c r="A472" s="9">
        <v>46203.0</v>
      </c>
      <c r="B472" s="4">
        <v>2090.0</v>
      </c>
      <c r="C472" s="4">
        <v>2104.3</v>
      </c>
      <c r="D472" s="4">
        <v>2018.8</v>
      </c>
      <c r="E472" s="4">
        <v>2033.0</v>
      </c>
      <c r="F472" s="4">
        <v>2031.5</v>
      </c>
      <c r="G472" s="4">
        <v>2042.05</v>
      </c>
      <c r="H472" s="1" t="s">
        <v>6283</v>
      </c>
      <c r="I472" s="1" t="s">
        <v>6285</v>
      </c>
      <c r="J472" s="1" t="s">
        <v>6287</v>
      </c>
      <c r="K472" s="7">
        <f t="shared" si="2"/>
        <v>-0.03165069832</v>
      </c>
      <c r="L472" s="7">
        <v>-0.0033616954637991333</v>
      </c>
      <c r="M472" s="1">
        <f t="shared" si="1"/>
        <v>6848411</v>
      </c>
    </row>
    <row r="473">
      <c r="A473" s="3">
        <v>46204.0</v>
      </c>
      <c r="B473" s="4">
        <v>2039.9</v>
      </c>
      <c r="C473" s="4">
        <v>2052.0</v>
      </c>
      <c r="D473" s="4">
        <v>1976.8</v>
      </c>
      <c r="E473" s="4">
        <v>1981.8</v>
      </c>
      <c r="F473" s="4">
        <v>1982.6</v>
      </c>
      <c r="G473" s="4">
        <v>2006.75</v>
      </c>
      <c r="H473" s="1" t="s">
        <v>6291</v>
      </c>
      <c r="I473" s="1" t="s">
        <v>6292</v>
      </c>
      <c r="J473" s="1" t="s">
        <v>2780</v>
      </c>
      <c r="K473" s="7">
        <f t="shared" si="2"/>
        <v>-0.02407088358</v>
      </c>
      <c r="L473" s="7">
        <v>0.005870337198705196</v>
      </c>
      <c r="M473" s="1">
        <f t="shared" si="1"/>
        <v>4658295</v>
      </c>
    </row>
    <row r="474">
      <c r="A474" s="3">
        <v>46205.0</v>
      </c>
      <c r="B474" s="4">
        <v>2008.0</v>
      </c>
      <c r="C474" s="4">
        <v>2076.9</v>
      </c>
      <c r="D474" s="4">
        <v>2002.5</v>
      </c>
      <c r="E474" s="4">
        <v>2070.9</v>
      </c>
      <c r="F474" s="4">
        <v>2068.1</v>
      </c>
      <c r="G474" s="4">
        <v>2051.09</v>
      </c>
      <c r="H474" s="1" t="s">
        <v>6299</v>
      </c>
      <c r="I474" s="1" t="s">
        <v>6300</v>
      </c>
      <c r="J474" s="1" t="s">
        <v>6302</v>
      </c>
      <c r="K474" s="7">
        <f t="shared" si="2"/>
        <v>0.04312518915</v>
      </c>
      <c r="L474" s="7">
        <v>0.007075358714646729</v>
      </c>
      <c r="M474" s="1">
        <f t="shared" si="1"/>
        <v>6040621</v>
      </c>
    </row>
    <row r="475">
      <c r="A475" s="3">
        <v>46206.0</v>
      </c>
      <c r="B475" s="4">
        <v>2100.0</v>
      </c>
      <c r="C475" s="4">
        <v>2116.6</v>
      </c>
      <c r="D475" s="4">
        <v>2085.0</v>
      </c>
      <c r="E475" s="4">
        <v>2088.0</v>
      </c>
      <c r="F475" s="4">
        <v>2093.5</v>
      </c>
      <c r="G475" s="4">
        <v>2099.43</v>
      </c>
      <c r="H475" s="1" t="s">
        <v>6310</v>
      </c>
      <c r="I475" s="1" t="s">
        <v>6311</v>
      </c>
      <c r="J475" s="1" t="s">
        <v>6312</v>
      </c>
      <c r="K475" s="7">
        <f t="shared" si="2"/>
        <v>0.01228180455</v>
      </c>
      <c r="L475" s="7">
        <v>0.003935770215546926</v>
      </c>
      <c r="M475" s="1">
        <f t="shared" si="1"/>
        <v>4028819</v>
      </c>
    </row>
    <row r="476">
      <c r="A476" s="3">
        <v>46209.0</v>
      </c>
      <c r="B476" s="4">
        <v>2090.0</v>
      </c>
      <c r="C476" s="4">
        <v>2093.0</v>
      </c>
      <c r="D476" s="4">
        <v>2050.6</v>
      </c>
      <c r="E476" s="4">
        <v>2059.0</v>
      </c>
      <c r="F476" s="4">
        <v>2057.6</v>
      </c>
      <c r="G476" s="4">
        <v>2061.87</v>
      </c>
      <c r="H476" s="1" t="s">
        <v>6319</v>
      </c>
      <c r="I476" s="1" t="s">
        <v>6320</v>
      </c>
      <c r="J476" s="1" t="s">
        <v>6323</v>
      </c>
      <c r="K476" s="7">
        <f t="shared" si="2"/>
        <v>-0.01714831622</v>
      </c>
      <c r="L476" s="7">
        <v>0.0065716693070082014</v>
      </c>
      <c r="M476" s="1">
        <f t="shared" si="1"/>
        <v>2567386</v>
      </c>
    </row>
    <row r="477">
      <c r="A477" s="3">
        <v>46210.0</v>
      </c>
      <c r="B477" s="4">
        <v>2050.0</v>
      </c>
      <c r="C477" s="4">
        <v>2122.7</v>
      </c>
      <c r="D477" s="4">
        <v>2049.0</v>
      </c>
      <c r="E477" s="4">
        <v>2095.9</v>
      </c>
      <c r="F477" s="4">
        <v>2096.1</v>
      </c>
      <c r="G477" s="4">
        <v>2098.44</v>
      </c>
      <c r="H477" s="1" t="s">
        <v>6329</v>
      </c>
      <c r="I477" s="1" t="s">
        <v>6330</v>
      </c>
      <c r="J477" s="1" t="s">
        <v>6332</v>
      </c>
      <c r="K477" s="7">
        <f t="shared" si="2"/>
        <v>0.01871111975</v>
      </c>
      <c r="L477" s="7">
        <v>-0.0012955197121612182</v>
      </c>
      <c r="M477" s="1">
        <f t="shared" si="1"/>
        <v>4769048</v>
      </c>
    </row>
    <row r="478">
      <c r="A478" s="3">
        <v>46211.0</v>
      </c>
      <c r="B478" s="4">
        <v>2094.0</v>
      </c>
      <c r="C478" s="4">
        <v>2109.7</v>
      </c>
      <c r="D478" s="4">
        <v>2048.8</v>
      </c>
      <c r="E478" s="4">
        <v>2059.6</v>
      </c>
      <c r="F478" s="4">
        <v>2057.5</v>
      </c>
      <c r="G478" s="4">
        <v>2077.56</v>
      </c>
      <c r="H478" s="1" t="s">
        <v>6337</v>
      </c>
      <c r="I478" s="1" t="s">
        <v>6338</v>
      </c>
      <c r="J478" s="1" t="s">
        <v>6339</v>
      </c>
      <c r="K478" s="7">
        <f t="shared" si="2"/>
        <v>-0.01841515195</v>
      </c>
      <c r="L478" s="7">
        <v>-0.02117530852053599</v>
      </c>
      <c r="M478" s="1">
        <f t="shared" si="1"/>
        <v>3666985</v>
      </c>
    </row>
    <row r="479">
      <c r="A479" s="3">
        <v>46212.0</v>
      </c>
      <c r="B479" s="4">
        <v>2057.5</v>
      </c>
      <c r="C479" s="4">
        <v>2065.0</v>
      </c>
      <c r="D479" s="4">
        <v>2016.0</v>
      </c>
      <c r="E479" s="4">
        <v>2059.0</v>
      </c>
      <c r="F479" s="4">
        <v>2049.5</v>
      </c>
      <c r="G479" s="4">
        <v>2043.56</v>
      </c>
      <c r="H479" s="1" t="s">
        <v>6346</v>
      </c>
      <c r="I479" s="1" t="s">
        <v>6347</v>
      </c>
      <c r="J479" s="1" t="s">
        <v>6348</v>
      </c>
      <c r="K479" s="7">
        <f t="shared" si="2"/>
        <v>-0.003888213852</v>
      </c>
      <c r="L479" s="7">
        <v>0.0033812005250805524</v>
      </c>
      <c r="M479" s="1">
        <f t="shared" si="1"/>
        <v>3791498</v>
      </c>
    </row>
    <row r="480">
      <c r="A480" s="9">
        <v>46213.0</v>
      </c>
      <c r="B480" s="4">
        <v>2105.2</v>
      </c>
      <c r="C480" s="4">
        <v>2133.3</v>
      </c>
      <c r="D480" s="4">
        <v>2064.6</v>
      </c>
      <c r="E480" s="4">
        <v>2068.0</v>
      </c>
      <c r="F480" s="4">
        <v>2069.0</v>
      </c>
      <c r="G480" s="4">
        <v>2088.11</v>
      </c>
      <c r="H480" s="1" t="s">
        <v>6352</v>
      </c>
      <c r="I480" s="1" t="s">
        <v>6353</v>
      </c>
      <c r="J480" s="1" t="s">
        <v>6354</v>
      </c>
      <c r="K480" s="7">
        <f t="shared" si="2"/>
        <v>0.009514515736</v>
      </c>
      <c r="L480" s="7">
        <v>0.010186622598360884</v>
      </c>
      <c r="M480" s="1">
        <f t="shared" si="1"/>
        <v>6714551</v>
      </c>
    </row>
    <row r="481">
      <c r="A481" s="9">
        <v>46216.0</v>
      </c>
      <c r="B481" s="4">
        <v>2075.0</v>
      </c>
      <c r="C481" s="4">
        <v>2204.9</v>
      </c>
      <c r="D481" s="4">
        <v>2065.1</v>
      </c>
      <c r="E481" s="4">
        <v>2182.9</v>
      </c>
      <c r="F481" s="4">
        <v>2181.5</v>
      </c>
      <c r="G481" s="4">
        <v>2162.9</v>
      </c>
      <c r="H481" s="1" t="s">
        <v>6355</v>
      </c>
      <c r="I481" s="1" t="s">
        <v>6357</v>
      </c>
      <c r="J481" s="1" t="s">
        <v>6359</v>
      </c>
      <c r="K481" s="7">
        <f t="shared" si="2"/>
        <v>0.05437409377</v>
      </c>
      <c r="L481" s="7">
        <v>1.6937319524592347E-4</v>
      </c>
      <c r="M481" s="1">
        <f t="shared" si="1"/>
        <v>12382622</v>
      </c>
    </row>
    <row r="482">
      <c r="A482" s="9">
        <v>46217.0</v>
      </c>
      <c r="B482" s="4">
        <v>2182.9</v>
      </c>
      <c r="C482" s="4">
        <v>2228.0</v>
      </c>
      <c r="D482" s="4">
        <v>2179.0</v>
      </c>
      <c r="E482" s="4">
        <v>2197.0</v>
      </c>
      <c r="F482" s="4">
        <v>2200.6</v>
      </c>
      <c r="G482" s="4">
        <v>2200.4</v>
      </c>
      <c r="H482" s="1" t="s">
        <v>6367</v>
      </c>
      <c r="I482" s="1" t="s">
        <v>6368</v>
      </c>
      <c r="J482" s="1" t="s">
        <v>6369</v>
      </c>
      <c r="K482" s="7">
        <f t="shared" si="2"/>
        <v>0.008755443502</v>
      </c>
      <c r="L482" s="7">
        <v>-0.0065651976374375585</v>
      </c>
      <c r="M482" s="1">
        <f t="shared" si="1"/>
        <v>9546290</v>
      </c>
    </row>
    <row r="483">
      <c r="A483" s="9">
        <v>46218.0</v>
      </c>
      <c r="B483" s="4">
        <v>2174.1</v>
      </c>
      <c r="C483" s="4">
        <v>2202.9</v>
      </c>
      <c r="D483" s="4">
        <v>2145.4</v>
      </c>
      <c r="E483" s="4">
        <v>2187.0</v>
      </c>
      <c r="F483" s="4">
        <v>2189.2</v>
      </c>
      <c r="G483" s="4">
        <v>2184.51</v>
      </c>
      <c r="H483" s="1" t="s">
        <v>6376</v>
      </c>
      <c r="I483" s="1" t="s">
        <v>6377</v>
      </c>
      <c r="J483" s="1" t="s">
        <v>6378</v>
      </c>
      <c r="K483" s="7">
        <f t="shared" si="2"/>
        <v>-0.005180405344</v>
      </c>
      <c r="L483" s="7">
        <v>0.0010996983625096708</v>
      </c>
      <c r="M483" s="1">
        <f t="shared" si="1"/>
        <v>5426489</v>
      </c>
    </row>
    <row r="484">
      <c r="A484" s="9">
        <v>46219.0</v>
      </c>
      <c r="B484" s="4">
        <v>2206.0</v>
      </c>
      <c r="C484" s="4">
        <v>2231.4</v>
      </c>
      <c r="D484" s="4">
        <v>2187.8</v>
      </c>
      <c r="E484" s="4">
        <v>2199.1</v>
      </c>
      <c r="F484" s="4">
        <v>2201.0</v>
      </c>
      <c r="G484" s="4">
        <v>2212.76</v>
      </c>
      <c r="H484" s="1" t="s">
        <v>6385</v>
      </c>
      <c r="I484" s="1" t="s">
        <v>6387</v>
      </c>
      <c r="J484" s="1" t="s">
        <v>6391</v>
      </c>
      <c r="K484" s="7">
        <f t="shared" si="2"/>
        <v>0.005390096839</v>
      </c>
      <c r="L484" s="7">
        <v>-2.3880225097078306E-4</v>
      </c>
      <c r="M484" s="1">
        <f t="shared" si="1"/>
        <v>5197595</v>
      </c>
    </row>
    <row r="485">
      <c r="A485" s="9">
        <v>46220.0</v>
      </c>
      <c r="B485" s="4">
        <v>2224.8</v>
      </c>
      <c r="C485" s="4">
        <v>2275.0</v>
      </c>
      <c r="D485" s="4">
        <v>2215.1</v>
      </c>
      <c r="E485" s="4">
        <v>2266.0</v>
      </c>
      <c r="F485" s="4">
        <v>2269.0</v>
      </c>
      <c r="G485" s="4">
        <v>2255.69</v>
      </c>
      <c r="H485" s="1" t="s">
        <v>6400</v>
      </c>
      <c r="I485" s="1" t="s">
        <v>6401</v>
      </c>
      <c r="J485" s="1" t="s">
        <v>6402</v>
      </c>
      <c r="K485" s="7">
        <f t="shared" si="2"/>
        <v>0.03089504771</v>
      </c>
      <c r="L485" s="7">
        <v>0.010864982189405003</v>
      </c>
      <c r="M485" s="1">
        <f t="shared" si="1"/>
        <v>5615138</v>
      </c>
    </row>
    <row r="486">
      <c r="A486" s="9">
        <v>46223.0</v>
      </c>
      <c r="B486" s="4">
        <v>2280.1</v>
      </c>
      <c r="C486" s="4">
        <v>2283.4</v>
      </c>
      <c r="D486" s="4">
        <v>2245.1</v>
      </c>
      <c r="E486" s="4">
        <v>2251.0</v>
      </c>
      <c r="F486" s="4">
        <v>2251.1</v>
      </c>
      <c r="G486" s="4">
        <v>2257.07</v>
      </c>
      <c r="H486" s="1" t="s">
        <v>6409</v>
      </c>
      <c r="I486" s="1" t="s">
        <v>6410</v>
      </c>
      <c r="J486" s="11">
        <v>81615.0</v>
      </c>
      <c r="K486" s="7">
        <f t="shared" si="2"/>
        <v>-0.007888937858</v>
      </c>
      <c r="L486" s="7">
        <v>-0.003936829906757099</v>
      </c>
      <c r="M486" s="1">
        <f t="shared" si="1"/>
        <v>2202693</v>
      </c>
    </row>
    <row r="487">
      <c r="A487" s="9">
        <v>46224.0</v>
      </c>
      <c r="B487" s="4">
        <v>2245.1</v>
      </c>
      <c r="C487" s="4">
        <v>2259.9</v>
      </c>
      <c r="D487" s="4">
        <v>2218.5</v>
      </c>
      <c r="E487" s="4">
        <v>2219.0</v>
      </c>
      <c r="F487" s="4">
        <v>2221.1</v>
      </c>
      <c r="G487" s="4">
        <v>2229.94</v>
      </c>
      <c r="H487" s="1" t="s">
        <v>6416</v>
      </c>
      <c r="I487" s="1" t="s">
        <v>6418</v>
      </c>
      <c r="J487" s="11">
        <v>95890.0</v>
      </c>
      <c r="K487" s="7">
        <f t="shared" si="2"/>
        <v>-0.013326818</v>
      </c>
      <c r="L487" s="7">
        <v>-0.0020958392639808267</v>
      </c>
      <c r="M487" s="1">
        <f t="shared" si="1"/>
        <v>2382160</v>
      </c>
    </row>
    <row r="488">
      <c r="A488" s="9">
        <v>46225.0</v>
      </c>
      <c r="B488" s="4">
        <v>2216.0</v>
      </c>
      <c r="C488" s="4">
        <v>2226.8</v>
      </c>
      <c r="D488" s="4">
        <v>2201.0</v>
      </c>
      <c r="E488" s="4">
        <v>2207.0</v>
      </c>
      <c r="F488" s="4">
        <v>2208.3</v>
      </c>
      <c r="G488" s="4">
        <v>2211.61</v>
      </c>
      <c r="H488" s="1" t="s">
        <v>6426</v>
      </c>
      <c r="I488" s="1" t="s">
        <v>6428</v>
      </c>
      <c r="J488" s="11">
        <v>76904.0</v>
      </c>
      <c r="K488" s="7">
        <f t="shared" si="2"/>
        <v>-0.00576291027</v>
      </c>
      <c r="L488" s="7">
        <v>-0.007915180029519166</v>
      </c>
      <c r="M488" s="1">
        <f t="shared" si="1"/>
        <v>1599665</v>
      </c>
    </row>
    <row r="489">
      <c r="A489" s="9">
        <v>46226.0</v>
      </c>
      <c r="B489" s="4">
        <v>2204.0</v>
      </c>
      <c r="C489" s="4">
        <v>2250.0</v>
      </c>
      <c r="D489" s="4">
        <v>2193.6</v>
      </c>
      <c r="E489" s="4">
        <v>2245.0</v>
      </c>
      <c r="F489" s="4">
        <v>2242.9</v>
      </c>
      <c r="G489" s="4">
        <v>2230.95</v>
      </c>
      <c r="H489" s="1" t="s">
        <v>6436</v>
      </c>
      <c r="I489" s="1" t="s">
        <v>6437</v>
      </c>
      <c r="J489" s="1" t="s">
        <v>6439</v>
      </c>
      <c r="K489" s="7">
        <f t="shared" si="2"/>
        <v>0.01566816103</v>
      </c>
      <c r="L489" s="7">
        <v>-0.005277908006459403</v>
      </c>
      <c r="M489" s="1">
        <f t="shared" si="1"/>
        <v>2503539</v>
      </c>
    </row>
    <row r="490">
      <c r="A490" s="9">
        <v>46227.0</v>
      </c>
      <c r="B490" s="4">
        <v>2205.1</v>
      </c>
      <c r="C490" s="4">
        <v>2264.3</v>
      </c>
      <c r="D490" s="4">
        <v>2205.1</v>
      </c>
      <c r="E490" s="4">
        <v>2250.2</v>
      </c>
      <c r="F490" s="4">
        <v>2254.3</v>
      </c>
      <c r="G490" s="4">
        <v>2246.06</v>
      </c>
      <c r="H490" s="1" t="s">
        <v>6447</v>
      </c>
      <c r="I490" s="1" t="s">
        <v>6449</v>
      </c>
      <c r="J490" s="1" t="s">
        <v>6450</v>
      </c>
      <c r="K490" s="7">
        <f t="shared" si="2"/>
        <v>0.005082705426</v>
      </c>
      <c r="L490" s="7">
        <v>-0.00427950196065279</v>
      </c>
      <c r="M490" s="1">
        <f t="shared" si="1"/>
        <v>3211699</v>
      </c>
    </row>
    <row r="491">
      <c r="A491" s="9">
        <v>46230.0</v>
      </c>
      <c r="B491" s="4">
        <v>2286.0</v>
      </c>
      <c r="C491" s="4">
        <v>2315.0</v>
      </c>
      <c r="D491" s="4">
        <v>2272.4</v>
      </c>
      <c r="E491" s="4">
        <v>2296.9</v>
      </c>
      <c r="F491" s="4">
        <v>2295.6</v>
      </c>
      <c r="G491" s="4">
        <v>2299.88</v>
      </c>
      <c r="H491" s="1" t="s">
        <v>6457</v>
      </c>
      <c r="I491" s="1" t="s">
        <v>6458</v>
      </c>
      <c r="J491" s="1" t="s">
        <v>6459</v>
      </c>
      <c r="K491" s="7">
        <f t="shared" si="2"/>
        <v>0.01832054296</v>
      </c>
      <c r="L491" s="7">
        <v>0.009613988879749406</v>
      </c>
      <c r="M491" s="1">
        <f t="shared" si="1"/>
        <v>4007292</v>
      </c>
    </row>
    <row r="492">
      <c r="A492" s="9">
        <v>46231.0</v>
      </c>
      <c r="B492" s="4">
        <v>2325.0</v>
      </c>
      <c r="C492" s="4">
        <v>2417.4</v>
      </c>
      <c r="D492" s="4">
        <v>2323.0</v>
      </c>
      <c r="E492" s="4">
        <v>2398.0</v>
      </c>
      <c r="F492" s="4">
        <v>2398.0</v>
      </c>
      <c r="G492" s="4">
        <v>2389.74</v>
      </c>
      <c r="H492" s="1" t="s">
        <v>6466</v>
      </c>
      <c r="I492" s="1" t="s">
        <v>6467</v>
      </c>
      <c r="J492" s="1" t="s">
        <v>6469</v>
      </c>
      <c r="K492" s="7">
        <f t="shared" si="2"/>
        <v>0.0446070744</v>
      </c>
      <c r="L492" s="7">
        <v>-4.417412104960288E-4</v>
      </c>
      <c r="M492" s="1">
        <f t="shared" si="1"/>
        <v>8248513</v>
      </c>
    </row>
    <row r="493">
      <c r="A493" s="9">
        <v>46232.0</v>
      </c>
      <c r="B493" s="4">
        <v>2440.0</v>
      </c>
      <c r="C493" s="4">
        <v>2475.5</v>
      </c>
      <c r="D493" s="4">
        <v>2415.1</v>
      </c>
      <c r="E493" s="4">
        <v>2440.0</v>
      </c>
      <c r="F493" s="4">
        <v>2446.6</v>
      </c>
      <c r="G493" s="4">
        <v>2450.86</v>
      </c>
      <c r="H493" s="1" t="s">
        <v>6471</v>
      </c>
      <c r="I493" s="1" t="s">
        <v>6472</v>
      </c>
      <c r="J493" s="1" t="s">
        <v>6474</v>
      </c>
      <c r="K493" s="7">
        <f t="shared" si="2"/>
        <v>0.02026688907</v>
      </c>
      <c r="L493" s="7">
        <v>0.01104215698332533</v>
      </c>
      <c r="M493" s="1">
        <f t="shared" si="1"/>
        <v>7169419</v>
      </c>
    </row>
    <row r="494">
      <c r="A494" s="9">
        <v>46233.0</v>
      </c>
      <c r="B494" s="4">
        <v>2440.0</v>
      </c>
      <c r="C494" s="4">
        <v>2495.0</v>
      </c>
      <c r="D494" s="4">
        <v>2423.0</v>
      </c>
      <c r="E494" s="4">
        <v>2434.0</v>
      </c>
      <c r="F494" s="4">
        <v>2431.8</v>
      </c>
      <c r="G494" s="4">
        <v>2459.56</v>
      </c>
      <c r="H494" s="1" t="s">
        <v>6480</v>
      </c>
      <c r="I494" s="1" t="s">
        <v>6481</v>
      </c>
      <c r="J494" s="1" t="s">
        <v>6483</v>
      </c>
      <c r="K494" s="7">
        <f t="shared" si="2"/>
        <v>-0.00604921115</v>
      </c>
      <c r="L494" s="7">
        <v>0.002760801972767265</v>
      </c>
      <c r="M494" s="1">
        <f t="shared" si="1"/>
        <v>4901582</v>
      </c>
    </row>
    <row r="495">
      <c r="A495" s="9">
        <v>46234.0</v>
      </c>
      <c r="B495" s="4">
        <v>2385.0</v>
      </c>
      <c r="C495" s="4">
        <v>2391.0</v>
      </c>
      <c r="D495" s="4">
        <v>2326.1</v>
      </c>
      <c r="E495" s="4">
        <v>2366.0</v>
      </c>
      <c r="F495" s="4">
        <v>2365.6</v>
      </c>
      <c r="G495" s="4">
        <v>2364.25</v>
      </c>
      <c r="H495" s="1" t="s">
        <v>6489</v>
      </c>
      <c r="I495" s="1" t="s">
        <v>6491</v>
      </c>
      <c r="J495" s="1" t="s">
        <v>6493</v>
      </c>
      <c r="K495" s="7">
        <f t="shared" si="2"/>
        <v>-0.02722263344</v>
      </c>
      <c r="L495" s="7">
        <v>0.002732639310116403</v>
      </c>
      <c r="M495" s="1">
        <f t="shared" si="1"/>
        <v>4343683</v>
      </c>
    </row>
    <row r="496">
      <c r="A496" s="3">
        <v>46237.0</v>
      </c>
      <c r="B496" s="4">
        <v>2383.9</v>
      </c>
      <c r="C496" s="4">
        <v>2473.7</v>
      </c>
      <c r="D496" s="4">
        <v>2383.0</v>
      </c>
      <c r="E496" s="4">
        <v>2473.7</v>
      </c>
      <c r="F496" s="4">
        <v>2473.7</v>
      </c>
      <c r="G496" s="4">
        <v>2429.42</v>
      </c>
      <c r="H496" s="1" t="s">
        <v>6499</v>
      </c>
      <c r="I496" s="1" t="s">
        <v>6501</v>
      </c>
      <c r="J496" s="1" t="s">
        <v>6502</v>
      </c>
      <c r="K496" s="7">
        <f t="shared" si="2"/>
        <v>0.04569665201</v>
      </c>
      <c r="L496" s="7">
        <v>0.01602306468281963</v>
      </c>
      <c r="M496" s="1">
        <f t="shared" si="1"/>
        <v>3036839</v>
      </c>
    </row>
    <row r="497">
      <c r="K497" s="7"/>
    </row>
    <row r="498">
      <c r="K498" s="7"/>
    </row>
    <row r="499">
      <c r="K499" s="7"/>
    </row>
    <row r="500">
      <c r="K500" s="7"/>
    </row>
    <row r="501">
      <c r="K501" s="7"/>
    </row>
    <row r="502">
      <c r="K502" s="7"/>
    </row>
    <row r="503">
      <c r="K503" s="7"/>
    </row>
    <row r="504">
      <c r="K504" s="7"/>
    </row>
    <row r="505">
      <c r="K505" s="7"/>
    </row>
    <row r="506">
      <c r="K506" s="7"/>
    </row>
    <row r="507">
      <c r="K507" s="7"/>
    </row>
    <row r="508">
      <c r="K508" s="7"/>
    </row>
    <row r="509">
      <c r="K509" s="7"/>
    </row>
    <row r="510">
      <c r="K510" s="7"/>
    </row>
    <row r="511">
      <c r="K511" s="7"/>
    </row>
    <row r="512">
      <c r="K512" s="7"/>
    </row>
    <row r="513">
      <c r="K513" s="7"/>
    </row>
    <row r="514">
      <c r="K514" s="7"/>
    </row>
    <row r="515">
      <c r="K515" s="7"/>
    </row>
    <row r="516">
      <c r="K516" s="7"/>
    </row>
    <row r="517">
      <c r="K517" s="7"/>
    </row>
    <row r="518">
      <c r="K518" s="7"/>
    </row>
    <row r="519">
      <c r="K519" s="7"/>
    </row>
    <row r="520">
      <c r="K520" s="7"/>
    </row>
    <row r="521">
      <c r="K521" s="7"/>
    </row>
    <row r="522">
      <c r="K522" s="7"/>
    </row>
    <row r="523">
      <c r="K523" s="7"/>
    </row>
    <row r="524">
      <c r="K524" s="7"/>
    </row>
    <row r="525">
      <c r="K525" s="7"/>
    </row>
    <row r="526">
      <c r="K526" s="7"/>
    </row>
    <row r="527">
      <c r="K527" s="7"/>
    </row>
    <row r="528">
      <c r="K528" s="7"/>
    </row>
    <row r="529">
      <c r="K529" s="7"/>
    </row>
    <row r="530">
      <c r="K530" s="7"/>
    </row>
    <row r="531">
      <c r="K531" s="7"/>
    </row>
    <row r="532">
      <c r="K532" s="7"/>
    </row>
    <row r="533">
      <c r="K533" s="7"/>
    </row>
    <row r="534">
      <c r="K534" s="7"/>
    </row>
    <row r="535">
      <c r="K535" s="7"/>
    </row>
    <row r="536">
      <c r="K536" s="7"/>
    </row>
    <row r="537">
      <c r="K537" s="7"/>
    </row>
    <row r="538">
      <c r="K538" s="7"/>
    </row>
    <row r="539">
      <c r="K539" s="7"/>
    </row>
    <row r="540">
      <c r="K540" s="7"/>
    </row>
    <row r="541">
      <c r="K541" s="7"/>
    </row>
    <row r="542">
      <c r="K542" s="7"/>
    </row>
    <row r="543">
      <c r="K543" s="7"/>
    </row>
    <row r="544">
      <c r="K544" s="7"/>
    </row>
    <row r="545">
      <c r="K545" s="7"/>
    </row>
    <row r="546">
      <c r="K546" s="7"/>
    </row>
    <row r="547">
      <c r="K547" s="7"/>
    </row>
    <row r="548">
      <c r="K548" s="7"/>
    </row>
    <row r="549">
      <c r="K549" s="7"/>
    </row>
    <row r="550">
      <c r="K550" s="7"/>
    </row>
    <row r="551">
      <c r="K551" s="7"/>
    </row>
    <row r="552">
      <c r="K552" s="7"/>
    </row>
    <row r="553">
      <c r="K553" s="7"/>
    </row>
    <row r="554">
      <c r="K554" s="7"/>
    </row>
    <row r="555">
      <c r="K555" s="7"/>
    </row>
    <row r="556">
      <c r="K556" s="7"/>
    </row>
    <row r="557">
      <c r="K557" s="7"/>
    </row>
    <row r="558">
      <c r="K558" s="7"/>
    </row>
    <row r="559">
      <c r="K559" s="7"/>
    </row>
    <row r="560">
      <c r="K560" s="7"/>
    </row>
    <row r="561">
      <c r="K561" s="7"/>
    </row>
    <row r="562">
      <c r="K562" s="7"/>
    </row>
    <row r="563">
      <c r="K563" s="7"/>
    </row>
    <row r="564">
      <c r="K564" s="7"/>
    </row>
    <row r="565">
      <c r="K565" s="7"/>
    </row>
    <row r="566">
      <c r="K566" s="7"/>
    </row>
    <row r="567">
      <c r="K567" s="7"/>
    </row>
    <row r="568">
      <c r="K568" s="7"/>
    </row>
    <row r="569">
      <c r="K569" s="7"/>
    </row>
    <row r="570">
      <c r="K570" s="7"/>
    </row>
    <row r="571">
      <c r="K571" s="7"/>
    </row>
    <row r="572">
      <c r="K572" s="7"/>
    </row>
    <row r="573">
      <c r="K573" s="7"/>
    </row>
    <row r="574">
      <c r="K574" s="7"/>
    </row>
    <row r="575">
      <c r="K575" s="7"/>
    </row>
    <row r="576">
      <c r="K576" s="7"/>
    </row>
    <row r="577">
      <c r="K577" s="7"/>
    </row>
    <row r="578">
      <c r="K578" s="7"/>
    </row>
    <row r="579">
      <c r="K579" s="7"/>
    </row>
    <row r="580">
      <c r="K580" s="7"/>
    </row>
    <row r="581">
      <c r="K581" s="7"/>
    </row>
    <row r="582">
      <c r="K582" s="7"/>
    </row>
    <row r="583">
      <c r="K583" s="7"/>
    </row>
    <row r="584">
      <c r="K584" s="7"/>
    </row>
    <row r="585">
      <c r="K585" s="7"/>
    </row>
    <row r="586">
      <c r="K586" s="7"/>
    </row>
    <row r="587">
      <c r="K587" s="7"/>
    </row>
    <row r="588">
      <c r="K588" s="7"/>
    </row>
    <row r="589">
      <c r="K589" s="7"/>
    </row>
    <row r="590">
      <c r="K590" s="7"/>
    </row>
    <row r="591">
      <c r="K591" s="7"/>
    </row>
    <row r="592">
      <c r="K592" s="7"/>
    </row>
    <row r="593">
      <c r="K593" s="7"/>
    </row>
    <row r="594">
      <c r="K594" s="7"/>
    </row>
    <row r="595">
      <c r="K595" s="7"/>
    </row>
    <row r="596">
      <c r="K596" s="7"/>
    </row>
    <row r="597">
      <c r="K597" s="7"/>
    </row>
    <row r="598">
      <c r="K598" s="7"/>
    </row>
    <row r="599">
      <c r="K599" s="7"/>
    </row>
    <row r="600">
      <c r="K600" s="7"/>
    </row>
    <row r="601">
      <c r="K601" s="7"/>
    </row>
    <row r="602">
      <c r="K602" s="7"/>
    </row>
    <row r="603">
      <c r="K603" s="7"/>
    </row>
    <row r="604">
      <c r="K604" s="7"/>
    </row>
    <row r="605">
      <c r="K605" s="7"/>
    </row>
    <row r="606">
      <c r="K606" s="7"/>
    </row>
    <row r="607">
      <c r="K607" s="7"/>
    </row>
    <row r="608">
      <c r="K608" s="7"/>
    </row>
    <row r="609">
      <c r="K609" s="7"/>
    </row>
    <row r="610">
      <c r="K610" s="7"/>
    </row>
    <row r="611">
      <c r="K611" s="7"/>
    </row>
    <row r="612">
      <c r="K612" s="7"/>
    </row>
    <row r="613">
      <c r="K613" s="7"/>
    </row>
    <row r="614">
      <c r="K614" s="7"/>
    </row>
    <row r="615">
      <c r="K615" s="7"/>
    </row>
    <row r="616">
      <c r="K616" s="7"/>
    </row>
    <row r="617">
      <c r="K617" s="7"/>
    </row>
    <row r="618">
      <c r="K618" s="7"/>
    </row>
    <row r="619">
      <c r="K619" s="7"/>
    </row>
    <row r="620">
      <c r="K620" s="7"/>
    </row>
    <row r="621">
      <c r="K621" s="7"/>
    </row>
    <row r="622">
      <c r="K622" s="7"/>
    </row>
    <row r="623">
      <c r="K623" s="7"/>
    </row>
    <row r="624">
      <c r="K624" s="7"/>
    </row>
    <row r="625">
      <c r="K625" s="7"/>
    </row>
    <row r="626">
      <c r="K626" s="7"/>
    </row>
    <row r="627">
      <c r="K627" s="7"/>
    </row>
    <row r="628">
      <c r="K628" s="7"/>
    </row>
    <row r="629">
      <c r="K629" s="7"/>
    </row>
    <row r="630">
      <c r="K630" s="7"/>
    </row>
    <row r="631">
      <c r="K631" s="7"/>
    </row>
    <row r="632">
      <c r="K632" s="7"/>
    </row>
    <row r="633">
      <c r="K633" s="7"/>
    </row>
    <row r="634">
      <c r="K634" s="7"/>
    </row>
    <row r="635">
      <c r="K635" s="7"/>
    </row>
    <row r="636">
      <c r="K636" s="7"/>
    </row>
    <row r="637">
      <c r="K637" s="7"/>
    </row>
    <row r="638">
      <c r="K638" s="7"/>
    </row>
    <row r="639">
      <c r="K639" s="7"/>
    </row>
    <row r="640">
      <c r="K640" s="7"/>
    </row>
    <row r="641">
      <c r="K641" s="7"/>
    </row>
    <row r="642">
      <c r="K642" s="7"/>
    </row>
    <row r="643">
      <c r="K643" s="7"/>
    </row>
    <row r="644">
      <c r="K644" s="7"/>
    </row>
    <row r="645">
      <c r="K645" s="7"/>
    </row>
    <row r="646">
      <c r="K646" s="7"/>
    </row>
    <row r="647">
      <c r="K647" s="7"/>
    </row>
    <row r="648">
      <c r="K648" s="7"/>
    </row>
    <row r="649">
      <c r="K649" s="7"/>
    </row>
    <row r="650">
      <c r="K650" s="7"/>
    </row>
    <row r="651">
      <c r="K651" s="7"/>
    </row>
    <row r="652">
      <c r="K652" s="7"/>
    </row>
    <row r="653">
      <c r="K653" s="7"/>
    </row>
    <row r="654">
      <c r="K654" s="7"/>
    </row>
    <row r="655">
      <c r="K655" s="7"/>
    </row>
    <row r="656">
      <c r="K656" s="7"/>
    </row>
    <row r="657">
      <c r="K657" s="7"/>
    </row>
    <row r="658">
      <c r="K658" s="7"/>
    </row>
    <row r="659">
      <c r="K659" s="7"/>
    </row>
    <row r="660">
      <c r="K660" s="7"/>
    </row>
    <row r="661">
      <c r="K661" s="7"/>
    </row>
    <row r="662">
      <c r="K662" s="7"/>
    </row>
    <row r="663">
      <c r="K663" s="7"/>
    </row>
    <row r="664">
      <c r="K664" s="7"/>
    </row>
    <row r="665">
      <c r="K665" s="7"/>
    </row>
    <row r="666">
      <c r="K666" s="7"/>
    </row>
    <row r="667">
      <c r="K667" s="7"/>
    </row>
    <row r="668">
      <c r="K668" s="7"/>
    </row>
    <row r="669">
      <c r="K669" s="7"/>
    </row>
    <row r="670">
      <c r="K670" s="7"/>
    </row>
    <row r="671">
      <c r="K671" s="7"/>
    </row>
    <row r="672">
      <c r="K672" s="7"/>
    </row>
    <row r="673">
      <c r="K673" s="7"/>
    </row>
    <row r="674">
      <c r="K674" s="7"/>
    </row>
    <row r="675">
      <c r="K675" s="7"/>
    </row>
    <row r="676">
      <c r="K676" s="7"/>
    </row>
    <row r="677">
      <c r="K677" s="7"/>
    </row>
    <row r="678">
      <c r="K678" s="7"/>
    </row>
    <row r="679">
      <c r="K679" s="7"/>
    </row>
    <row r="680">
      <c r="K680" s="7"/>
    </row>
    <row r="681">
      <c r="K681" s="7"/>
    </row>
    <row r="682">
      <c r="K682" s="7"/>
    </row>
    <row r="683">
      <c r="K683" s="7"/>
    </row>
    <row r="684">
      <c r="K684" s="7"/>
    </row>
    <row r="685">
      <c r="K685" s="7"/>
    </row>
    <row r="686">
      <c r="K686" s="7"/>
    </row>
    <row r="687">
      <c r="K687" s="7"/>
    </row>
    <row r="688">
      <c r="K688" s="7"/>
    </row>
    <row r="689">
      <c r="K689" s="7"/>
    </row>
    <row r="690">
      <c r="K690" s="7"/>
    </row>
    <row r="691">
      <c r="K691" s="7"/>
    </row>
    <row r="692">
      <c r="K692" s="7"/>
    </row>
    <row r="693">
      <c r="K693" s="7"/>
    </row>
    <row r="694">
      <c r="K694" s="7"/>
    </row>
    <row r="695">
      <c r="K695" s="7"/>
    </row>
    <row r="696">
      <c r="K696" s="7"/>
    </row>
    <row r="697">
      <c r="K697" s="7"/>
    </row>
    <row r="698">
      <c r="K698" s="7"/>
    </row>
    <row r="699">
      <c r="K699" s="7"/>
    </row>
    <row r="700">
      <c r="K700" s="7"/>
    </row>
    <row r="701">
      <c r="K701" s="7"/>
    </row>
    <row r="702">
      <c r="K702" s="7"/>
    </row>
    <row r="703">
      <c r="K703" s="7"/>
    </row>
    <row r="704">
      <c r="K704" s="7"/>
    </row>
    <row r="705">
      <c r="K705" s="7"/>
    </row>
    <row r="706">
      <c r="K706" s="7"/>
    </row>
    <row r="707">
      <c r="K707" s="7"/>
    </row>
    <row r="708">
      <c r="K708" s="7"/>
    </row>
    <row r="709">
      <c r="K709" s="7"/>
    </row>
    <row r="710">
      <c r="K710" s="7"/>
    </row>
    <row r="711">
      <c r="K711" s="7"/>
    </row>
    <row r="712">
      <c r="K712" s="7"/>
    </row>
    <row r="713">
      <c r="K713" s="7"/>
    </row>
    <row r="714">
      <c r="K714" s="7"/>
    </row>
    <row r="715">
      <c r="K715" s="7"/>
    </row>
    <row r="716">
      <c r="K716" s="7"/>
    </row>
    <row r="717">
      <c r="K717" s="7"/>
    </row>
    <row r="718">
      <c r="K718" s="7"/>
    </row>
    <row r="719">
      <c r="K719" s="7"/>
    </row>
    <row r="720">
      <c r="K720" s="7"/>
    </row>
    <row r="721">
      <c r="K721" s="7"/>
    </row>
    <row r="722">
      <c r="K722" s="7"/>
    </row>
    <row r="723">
      <c r="K723" s="7"/>
    </row>
    <row r="724">
      <c r="K724" s="7"/>
    </row>
    <row r="725">
      <c r="K725" s="7"/>
    </row>
    <row r="726">
      <c r="K726" s="7"/>
    </row>
    <row r="727">
      <c r="K727" s="7"/>
    </row>
    <row r="728">
      <c r="K728" s="7"/>
    </row>
    <row r="729">
      <c r="K729" s="7"/>
    </row>
    <row r="730">
      <c r="K730" s="7"/>
    </row>
    <row r="731">
      <c r="K731" s="7"/>
    </row>
    <row r="732">
      <c r="K732" s="7"/>
    </row>
    <row r="733">
      <c r="K733" s="7"/>
    </row>
    <row r="734">
      <c r="K734" s="7"/>
    </row>
    <row r="735">
      <c r="K735" s="7"/>
    </row>
    <row r="736">
      <c r="K736" s="7"/>
    </row>
    <row r="737">
      <c r="K737" s="7"/>
    </row>
    <row r="738">
      <c r="K738" s="7"/>
    </row>
    <row r="739">
      <c r="K739" s="7"/>
    </row>
    <row r="740">
      <c r="K740" s="7"/>
    </row>
    <row r="741">
      <c r="K741" s="7"/>
    </row>
    <row r="742">
      <c r="K742" s="7"/>
    </row>
    <row r="743">
      <c r="K743" s="7"/>
    </row>
    <row r="744">
      <c r="K744" s="7"/>
    </row>
    <row r="745">
      <c r="K745" s="7"/>
    </row>
    <row r="746">
      <c r="K746" s="7"/>
    </row>
    <row r="747">
      <c r="K747" s="7"/>
    </row>
    <row r="748">
      <c r="K748" s="7"/>
    </row>
    <row r="749">
      <c r="K749" s="7"/>
    </row>
    <row r="750">
      <c r="K750" s="7"/>
    </row>
    <row r="751">
      <c r="K751" s="7"/>
    </row>
    <row r="752">
      <c r="K752" s="7"/>
    </row>
    <row r="753">
      <c r="K753" s="7"/>
    </row>
    <row r="754">
      <c r="K754" s="7"/>
    </row>
    <row r="755">
      <c r="K755" s="7"/>
    </row>
    <row r="756">
      <c r="K756" s="7"/>
    </row>
    <row r="757">
      <c r="K757" s="7"/>
    </row>
    <row r="758">
      <c r="K758" s="7"/>
    </row>
    <row r="759">
      <c r="K759" s="7"/>
    </row>
    <row r="760">
      <c r="K760" s="7"/>
    </row>
    <row r="761">
      <c r="K761" s="7"/>
    </row>
    <row r="762">
      <c r="K762" s="7"/>
    </row>
    <row r="763">
      <c r="K763" s="7"/>
    </row>
    <row r="764">
      <c r="K764" s="7"/>
    </row>
    <row r="765">
      <c r="K765" s="7"/>
    </row>
    <row r="766">
      <c r="K766" s="7"/>
    </row>
    <row r="767">
      <c r="K767" s="7"/>
    </row>
    <row r="768">
      <c r="K768" s="7"/>
    </row>
    <row r="769">
      <c r="K769" s="7"/>
    </row>
    <row r="770">
      <c r="K770" s="7"/>
    </row>
    <row r="771">
      <c r="K771" s="7"/>
    </row>
    <row r="772">
      <c r="K772" s="7"/>
    </row>
    <row r="773">
      <c r="K773" s="7"/>
    </row>
    <row r="774">
      <c r="K774" s="7"/>
    </row>
    <row r="775">
      <c r="K775" s="7"/>
    </row>
    <row r="776">
      <c r="K776" s="7"/>
    </row>
    <row r="777">
      <c r="K777" s="7"/>
    </row>
    <row r="778">
      <c r="K778" s="7"/>
    </row>
    <row r="779">
      <c r="K779" s="7"/>
    </row>
    <row r="780">
      <c r="K780" s="7"/>
    </row>
    <row r="781">
      <c r="K781" s="7"/>
    </row>
    <row r="782">
      <c r="K782" s="7"/>
    </row>
    <row r="783">
      <c r="K783" s="7"/>
    </row>
    <row r="784">
      <c r="K784" s="7"/>
    </row>
    <row r="785">
      <c r="K785" s="7"/>
    </row>
    <row r="786">
      <c r="K786" s="7"/>
    </row>
    <row r="787">
      <c r="K787" s="7"/>
    </row>
    <row r="788">
      <c r="K788" s="7"/>
    </row>
    <row r="789">
      <c r="K789" s="7"/>
    </row>
    <row r="790">
      <c r="K790" s="7"/>
    </row>
    <row r="791">
      <c r="K791" s="7"/>
    </row>
    <row r="792">
      <c r="K792" s="7"/>
    </row>
    <row r="793">
      <c r="K793" s="7"/>
    </row>
    <row r="794">
      <c r="K794" s="7"/>
    </row>
    <row r="795">
      <c r="K795" s="7"/>
    </row>
    <row r="796">
      <c r="K796" s="7"/>
    </row>
    <row r="797">
      <c r="K797" s="7"/>
    </row>
    <row r="798">
      <c r="K798" s="7"/>
    </row>
    <row r="799">
      <c r="K799" s="7"/>
    </row>
    <row r="800">
      <c r="K800" s="7"/>
    </row>
    <row r="801">
      <c r="K801" s="7"/>
    </row>
    <row r="802">
      <c r="K802" s="7"/>
    </row>
    <row r="803">
      <c r="K803" s="7"/>
    </row>
    <row r="804">
      <c r="K804" s="7"/>
    </row>
    <row r="805">
      <c r="K805" s="7"/>
    </row>
    <row r="806">
      <c r="K806" s="7"/>
    </row>
    <row r="807">
      <c r="K807" s="7"/>
    </row>
    <row r="808">
      <c r="K808" s="7"/>
    </row>
    <row r="809">
      <c r="K809" s="7"/>
    </row>
    <row r="810">
      <c r="K810" s="7"/>
    </row>
    <row r="811">
      <c r="K811" s="7"/>
    </row>
    <row r="812">
      <c r="K812" s="7"/>
    </row>
    <row r="813">
      <c r="K813" s="7"/>
    </row>
    <row r="814">
      <c r="K814" s="7"/>
    </row>
    <row r="815">
      <c r="K815" s="7"/>
    </row>
    <row r="816">
      <c r="K816" s="7"/>
    </row>
    <row r="817">
      <c r="K817" s="7"/>
    </row>
    <row r="818">
      <c r="K818" s="7"/>
    </row>
    <row r="819">
      <c r="K819" s="7"/>
    </row>
    <row r="820">
      <c r="K820" s="7"/>
    </row>
    <row r="821">
      <c r="K821" s="7"/>
    </row>
    <row r="822">
      <c r="K822" s="7"/>
    </row>
    <row r="823">
      <c r="K823" s="7"/>
    </row>
    <row r="824">
      <c r="K824" s="7"/>
    </row>
    <row r="825">
      <c r="K825" s="7"/>
    </row>
    <row r="826">
      <c r="K826" s="7"/>
    </row>
    <row r="827">
      <c r="K827" s="7"/>
    </row>
    <row r="828">
      <c r="K828" s="7"/>
    </row>
    <row r="829">
      <c r="K829" s="7"/>
    </row>
    <row r="830">
      <c r="K830" s="7"/>
    </row>
    <row r="831">
      <c r="K831" s="7"/>
    </row>
    <row r="832">
      <c r="K832" s="7"/>
    </row>
    <row r="833">
      <c r="K833" s="7"/>
    </row>
    <row r="834">
      <c r="K834" s="7"/>
    </row>
    <row r="835">
      <c r="K835" s="7"/>
    </row>
    <row r="836">
      <c r="K836" s="7"/>
    </row>
    <row r="837">
      <c r="K837" s="7"/>
    </row>
    <row r="838">
      <c r="K838" s="7"/>
    </row>
    <row r="839">
      <c r="K839" s="7"/>
    </row>
    <row r="840">
      <c r="K840" s="7"/>
    </row>
    <row r="841">
      <c r="K841" s="7"/>
    </row>
    <row r="842">
      <c r="K842" s="7"/>
    </row>
    <row r="843">
      <c r="K843" s="7"/>
    </row>
    <row r="844">
      <c r="K844" s="7"/>
    </row>
    <row r="845">
      <c r="K845" s="7"/>
    </row>
    <row r="846">
      <c r="K846" s="7"/>
    </row>
    <row r="847">
      <c r="K847" s="7"/>
    </row>
    <row r="848">
      <c r="K848" s="7"/>
    </row>
    <row r="849">
      <c r="K849" s="7"/>
    </row>
    <row r="850">
      <c r="K850" s="7"/>
    </row>
    <row r="851">
      <c r="K851" s="7"/>
    </row>
    <row r="852">
      <c r="K852" s="7"/>
    </row>
    <row r="853">
      <c r="K853" s="7"/>
    </row>
    <row r="854">
      <c r="K854" s="7"/>
    </row>
    <row r="855">
      <c r="K855" s="7"/>
    </row>
    <row r="856">
      <c r="K856" s="7"/>
    </row>
    <row r="857">
      <c r="K857" s="7"/>
    </row>
    <row r="858">
      <c r="K858" s="7"/>
    </row>
    <row r="859">
      <c r="K859" s="7"/>
    </row>
    <row r="860">
      <c r="K860" s="7"/>
    </row>
    <row r="861">
      <c r="K861" s="7"/>
    </row>
    <row r="862">
      <c r="K862" s="7"/>
    </row>
    <row r="863">
      <c r="K863" s="7"/>
    </row>
    <row r="864">
      <c r="K864" s="7"/>
    </row>
    <row r="865">
      <c r="K865" s="7"/>
    </row>
    <row r="866">
      <c r="K866" s="7"/>
    </row>
    <row r="867">
      <c r="K867" s="7"/>
    </row>
    <row r="868">
      <c r="K868" s="7"/>
    </row>
    <row r="869">
      <c r="K869" s="7"/>
    </row>
    <row r="870">
      <c r="K870" s="7"/>
    </row>
    <row r="871">
      <c r="K871" s="7"/>
    </row>
    <row r="872">
      <c r="K872" s="7"/>
    </row>
    <row r="873">
      <c r="K873" s="7"/>
    </row>
    <row r="874">
      <c r="K874" s="7"/>
    </row>
    <row r="875">
      <c r="K875" s="7"/>
    </row>
    <row r="876">
      <c r="K876" s="7"/>
    </row>
    <row r="877">
      <c r="K877" s="7"/>
    </row>
    <row r="878">
      <c r="K878" s="7"/>
    </row>
    <row r="879">
      <c r="K879" s="7"/>
    </row>
    <row r="880">
      <c r="K880" s="7"/>
    </row>
    <row r="881">
      <c r="K881" s="7"/>
    </row>
    <row r="882">
      <c r="K882" s="7"/>
    </row>
    <row r="883">
      <c r="K883" s="7"/>
    </row>
    <row r="884">
      <c r="K884" s="7"/>
    </row>
    <row r="885">
      <c r="K885" s="7"/>
    </row>
    <row r="886">
      <c r="K886" s="7"/>
    </row>
    <row r="887">
      <c r="K887" s="7"/>
    </row>
    <row r="888">
      <c r="K888" s="7"/>
    </row>
    <row r="889">
      <c r="K889" s="7"/>
    </row>
    <row r="890">
      <c r="K890" s="7"/>
    </row>
    <row r="891">
      <c r="K891" s="7"/>
    </row>
    <row r="892">
      <c r="K892" s="7"/>
    </row>
    <row r="893">
      <c r="K893" s="7"/>
    </row>
    <row r="894">
      <c r="K894" s="7"/>
    </row>
    <row r="895">
      <c r="K895" s="7"/>
    </row>
    <row r="896">
      <c r="K896" s="7"/>
    </row>
    <row r="897">
      <c r="K897" s="7"/>
    </row>
    <row r="898">
      <c r="K898" s="7"/>
    </row>
    <row r="899">
      <c r="K899" s="7"/>
    </row>
    <row r="900">
      <c r="K900" s="7"/>
    </row>
    <row r="901">
      <c r="K901" s="7"/>
    </row>
    <row r="902">
      <c r="K902" s="7"/>
    </row>
    <row r="903">
      <c r="K903" s="7"/>
    </row>
    <row r="904">
      <c r="K904" s="7"/>
    </row>
    <row r="905">
      <c r="K905" s="7"/>
    </row>
    <row r="906">
      <c r="K906" s="7"/>
    </row>
    <row r="907">
      <c r="K907" s="7"/>
    </row>
    <row r="908">
      <c r="K908" s="7"/>
    </row>
    <row r="909">
      <c r="K909" s="7"/>
    </row>
    <row r="910">
      <c r="K910" s="7"/>
    </row>
    <row r="911">
      <c r="K911" s="7"/>
    </row>
    <row r="912">
      <c r="K912" s="7"/>
    </row>
    <row r="913">
      <c r="K913" s="7"/>
    </row>
    <row r="914">
      <c r="K914" s="7"/>
    </row>
    <row r="915">
      <c r="K915" s="7"/>
    </row>
    <row r="916">
      <c r="K916" s="7"/>
    </row>
    <row r="917">
      <c r="K917" s="7"/>
    </row>
    <row r="918">
      <c r="K918" s="7"/>
    </row>
    <row r="919">
      <c r="K919" s="7"/>
    </row>
    <row r="920">
      <c r="K920" s="7"/>
    </row>
    <row r="921">
      <c r="K921" s="7"/>
    </row>
    <row r="922">
      <c r="K922" s="7"/>
    </row>
    <row r="923">
      <c r="K923" s="7"/>
    </row>
    <row r="924">
      <c r="K924" s="7"/>
    </row>
    <row r="925">
      <c r="K925" s="7"/>
    </row>
    <row r="926">
      <c r="K926" s="7"/>
    </row>
    <row r="927">
      <c r="K927" s="7"/>
    </row>
    <row r="928">
      <c r="K928" s="7"/>
    </row>
    <row r="929">
      <c r="K929" s="7"/>
    </row>
    <row r="930">
      <c r="K930" s="7"/>
    </row>
    <row r="931">
      <c r="K931" s="7"/>
    </row>
    <row r="932">
      <c r="K932" s="7"/>
    </row>
    <row r="933">
      <c r="K933" s="7"/>
    </row>
    <row r="934">
      <c r="K934" s="7"/>
    </row>
    <row r="935">
      <c r="K935" s="7"/>
    </row>
    <row r="936">
      <c r="K936" s="7"/>
    </row>
    <row r="937">
      <c r="K937" s="7"/>
    </row>
    <row r="938">
      <c r="K938" s="7"/>
    </row>
    <row r="939">
      <c r="K939" s="7"/>
    </row>
    <row r="940">
      <c r="K940" s="7"/>
    </row>
    <row r="941">
      <c r="K941" s="7"/>
    </row>
    <row r="942">
      <c r="K942" s="7"/>
    </row>
    <row r="943">
      <c r="K943" s="7"/>
    </row>
    <row r="944">
      <c r="K944" s="7"/>
    </row>
    <row r="945">
      <c r="K945" s="7"/>
    </row>
    <row r="946">
      <c r="K946" s="7"/>
    </row>
    <row r="947">
      <c r="K947" s="7"/>
    </row>
    <row r="948">
      <c r="K948" s="7"/>
    </row>
    <row r="949">
      <c r="K949" s="7"/>
    </row>
    <row r="950">
      <c r="K950" s="7"/>
    </row>
    <row r="951">
      <c r="K951" s="7"/>
    </row>
    <row r="952">
      <c r="K952" s="7"/>
    </row>
    <row r="953">
      <c r="K953" s="7"/>
    </row>
    <row r="954">
      <c r="K954" s="7"/>
    </row>
    <row r="955">
      <c r="K955" s="7"/>
    </row>
    <row r="956">
      <c r="K956" s="7"/>
    </row>
    <row r="957">
      <c r="K957" s="7"/>
    </row>
    <row r="958">
      <c r="K958" s="7"/>
    </row>
    <row r="959">
      <c r="K959" s="7"/>
    </row>
    <row r="960">
      <c r="K960" s="7"/>
    </row>
    <row r="961">
      <c r="K961" s="7"/>
    </row>
    <row r="962">
      <c r="K962" s="7"/>
    </row>
    <row r="963">
      <c r="K963" s="7"/>
    </row>
    <row r="964">
      <c r="K964" s="7"/>
    </row>
    <row r="965">
      <c r="K965" s="7"/>
    </row>
    <row r="966">
      <c r="K966" s="7"/>
    </row>
    <row r="967">
      <c r="K967" s="7"/>
    </row>
    <row r="968">
      <c r="K968" s="7"/>
    </row>
    <row r="969">
      <c r="K969" s="7"/>
    </row>
    <row r="970">
      <c r="K970" s="7"/>
    </row>
    <row r="971">
      <c r="K971" s="7"/>
    </row>
    <row r="972">
      <c r="K972" s="7"/>
    </row>
    <row r="973">
      <c r="K973" s="7"/>
    </row>
    <row r="974">
      <c r="K974" s="7"/>
    </row>
    <row r="975">
      <c r="K975" s="7"/>
    </row>
    <row r="976">
      <c r="K976" s="7"/>
    </row>
    <row r="977">
      <c r="K977" s="7"/>
    </row>
    <row r="978">
      <c r="K978" s="7"/>
    </row>
    <row r="979">
      <c r="K979" s="7"/>
    </row>
    <row r="980">
      <c r="K980" s="7"/>
    </row>
    <row r="981">
      <c r="K981" s="7"/>
    </row>
    <row r="982">
      <c r="K982" s="7"/>
    </row>
    <row r="983">
      <c r="K983" s="7"/>
    </row>
    <row r="984">
      <c r="K984" s="7"/>
    </row>
    <row r="985">
      <c r="K985" s="7"/>
    </row>
    <row r="986">
      <c r="K986" s="7"/>
    </row>
    <row r="987">
      <c r="K987" s="7"/>
    </row>
    <row r="988">
      <c r="K988" s="7"/>
    </row>
    <row r="989">
      <c r="K989" s="7"/>
    </row>
    <row r="990">
      <c r="K990" s="7"/>
    </row>
    <row r="991">
      <c r="K991" s="7"/>
    </row>
    <row r="992">
      <c r="K992" s="7"/>
    </row>
    <row r="993">
      <c r="K993" s="7"/>
    </row>
    <row r="994">
      <c r="K994" s="7"/>
    </row>
    <row r="995">
      <c r="K995" s="7"/>
    </row>
    <row r="996">
      <c r="K996" s="7"/>
    </row>
    <row r="997">
      <c r="K997" s="7"/>
    </row>
    <row r="998">
      <c r="K998" s="7"/>
    </row>
    <row r="999">
      <c r="K999" s="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3">
        <v>45509.0</v>
      </c>
      <c r="B2" s="4">
        <v>1784.95</v>
      </c>
      <c r="C2" s="4">
        <v>1797.5</v>
      </c>
      <c r="D2" s="4">
        <v>1718.55</v>
      </c>
      <c r="E2" s="4">
        <v>1821.2</v>
      </c>
      <c r="F2" s="4">
        <v>1751.9</v>
      </c>
      <c r="G2" s="4">
        <v>1748.15</v>
      </c>
      <c r="H2" s="1" t="s">
        <v>18</v>
      </c>
      <c r="I2" s="1" t="s">
        <v>20</v>
      </c>
      <c r="J2" s="1" t="s">
        <v>21</v>
      </c>
      <c r="L2" s="7"/>
      <c r="M2" s="8">
        <f t="shared" ref="M2:M496" si="1">VALUE(SUBSTITUTE(H2,",",""))</f>
        <v>10736703</v>
      </c>
    </row>
    <row r="3">
      <c r="A3" s="3">
        <v>45510.0</v>
      </c>
      <c r="B3" s="4">
        <v>1760.2</v>
      </c>
      <c r="C3" s="4">
        <v>1796.95</v>
      </c>
      <c r="D3" s="4">
        <v>1744.85</v>
      </c>
      <c r="E3" s="4">
        <v>1751.9</v>
      </c>
      <c r="F3" s="4">
        <v>1751.1</v>
      </c>
      <c r="G3" s="4">
        <v>1762.7</v>
      </c>
      <c r="H3" s="1" t="s">
        <v>27</v>
      </c>
      <c r="I3" s="1" t="s">
        <v>29</v>
      </c>
      <c r="J3" s="1" t="s">
        <v>30</v>
      </c>
      <c r="K3" s="1">
        <f t="shared" ref="K3:K496" si="2">(F3-F2)/F2</f>
        <v>-0.0004566470689</v>
      </c>
      <c r="L3" s="7">
        <v>-0.0026210113237665773</v>
      </c>
      <c r="M3" s="8">
        <f t="shared" si="1"/>
        <v>7690163</v>
      </c>
    </row>
    <row r="4">
      <c r="A4" s="3">
        <v>45511.0</v>
      </c>
      <c r="B4" s="4">
        <v>1796.0</v>
      </c>
      <c r="C4" s="4">
        <v>1797.9</v>
      </c>
      <c r="D4" s="4">
        <v>1762.1</v>
      </c>
      <c r="E4" s="4">
        <v>1751.1</v>
      </c>
      <c r="F4" s="4">
        <v>1791.65</v>
      </c>
      <c r="G4" s="4">
        <v>1782.2</v>
      </c>
      <c r="H4" s="1" t="s">
        <v>37</v>
      </c>
      <c r="I4" s="1" t="s">
        <v>38</v>
      </c>
      <c r="J4" s="1" t="s">
        <v>39</v>
      </c>
      <c r="K4" s="1">
        <f t="shared" si="2"/>
        <v>0.02315687282</v>
      </c>
      <c r="L4" s="7">
        <v>0.012710195456506321</v>
      </c>
      <c r="M4" s="8">
        <f t="shared" si="1"/>
        <v>5094329</v>
      </c>
    </row>
    <row r="5">
      <c r="A5" s="3">
        <v>45512.0</v>
      </c>
      <c r="B5" s="4">
        <v>1779.95</v>
      </c>
      <c r="C5" s="4">
        <v>1779.95</v>
      </c>
      <c r="D5" s="4">
        <v>1727.1</v>
      </c>
      <c r="E5" s="4">
        <v>1791.65</v>
      </c>
      <c r="F5" s="4">
        <v>1743.15</v>
      </c>
      <c r="G5" s="4">
        <v>1748.61</v>
      </c>
      <c r="H5" s="1" t="s">
        <v>46</v>
      </c>
      <c r="I5" s="1" t="s">
        <v>47</v>
      </c>
      <c r="J5" s="1" t="s">
        <v>48</v>
      </c>
      <c r="K5" s="1">
        <f t="shared" si="2"/>
        <v>-0.02707001926</v>
      </c>
      <c r="L5" s="7">
        <v>-0.007428747813561066</v>
      </c>
      <c r="M5" s="8">
        <f t="shared" si="1"/>
        <v>6227910</v>
      </c>
    </row>
    <row r="6">
      <c r="A6" s="3">
        <v>45513.0</v>
      </c>
      <c r="B6" s="4">
        <v>1771.25</v>
      </c>
      <c r="C6" s="4">
        <v>1780.75</v>
      </c>
      <c r="D6" s="4">
        <v>1756.0</v>
      </c>
      <c r="E6" s="4">
        <v>1743.15</v>
      </c>
      <c r="F6" s="4">
        <v>1770.75</v>
      </c>
      <c r="G6" s="4">
        <v>1766.78</v>
      </c>
      <c r="H6" s="1" t="s">
        <v>56</v>
      </c>
      <c r="I6" s="1" t="s">
        <v>57</v>
      </c>
      <c r="J6" s="1" t="s">
        <v>59</v>
      </c>
      <c r="K6" s="1">
        <f t="shared" si="2"/>
        <v>0.01583340504</v>
      </c>
      <c r="L6" s="7">
        <v>0.010386864037815649</v>
      </c>
      <c r="M6" s="8">
        <f t="shared" si="1"/>
        <v>4258524</v>
      </c>
    </row>
    <row r="7">
      <c r="A7" s="9">
        <v>45516.0</v>
      </c>
      <c r="B7" s="4">
        <v>1773.05</v>
      </c>
      <c r="C7" s="4">
        <v>1803.5</v>
      </c>
      <c r="D7" s="4">
        <v>1768.1</v>
      </c>
      <c r="E7" s="4">
        <v>1770.75</v>
      </c>
      <c r="F7" s="4">
        <v>1797.4</v>
      </c>
      <c r="G7" s="4">
        <v>1793.12</v>
      </c>
      <c r="H7" s="1" t="s">
        <v>66</v>
      </c>
      <c r="I7" s="1" t="s">
        <v>68</v>
      </c>
      <c r="J7" s="1" t="s">
        <v>70</v>
      </c>
      <c r="K7" s="1">
        <f t="shared" si="2"/>
        <v>0.01505012001</v>
      </c>
      <c r="L7" s="7">
        <v>-8.412844977941931E-4</v>
      </c>
      <c r="M7" s="8">
        <f t="shared" si="1"/>
        <v>4315329</v>
      </c>
    </row>
    <row r="8">
      <c r="A8" s="9">
        <v>45517.0</v>
      </c>
      <c r="B8" s="4">
        <v>1810.0</v>
      </c>
      <c r="C8" s="4">
        <v>1810.0</v>
      </c>
      <c r="D8" s="4">
        <v>1789.05</v>
      </c>
      <c r="E8" s="4">
        <v>1797.4</v>
      </c>
      <c r="F8" s="4">
        <v>1797.45</v>
      </c>
      <c r="G8" s="4">
        <v>1799.3</v>
      </c>
      <c r="H8" s="1" t="s">
        <v>80</v>
      </c>
      <c r="I8" s="1" t="s">
        <v>81</v>
      </c>
      <c r="J8" s="1" t="s">
        <v>82</v>
      </c>
      <c r="K8" s="1">
        <f t="shared" si="2"/>
        <v>0.00002781795927</v>
      </c>
      <c r="L8" s="7">
        <v>-0.008543146999630345</v>
      </c>
      <c r="M8" s="8">
        <f t="shared" si="1"/>
        <v>4176918</v>
      </c>
    </row>
    <row r="9">
      <c r="A9" s="9">
        <v>45518.0</v>
      </c>
      <c r="B9" s="4">
        <v>1802.0</v>
      </c>
      <c r="C9" s="4">
        <v>1825.0</v>
      </c>
      <c r="D9" s="4">
        <v>1797.45</v>
      </c>
      <c r="E9" s="4">
        <v>1797.45</v>
      </c>
      <c r="F9" s="4">
        <v>1823.25</v>
      </c>
      <c r="G9" s="4">
        <v>1813.72</v>
      </c>
      <c r="H9" s="1" t="s">
        <v>88</v>
      </c>
      <c r="I9" s="1" t="s">
        <v>90</v>
      </c>
      <c r="J9" s="1" t="s">
        <v>91</v>
      </c>
      <c r="K9" s="1">
        <f t="shared" si="2"/>
        <v>0.0143536677</v>
      </c>
      <c r="L9" s="7">
        <v>1.9677699987571978E-4</v>
      </c>
      <c r="M9" s="8">
        <f t="shared" si="1"/>
        <v>7450718</v>
      </c>
    </row>
    <row r="10">
      <c r="A10" s="9">
        <v>45520.0</v>
      </c>
      <c r="B10" s="4">
        <v>1850.0</v>
      </c>
      <c r="C10" s="4">
        <v>1861.85</v>
      </c>
      <c r="D10" s="4">
        <v>1829.5</v>
      </c>
      <c r="E10" s="4">
        <v>1823.25</v>
      </c>
      <c r="F10" s="4">
        <v>1858.95</v>
      </c>
      <c r="G10" s="4">
        <v>1844.85</v>
      </c>
      <c r="H10" s="1" t="s">
        <v>96</v>
      </c>
      <c r="I10" s="1" t="s">
        <v>98</v>
      </c>
      <c r="J10" s="1" t="s">
        <v>100</v>
      </c>
      <c r="K10" s="1">
        <f t="shared" si="2"/>
        <v>0.01958041958</v>
      </c>
      <c r="L10" s="7">
        <v>0.01645974631115719</v>
      </c>
      <c r="M10" s="8">
        <f t="shared" si="1"/>
        <v>7335657</v>
      </c>
    </row>
    <row r="11">
      <c r="A11" s="9">
        <v>45523.0</v>
      </c>
      <c r="B11" s="4">
        <v>1860.0</v>
      </c>
      <c r="C11" s="4">
        <v>1867.55</v>
      </c>
      <c r="D11" s="4">
        <v>1849.2</v>
      </c>
      <c r="E11" s="4">
        <v>1858.95</v>
      </c>
      <c r="F11" s="4">
        <v>1864.8</v>
      </c>
      <c r="G11" s="4">
        <v>1862.3</v>
      </c>
      <c r="H11" s="1" t="s">
        <v>107</v>
      </c>
      <c r="I11" s="1" t="s">
        <v>108</v>
      </c>
      <c r="J11" s="1" t="s">
        <v>110</v>
      </c>
      <c r="K11" s="1">
        <f t="shared" si="2"/>
        <v>0.003146937787</v>
      </c>
      <c r="L11" s="7">
        <v>0.0012835584314508488</v>
      </c>
      <c r="M11" s="8">
        <f t="shared" si="1"/>
        <v>2585989</v>
      </c>
    </row>
    <row r="12">
      <c r="A12" s="9">
        <v>45524.0</v>
      </c>
      <c r="B12" s="4">
        <v>1880.0</v>
      </c>
      <c r="C12" s="4">
        <v>1885.7</v>
      </c>
      <c r="D12" s="4">
        <v>1868.2</v>
      </c>
      <c r="E12" s="4">
        <v>1864.8</v>
      </c>
      <c r="F12" s="4">
        <v>1872.2</v>
      </c>
      <c r="G12" s="4">
        <v>1875.2</v>
      </c>
      <c r="H12" s="1" t="s">
        <v>116</v>
      </c>
      <c r="I12" s="1" t="s">
        <v>117</v>
      </c>
      <c r="J12" s="1" t="s">
        <v>118</v>
      </c>
      <c r="K12" s="1">
        <f t="shared" si="2"/>
        <v>0.003968253968</v>
      </c>
      <c r="L12" s="7">
        <v>0.005135791215029599</v>
      </c>
      <c r="M12" s="8">
        <f t="shared" si="1"/>
        <v>3870333</v>
      </c>
    </row>
    <row r="13">
      <c r="A13" s="9">
        <v>45525.0</v>
      </c>
      <c r="B13" s="4">
        <v>1875.1</v>
      </c>
      <c r="C13" s="4">
        <v>1879.0</v>
      </c>
      <c r="D13" s="4">
        <v>1867.1</v>
      </c>
      <c r="E13" s="4">
        <v>1872.2</v>
      </c>
      <c r="F13" s="4">
        <v>1872.7</v>
      </c>
      <c r="G13" s="4">
        <v>1871.57</v>
      </c>
      <c r="H13" s="1" t="s">
        <v>125</v>
      </c>
      <c r="I13" s="1" t="s">
        <v>127</v>
      </c>
      <c r="J13" s="1" t="s">
        <v>129</v>
      </c>
      <c r="K13" s="1">
        <f t="shared" si="2"/>
        <v>0.0002670654845</v>
      </c>
      <c r="L13" s="7">
        <v>0.0028887984663254437</v>
      </c>
      <c r="M13" s="8">
        <f t="shared" si="1"/>
        <v>1966902</v>
      </c>
    </row>
    <row r="14">
      <c r="A14" s="9">
        <v>45526.0</v>
      </c>
      <c r="B14" s="4">
        <v>1884.0</v>
      </c>
      <c r="C14" s="4">
        <v>1893.65</v>
      </c>
      <c r="D14" s="4">
        <v>1869.7</v>
      </c>
      <c r="E14" s="4">
        <v>1872.7</v>
      </c>
      <c r="F14" s="4">
        <v>1880.25</v>
      </c>
      <c r="G14" s="4">
        <v>1880.39</v>
      </c>
      <c r="H14" s="1" t="s">
        <v>138</v>
      </c>
      <c r="I14" s="1" t="s">
        <v>140</v>
      </c>
      <c r="J14" s="1" t="s">
        <v>142</v>
      </c>
      <c r="K14" s="1">
        <f t="shared" si="2"/>
        <v>0.004031612111</v>
      </c>
      <c r="L14" s="7">
        <v>0.0016673260611540994</v>
      </c>
      <c r="M14" s="8">
        <f t="shared" si="1"/>
        <v>4300287</v>
      </c>
    </row>
    <row r="15">
      <c r="A15" s="9">
        <v>45527.0</v>
      </c>
      <c r="B15" s="4">
        <v>1878.2</v>
      </c>
      <c r="C15" s="4">
        <v>1882.6</v>
      </c>
      <c r="D15" s="4">
        <v>1857.0</v>
      </c>
      <c r="E15" s="4">
        <v>1880.25</v>
      </c>
      <c r="F15" s="4">
        <v>1862.1</v>
      </c>
      <c r="G15" s="4">
        <v>1864.29</v>
      </c>
      <c r="H15" s="1" t="s">
        <v>152</v>
      </c>
      <c r="I15" s="1" t="s">
        <v>153</v>
      </c>
      <c r="J15" s="1" t="s">
        <v>154</v>
      </c>
      <c r="K15" s="1">
        <f t="shared" si="2"/>
        <v>-0.009652971679</v>
      </c>
      <c r="L15" s="7">
        <v>4.695403341193179E-4</v>
      </c>
      <c r="M15" s="8">
        <f t="shared" si="1"/>
        <v>5015935</v>
      </c>
    </row>
    <row r="16">
      <c r="A16" s="9">
        <v>45530.0</v>
      </c>
      <c r="B16" s="4">
        <v>1870.0</v>
      </c>
      <c r="C16" s="4">
        <v>1888.75</v>
      </c>
      <c r="D16" s="4">
        <v>1864.0</v>
      </c>
      <c r="E16" s="4">
        <v>1862.1</v>
      </c>
      <c r="F16" s="4">
        <v>1876.15</v>
      </c>
      <c r="G16" s="4">
        <v>1879.7</v>
      </c>
      <c r="H16" s="1" t="s">
        <v>163</v>
      </c>
      <c r="I16" s="1" t="s">
        <v>164</v>
      </c>
      <c r="J16" s="1" t="s">
        <v>165</v>
      </c>
      <c r="K16" s="1">
        <f t="shared" si="2"/>
        <v>0.007545244616</v>
      </c>
      <c r="L16" s="7">
        <v>0.0075514187361393325</v>
      </c>
      <c r="M16" s="8">
        <f t="shared" si="1"/>
        <v>3728589</v>
      </c>
    </row>
    <row r="17">
      <c r="A17" s="9">
        <v>45531.0</v>
      </c>
      <c r="B17" s="4">
        <v>1876.15</v>
      </c>
      <c r="C17" s="4">
        <v>1902.75</v>
      </c>
      <c r="D17" s="4">
        <v>1873.9</v>
      </c>
      <c r="E17" s="4">
        <v>1876.15</v>
      </c>
      <c r="F17" s="4">
        <v>1900.1</v>
      </c>
      <c r="G17" s="4">
        <v>1895.32</v>
      </c>
      <c r="H17" s="1" t="s">
        <v>172</v>
      </c>
      <c r="I17" s="1" t="s">
        <v>173</v>
      </c>
      <c r="J17" s="1" t="s">
        <v>174</v>
      </c>
      <c r="K17" s="1">
        <f t="shared" si="2"/>
        <v>0.01276550382</v>
      </c>
      <c r="L17" s="7">
        <v>2.858787873942031E-4</v>
      </c>
      <c r="M17" s="8">
        <f t="shared" si="1"/>
        <v>3830679</v>
      </c>
    </row>
    <row r="18">
      <c r="A18" s="9">
        <v>45532.0</v>
      </c>
      <c r="B18" s="4">
        <v>1906.9</v>
      </c>
      <c r="C18" s="4">
        <v>1951.0</v>
      </c>
      <c r="D18" s="4">
        <v>1897.4</v>
      </c>
      <c r="E18" s="4">
        <v>1900.1</v>
      </c>
      <c r="F18" s="4">
        <v>1939.1</v>
      </c>
      <c r="G18" s="4">
        <v>1935.93</v>
      </c>
      <c r="H18" s="1" t="s">
        <v>183</v>
      </c>
      <c r="I18" s="1" t="s">
        <v>185</v>
      </c>
      <c r="J18" s="1" t="s">
        <v>187</v>
      </c>
      <c r="K18" s="1">
        <f t="shared" si="2"/>
        <v>0.02052523551</v>
      </c>
      <c r="L18" s="7">
        <v>0.0013830180571793446</v>
      </c>
      <c r="M18" s="8">
        <f t="shared" si="1"/>
        <v>6514531</v>
      </c>
    </row>
    <row r="19">
      <c r="A19" s="9">
        <v>45533.0</v>
      </c>
      <c r="B19" s="4">
        <v>1933.0</v>
      </c>
      <c r="C19" s="4">
        <v>1950.5</v>
      </c>
      <c r="D19" s="4">
        <v>1920.9</v>
      </c>
      <c r="E19" s="4">
        <v>1939.1</v>
      </c>
      <c r="F19" s="4">
        <v>1933.35</v>
      </c>
      <c r="G19" s="4">
        <v>1936.08</v>
      </c>
      <c r="H19" s="1" t="s">
        <v>194</v>
      </c>
      <c r="I19" s="1" t="s">
        <v>197</v>
      </c>
      <c r="J19" s="1" t="s">
        <v>200</v>
      </c>
      <c r="K19" s="1">
        <f t="shared" si="2"/>
        <v>-0.002965293177</v>
      </c>
      <c r="L19" s="7">
        <v>0.003975674936682674</v>
      </c>
      <c r="M19" s="8">
        <f t="shared" si="1"/>
        <v>7228284</v>
      </c>
    </row>
    <row r="20">
      <c r="A20" s="9">
        <v>45534.0</v>
      </c>
      <c r="B20" s="4">
        <v>1938.0</v>
      </c>
      <c r="C20" s="4">
        <v>1950.0</v>
      </c>
      <c r="D20" s="4">
        <v>1928.0</v>
      </c>
      <c r="E20" s="4">
        <v>1933.35</v>
      </c>
      <c r="F20" s="4">
        <v>1943.7</v>
      </c>
      <c r="G20" s="4">
        <v>1940.67</v>
      </c>
      <c r="H20" s="1" t="s">
        <v>206</v>
      </c>
      <c r="I20" s="1" t="s">
        <v>210</v>
      </c>
      <c r="J20" s="1" t="s">
        <v>213</v>
      </c>
      <c r="K20" s="1">
        <f t="shared" si="2"/>
        <v>0.005353402126</v>
      </c>
      <c r="L20" s="7">
        <v>0.00333771337808801</v>
      </c>
      <c r="M20" s="8">
        <f t="shared" si="1"/>
        <v>13466759</v>
      </c>
    </row>
    <row r="21">
      <c r="A21" s="3">
        <v>45537.0</v>
      </c>
      <c r="B21" s="4">
        <v>1943.35</v>
      </c>
      <c r="C21" s="4">
        <v>1975.75</v>
      </c>
      <c r="D21" s="4">
        <v>1942.8</v>
      </c>
      <c r="E21" s="4">
        <v>1943.7</v>
      </c>
      <c r="F21" s="4">
        <v>1964.5</v>
      </c>
      <c r="G21" s="4">
        <v>1961.02</v>
      </c>
      <c r="H21" s="1" t="s">
        <v>221</v>
      </c>
      <c r="I21" s="1" t="s">
        <v>222</v>
      </c>
      <c r="J21" s="1" t="s">
        <v>224</v>
      </c>
      <c r="K21" s="1">
        <f t="shared" si="2"/>
        <v>0.0107012399</v>
      </c>
      <c r="L21" s="7">
        <v>0.0016959965763059478</v>
      </c>
      <c r="M21" s="8">
        <f t="shared" si="1"/>
        <v>5573739</v>
      </c>
    </row>
    <row r="22">
      <c r="A22" s="3">
        <v>45538.0</v>
      </c>
      <c r="B22" s="4">
        <v>1967.0</v>
      </c>
      <c r="C22" s="4">
        <v>1967.0</v>
      </c>
      <c r="D22" s="4">
        <v>1936.45</v>
      </c>
      <c r="E22" s="4">
        <v>1964.5</v>
      </c>
      <c r="F22" s="4">
        <v>1941.25</v>
      </c>
      <c r="G22" s="4">
        <v>1952.15</v>
      </c>
      <c r="H22" s="1" t="s">
        <v>230</v>
      </c>
      <c r="I22" s="1" t="s">
        <v>231</v>
      </c>
      <c r="J22" s="1" t="s">
        <v>232</v>
      </c>
      <c r="K22" s="1">
        <f t="shared" si="2"/>
        <v>-0.01183507254</v>
      </c>
      <c r="L22" s="7">
        <v>4.549284575543114E-5</v>
      </c>
      <c r="M22" s="8">
        <f t="shared" si="1"/>
        <v>4694322</v>
      </c>
    </row>
    <row r="23">
      <c r="A23" s="3">
        <v>45539.0</v>
      </c>
      <c r="B23" s="4">
        <v>1921.1</v>
      </c>
      <c r="C23" s="4">
        <v>1927.2</v>
      </c>
      <c r="D23" s="4">
        <v>1900.05</v>
      </c>
      <c r="E23" s="4">
        <v>1941.25</v>
      </c>
      <c r="F23" s="4">
        <v>1922.45</v>
      </c>
      <c r="G23" s="4">
        <v>1913.05</v>
      </c>
      <c r="H23" s="1" t="s">
        <v>242</v>
      </c>
      <c r="I23" s="1" t="s">
        <v>244</v>
      </c>
      <c r="J23" s="1" t="s">
        <v>246</v>
      </c>
      <c r="K23" s="1">
        <f t="shared" si="2"/>
        <v>-0.009684481648</v>
      </c>
      <c r="L23" s="7">
        <v>-0.0032100665154262318</v>
      </c>
      <c r="M23" s="8">
        <f t="shared" si="1"/>
        <v>4778310</v>
      </c>
    </row>
    <row r="24">
      <c r="A24" s="3">
        <v>45540.0</v>
      </c>
      <c r="B24" s="4">
        <v>1926.25</v>
      </c>
      <c r="C24" s="4">
        <v>1940.0</v>
      </c>
      <c r="D24" s="4">
        <v>1909.6</v>
      </c>
      <c r="E24" s="4">
        <v>1922.45</v>
      </c>
      <c r="F24" s="4">
        <v>1933.15</v>
      </c>
      <c r="G24" s="4">
        <v>1924.01</v>
      </c>
      <c r="H24" s="1" t="s">
        <v>254</v>
      </c>
      <c r="I24" s="1" t="s">
        <v>256</v>
      </c>
      <c r="J24" s="1" t="s">
        <v>258</v>
      </c>
      <c r="K24" s="1">
        <f t="shared" si="2"/>
        <v>0.005565814456</v>
      </c>
      <c r="L24" s="7">
        <v>-0.0021270938580165715</v>
      </c>
      <c r="M24" s="8">
        <f t="shared" si="1"/>
        <v>4081810</v>
      </c>
    </row>
    <row r="25">
      <c r="A25" s="3">
        <v>45541.0</v>
      </c>
      <c r="B25" s="4">
        <v>1922.0</v>
      </c>
      <c r="C25" s="4">
        <v>1936.5</v>
      </c>
      <c r="D25" s="4">
        <v>1896.85</v>
      </c>
      <c r="E25" s="4">
        <v>1933.15</v>
      </c>
      <c r="F25" s="4">
        <v>1901.85</v>
      </c>
      <c r="G25" s="4">
        <v>1908.09</v>
      </c>
      <c r="H25" s="1" t="s">
        <v>267</v>
      </c>
      <c r="I25" s="1" t="s">
        <v>269</v>
      </c>
      <c r="J25" s="1" t="s">
        <v>272</v>
      </c>
      <c r="K25" s="1">
        <f t="shared" si="2"/>
        <v>-0.01619119054</v>
      </c>
      <c r="L25" s="7">
        <v>-0.011650381187587128</v>
      </c>
      <c r="M25" s="8">
        <f t="shared" si="1"/>
        <v>5848106</v>
      </c>
    </row>
    <row r="26">
      <c r="A26" s="3">
        <v>45544.0</v>
      </c>
      <c r="B26" s="4">
        <v>1890.0</v>
      </c>
      <c r="C26" s="4">
        <v>1920.85</v>
      </c>
      <c r="D26" s="4">
        <v>1889.0</v>
      </c>
      <c r="E26" s="4">
        <v>1901.85</v>
      </c>
      <c r="F26" s="4">
        <v>1894.65</v>
      </c>
      <c r="G26" s="4">
        <v>1905.13</v>
      </c>
      <c r="H26" s="1" t="s">
        <v>279</v>
      </c>
      <c r="I26" s="1" t="s">
        <v>282</v>
      </c>
      <c r="J26" s="1" t="s">
        <v>285</v>
      </c>
      <c r="K26" s="1">
        <f t="shared" si="2"/>
        <v>-0.003785787523</v>
      </c>
      <c r="L26" s="7">
        <v>0.0033900487482974306</v>
      </c>
      <c r="M26" s="8">
        <f t="shared" si="1"/>
        <v>4772612</v>
      </c>
    </row>
    <row r="27">
      <c r="A27" s="9">
        <v>45545.0</v>
      </c>
      <c r="B27" s="4">
        <v>1904.9</v>
      </c>
      <c r="C27" s="4">
        <v>1935.0</v>
      </c>
      <c r="D27" s="4">
        <v>1896.0</v>
      </c>
      <c r="E27" s="4">
        <v>1894.65</v>
      </c>
      <c r="F27" s="4">
        <v>1912.3</v>
      </c>
      <c r="G27" s="4">
        <v>1920.51</v>
      </c>
      <c r="H27" s="1" t="s">
        <v>290</v>
      </c>
      <c r="I27" s="1" t="s">
        <v>291</v>
      </c>
      <c r="J27" s="1" t="s">
        <v>292</v>
      </c>
      <c r="K27" s="1">
        <f t="shared" si="2"/>
        <v>0.009315704748</v>
      </c>
      <c r="L27" s="7">
        <v>0.0041986814455974835</v>
      </c>
      <c r="M27" s="8">
        <f t="shared" si="1"/>
        <v>6909600</v>
      </c>
    </row>
    <row r="28">
      <c r="A28" s="9">
        <v>45546.0</v>
      </c>
      <c r="B28" s="4">
        <v>1914.7</v>
      </c>
      <c r="C28" s="4">
        <v>1926.0</v>
      </c>
      <c r="D28" s="4">
        <v>1905.0</v>
      </c>
      <c r="E28" s="4">
        <v>1912.3</v>
      </c>
      <c r="F28" s="4">
        <v>1910.15</v>
      </c>
      <c r="G28" s="4">
        <v>1915.8</v>
      </c>
      <c r="H28" s="1" t="s">
        <v>299</v>
      </c>
      <c r="I28" s="1" t="s">
        <v>300</v>
      </c>
      <c r="J28" s="1" t="s">
        <v>301</v>
      </c>
      <c r="K28" s="1">
        <f t="shared" si="2"/>
        <v>-0.00112430058</v>
      </c>
      <c r="L28" s="7">
        <v>-0.004897947773859688</v>
      </c>
      <c r="M28" s="8">
        <f t="shared" si="1"/>
        <v>5312946</v>
      </c>
    </row>
    <row r="29">
      <c r="A29" s="9">
        <v>45547.0</v>
      </c>
      <c r="B29" s="4">
        <v>1925.0</v>
      </c>
      <c r="C29" s="4">
        <v>1956.4</v>
      </c>
      <c r="D29" s="4">
        <v>1910.8</v>
      </c>
      <c r="E29" s="4">
        <v>1910.15</v>
      </c>
      <c r="F29" s="4">
        <v>1950.45</v>
      </c>
      <c r="G29" s="4">
        <v>1933.56</v>
      </c>
      <c r="H29" s="1" t="s">
        <v>311</v>
      </c>
      <c r="I29" s="1" t="s">
        <v>312</v>
      </c>
      <c r="J29" s="1" t="s">
        <v>313</v>
      </c>
      <c r="K29" s="1">
        <f t="shared" si="2"/>
        <v>0.02109781954</v>
      </c>
      <c r="L29" s="7">
        <v>0.018879585206945083</v>
      </c>
      <c r="M29" s="8">
        <f t="shared" si="1"/>
        <v>8555092</v>
      </c>
    </row>
    <row r="30">
      <c r="A30" s="9">
        <v>45548.0</v>
      </c>
      <c r="B30" s="4">
        <v>1950.45</v>
      </c>
      <c r="C30" s="4">
        <v>1958.6</v>
      </c>
      <c r="D30" s="4">
        <v>1935.65</v>
      </c>
      <c r="E30" s="4">
        <v>1950.45</v>
      </c>
      <c r="F30" s="4">
        <v>1944.1</v>
      </c>
      <c r="G30" s="4">
        <v>1948.85</v>
      </c>
      <c r="H30" s="1" t="s">
        <v>322</v>
      </c>
      <c r="I30" s="1" t="s">
        <v>323</v>
      </c>
      <c r="J30" s="1" t="s">
        <v>324</v>
      </c>
      <c r="K30" s="1">
        <f t="shared" si="2"/>
        <v>-0.00325565895</v>
      </c>
      <c r="L30" s="7">
        <v>-0.0012761482380095812</v>
      </c>
      <c r="M30" s="8">
        <f t="shared" si="1"/>
        <v>3843127</v>
      </c>
    </row>
    <row r="31">
      <c r="A31" s="9">
        <v>45551.0</v>
      </c>
      <c r="B31" s="4">
        <v>1945.75</v>
      </c>
      <c r="C31" s="4">
        <v>1952.0</v>
      </c>
      <c r="D31" s="4">
        <v>1933.05</v>
      </c>
      <c r="E31" s="4">
        <v>1944.1</v>
      </c>
      <c r="F31" s="4">
        <v>1950.25</v>
      </c>
      <c r="G31" s="4">
        <v>1943.67</v>
      </c>
      <c r="H31" s="1" t="s">
        <v>329</v>
      </c>
      <c r="I31" s="1" t="s">
        <v>333</v>
      </c>
      <c r="J31" s="11">
        <v>72563.0</v>
      </c>
      <c r="K31" s="1">
        <f t="shared" si="2"/>
        <v>0.00316341752</v>
      </c>
      <c r="L31" s="7">
        <v>0.0010746751326089958</v>
      </c>
      <c r="M31" s="8">
        <f t="shared" si="1"/>
        <v>1570181</v>
      </c>
    </row>
    <row r="32">
      <c r="A32" s="9">
        <v>45552.0</v>
      </c>
      <c r="B32" s="4">
        <v>1947.75</v>
      </c>
      <c r="C32" s="4">
        <v>1958.45</v>
      </c>
      <c r="D32" s="4">
        <v>1942.15</v>
      </c>
      <c r="E32" s="4">
        <v>1950.25</v>
      </c>
      <c r="F32" s="4">
        <v>1952.55</v>
      </c>
      <c r="G32" s="4">
        <v>1951.76</v>
      </c>
      <c r="H32" s="1" t="s">
        <v>337</v>
      </c>
      <c r="I32" s="1" t="s">
        <v>339</v>
      </c>
      <c r="J32" s="1" t="s">
        <v>341</v>
      </c>
      <c r="K32" s="1">
        <f t="shared" si="2"/>
        <v>0.001179335983</v>
      </c>
      <c r="L32" s="7">
        <v>0.0013709558280395637</v>
      </c>
      <c r="M32" s="8">
        <f t="shared" si="1"/>
        <v>2793127</v>
      </c>
    </row>
    <row r="33">
      <c r="A33" s="9">
        <v>45553.0</v>
      </c>
      <c r="B33" s="4">
        <v>1938.75</v>
      </c>
      <c r="C33" s="4">
        <v>1938.75</v>
      </c>
      <c r="D33" s="4">
        <v>1881.3</v>
      </c>
      <c r="E33" s="4">
        <v>1952.55</v>
      </c>
      <c r="F33" s="4">
        <v>1892.15</v>
      </c>
      <c r="G33" s="4">
        <v>1898.2</v>
      </c>
      <c r="H33" s="1" t="s">
        <v>348</v>
      </c>
      <c r="I33" s="1" t="s">
        <v>349</v>
      </c>
      <c r="J33" s="1" t="s">
        <v>350</v>
      </c>
      <c r="K33" s="1">
        <f t="shared" si="2"/>
        <v>-0.03093390694</v>
      </c>
      <c r="L33" s="7">
        <v>-0.001612995233795791</v>
      </c>
      <c r="M33" s="8">
        <f t="shared" si="1"/>
        <v>6385468</v>
      </c>
    </row>
    <row r="34">
      <c r="A34" s="9">
        <v>45554.0</v>
      </c>
      <c r="B34" s="4">
        <v>1910.6</v>
      </c>
      <c r="C34" s="4">
        <v>1924.9</v>
      </c>
      <c r="D34" s="4">
        <v>1878.8</v>
      </c>
      <c r="E34" s="4">
        <v>1892.15</v>
      </c>
      <c r="F34" s="4">
        <v>1894.2</v>
      </c>
      <c r="G34" s="4">
        <v>1894.84</v>
      </c>
      <c r="H34" s="1" t="s">
        <v>360</v>
      </c>
      <c r="I34" s="1" t="s">
        <v>361</v>
      </c>
      <c r="J34" s="1" t="s">
        <v>362</v>
      </c>
      <c r="K34" s="1">
        <f t="shared" si="2"/>
        <v>0.001083423619</v>
      </c>
      <c r="L34" s="7">
        <v>0.0015072376963103215</v>
      </c>
      <c r="M34" s="8">
        <f t="shared" si="1"/>
        <v>7976570</v>
      </c>
    </row>
    <row r="35">
      <c r="A35" s="9">
        <v>45555.0</v>
      </c>
      <c r="B35" s="4">
        <v>1905.0</v>
      </c>
      <c r="C35" s="4">
        <v>1915.0</v>
      </c>
      <c r="D35" s="4">
        <v>1867.4</v>
      </c>
      <c r="E35" s="4">
        <v>1894.2</v>
      </c>
      <c r="F35" s="4">
        <v>1905.75</v>
      </c>
      <c r="G35" s="4">
        <v>1902.04</v>
      </c>
      <c r="H35" s="1" t="s">
        <v>371</v>
      </c>
      <c r="I35" s="1" t="s">
        <v>373</v>
      </c>
      <c r="J35" s="1" t="s">
        <v>374</v>
      </c>
      <c r="K35" s="1">
        <f t="shared" si="2"/>
        <v>0.006097560976</v>
      </c>
      <c r="L35" s="7">
        <v>0.014760503308965348</v>
      </c>
      <c r="M35" s="8">
        <f t="shared" si="1"/>
        <v>15242974</v>
      </c>
    </row>
    <row r="36">
      <c r="A36" s="9">
        <v>45558.0</v>
      </c>
      <c r="B36" s="4">
        <v>1909.0</v>
      </c>
      <c r="C36" s="4">
        <v>1918.9</v>
      </c>
      <c r="D36" s="4">
        <v>1878.45</v>
      </c>
      <c r="E36" s="4">
        <v>1905.75</v>
      </c>
      <c r="F36" s="4">
        <v>1896.45</v>
      </c>
      <c r="G36" s="4">
        <v>1890.26</v>
      </c>
      <c r="H36" s="1" t="s">
        <v>380</v>
      </c>
      <c r="I36" s="1" t="s">
        <v>382</v>
      </c>
      <c r="J36" s="1" t="s">
        <v>383</v>
      </c>
      <c r="K36" s="1">
        <f t="shared" si="2"/>
        <v>-0.004879968516</v>
      </c>
      <c r="L36" s="7">
        <v>0.005742324342453401</v>
      </c>
      <c r="M36" s="8">
        <f t="shared" si="1"/>
        <v>3636672</v>
      </c>
    </row>
    <row r="37">
      <c r="A37" s="9">
        <v>45559.0</v>
      </c>
      <c r="B37" s="4">
        <v>1888.0</v>
      </c>
      <c r="C37" s="4">
        <v>1910.9</v>
      </c>
      <c r="D37" s="4">
        <v>1871.4</v>
      </c>
      <c r="E37" s="4">
        <v>1896.45</v>
      </c>
      <c r="F37" s="4">
        <v>1898.6</v>
      </c>
      <c r="G37" s="4">
        <v>1888.94</v>
      </c>
      <c r="H37" s="1" t="s">
        <v>390</v>
      </c>
      <c r="I37" s="1" t="s">
        <v>392</v>
      </c>
      <c r="J37" s="1" t="s">
        <v>394</v>
      </c>
      <c r="K37" s="1">
        <f t="shared" si="2"/>
        <v>0.001133697171</v>
      </c>
      <c r="L37" s="7">
        <v>5.2045082607195824E-5</v>
      </c>
      <c r="M37" s="8">
        <f t="shared" si="1"/>
        <v>7277616</v>
      </c>
    </row>
    <row r="38">
      <c r="A38" s="9">
        <v>45560.0</v>
      </c>
      <c r="B38" s="4">
        <v>1886.35</v>
      </c>
      <c r="C38" s="4">
        <v>1901.6</v>
      </c>
      <c r="D38" s="4">
        <v>1876.8</v>
      </c>
      <c r="E38" s="4">
        <v>1898.6</v>
      </c>
      <c r="F38" s="4">
        <v>1895.3</v>
      </c>
      <c r="G38" s="4">
        <v>1889.52</v>
      </c>
      <c r="H38" s="1" t="s">
        <v>398</v>
      </c>
      <c r="I38" s="1" t="s">
        <v>403</v>
      </c>
      <c r="J38" s="1" t="s">
        <v>406</v>
      </c>
      <c r="K38" s="1">
        <f t="shared" si="2"/>
        <v>-0.001738122827</v>
      </c>
      <c r="L38" s="7">
        <v>0.0024575565527131422</v>
      </c>
      <c r="M38" s="8">
        <f t="shared" si="1"/>
        <v>4268341</v>
      </c>
    </row>
    <row r="39">
      <c r="A39" s="9">
        <v>45561.0</v>
      </c>
      <c r="B39" s="4">
        <v>1897.8</v>
      </c>
      <c r="C39" s="4">
        <v>1917.95</v>
      </c>
      <c r="D39" s="4">
        <v>1893.0</v>
      </c>
      <c r="E39" s="4">
        <v>1895.3</v>
      </c>
      <c r="F39" s="4">
        <v>1900.25</v>
      </c>
      <c r="G39" s="4">
        <v>1902.94</v>
      </c>
      <c r="H39" s="1" t="s">
        <v>411</v>
      </c>
      <c r="I39" s="1" t="s">
        <v>414</v>
      </c>
      <c r="J39" s="1" t="s">
        <v>416</v>
      </c>
      <c r="K39" s="1">
        <f t="shared" si="2"/>
        <v>0.002611723738</v>
      </c>
      <c r="L39" s="7">
        <v>0.008148699342220293</v>
      </c>
      <c r="M39" s="8">
        <f t="shared" si="1"/>
        <v>8952803</v>
      </c>
    </row>
    <row r="40">
      <c r="A40" s="9">
        <v>45562.0</v>
      </c>
      <c r="B40" s="4">
        <v>1932.1</v>
      </c>
      <c r="C40" s="4">
        <v>1974.6</v>
      </c>
      <c r="D40" s="4">
        <v>1903.3</v>
      </c>
      <c r="E40" s="4">
        <v>1900.25</v>
      </c>
      <c r="F40" s="4">
        <v>1906.75</v>
      </c>
      <c r="G40" s="4">
        <v>1926.62</v>
      </c>
      <c r="H40" s="1" t="s">
        <v>420</v>
      </c>
      <c r="I40" s="1" t="s">
        <v>423</v>
      </c>
      <c r="J40" s="1" t="s">
        <v>426</v>
      </c>
      <c r="K40" s="1">
        <f t="shared" si="2"/>
        <v>0.003420602552</v>
      </c>
      <c r="L40" s="7">
        <v>-0.0014151636116042862</v>
      </c>
      <c r="M40" s="8">
        <f t="shared" si="1"/>
        <v>14908931</v>
      </c>
    </row>
    <row r="41">
      <c r="A41" s="9">
        <v>45565.0</v>
      </c>
      <c r="B41" s="4">
        <v>1880.0</v>
      </c>
      <c r="C41" s="4">
        <v>1901.25</v>
      </c>
      <c r="D41" s="4">
        <v>1870.5</v>
      </c>
      <c r="E41" s="4">
        <v>1906.75</v>
      </c>
      <c r="F41" s="4">
        <v>1875.6</v>
      </c>
      <c r="G41" s="4">
        <v>1881.3</v>
      </c>
      <c r="H41" s="1" t="s">
        <v>432</v>
      </c>
      <c r="I41" s="1" t="s">
        <v>433</v>
      </c>
      <c r="J41" s="1" t="s">
        <v>435</v>
      </c>
      <c r="K41" s="1">
        <f t="shared" si="2"/>
        <v>-0.01633669857</v>
      </c>
      <c r="L41" s="7">
        <v>-0.014060915353748036</v>
      </c>
      <c r="M41" s="8">
        <f t="shared" si="1"/>
        <v>6986955</v>
      </c>
    </row>
    <row r="42">
      <c r="A42" s="3">
        <v>45566.0</v>
      </c>
      <c r="B42" s="4">
        <v>1875.0</v>
      </c>
      <c r="C42" s="4">
        <v>1908.95</v>
      </c>
      <c r="D42" s="4">
        <v>1875.0</v>
      </c>
      <c r="E42" s="4">
        <v>1875.6</v>
      </c>
      <c r="F42" s="4">
        <v>1904.35</v>
      </c>
      <c r="G42" s="4">
        <v>1898.99</v>
      </c>
      <c r="H42" s="1" t="s">
        <v>443</v>
      </c>
      <c r="I42" s="1" t="s">
        <v>444</v>
      </c>
      <c r="J42" s="1" t="s">
        <v>445</v>
      </c>
      <c r="K42" s="1">
        <f t="shared" si="2"/>
        <v>0.01532842824</v>
      </c>
      <c r="L42" s="7">
        <v>-5.40470383578886E-4</v>
      </c>
      <c r="M42" s="8">
        <f t="shared" si="1"/>
        <v>4029072</v>
      </c>
    </row>
    <row r="43">
      <c r="A43" s="3">
        <v>45568.0</v>
      </c>
      <c r="B43" s="4">
        <v>1889.5</v>
      </c>
      <c r="C43" s="4">
        <v>1911.85</v>
      </c>
      <c r="D43" s="4">
        <v>1881.0</v>
      </c>
      <c r="E43" s="4">
        <v>1904.35</v>
      </c>
      <c r="F43" s="4">
        <v>1893.4</v>
      </c>
      <c r="G43" s="4">
        <v>1895.02</v>
      </c>
      <c r="H43" s="1" t="s">
        <v>453</v>
      </c>
      <c r="I43" s="1" t="s">
        <v>456</v>
      </c>
      <c r="J43" s="1" t="s">
        <v>460</v>
      </c>
      <c r="K43" s="1">
        <f t="shared" si="2"/>
        <v>-0.005749993436</v>
      </c>
      <c r="L43" s="7">
        <v>-0.021196345297303278</v>
      </c>
      <c r="M43" s="8">
        <f t="shared" si="1"/>
        <v>7503887</v>
      </c>
    </row>
    <row r="44">
      <c r="A44" s="3">
        <v>45569.0</v>
      </c>
      <c r="B44" s="4">
        <v>1889.55</v>
      </c>
      <c r="C44" s="4">
        <v>1954.1</v>
      </c>
      <c r="D44" s="4">
        <v>1886.0</v>
      </c>
      <c r="E44" s="4">
        <v>1893.4</v>
      </c>
      <c r="F44" s="4">
        <v>1918.15</v>
      </c>
      <c r="G44" s="4">
        <v>1926.6</v>
      </c>
      <c r="H44" s="1" t="s">
        <v>464</v>
      </c>
      <c r="I44" s="1" t="s">
        <v>468</v>
      </c>
      <c r="J44" s="1" t="s">
        <v>472</v>
      </c>
      <c r="K44" s="1">
        <f t="shared" si="2"/>
        <v>0.01307172283</v>
      </c>
      <c r="L44" s="7">
        <v>-0.009326695735858473</v>
      </c>
      <c r="M44" s="8">
        <f t="shared" si="1"/>
        <v>10001483</v>
      </c>
    </row>
    <row r="45">
      <c r="A45" s="3">
        <v>45572.0</v>
      </c>
      <c r="B45" s="4">
        <v>1923.2</v>
      </c>
      <c r="C45" s="4">
        <v>1942.0</v>
      </c>
      <c r="D45" s="4">
        <v>1916.05</v>
      </c>
      <c r="E45" s="4">
        <v>1918.15</v>
      </c>
      <c r="F45" s="4">
        <v>1934.3</v>
      </c>
      <c r="G45" s="4">
        <v>1932.07</v>
      </c>
      <c r="H45" s="1" t="s">
        <v>476</v>
      </c>
      <c r="I45" s="1" t="s">
        <v>479</v>
      </c>
      <c r="J45" s="1" t="s">
        <v>484</v>
      </c>
      <c r="K45" s="1">
        <f t="shared" si="2"/>
        <v>0.008419570941</v>
      </c>
      <c r="L45" s="7">
        <v>-0.008748890647861591</v>
      </c>
      <c r="M45" s="8">
        <f t="shared" si="1"/>
        <v>6112575</v>
      </c>
    </row>
    <row r="46">
      <c r="A46" s="3">
        <v>45573.0</v>
      </c>
      <c r="B46" s="4">
        <v>1937.9</v>
      </c>
      <c r="C46" s="4">
        <v>1957.95</v>
      </c>
      <c r="D46" s="4">
        <v>1906.35</v>
      </c>
      <c r="E46" s="4">
        <v>1934.3</v>
      </c>
      <c r="F46" s="4">
        <v>1948.55</v>
      </c>
      <c r="G46" s="4">
        <v>1937.77</v>
      </c>
      <c r="H46" s="1" t="s">
        <v>490</v>
      </c>
      <c r="I46" s="1" t="s">
        <v>492</v>
      </c>
      <c r="J46" s="1" t="s">
        <v>493</v>
      </c>
      <c r="K46" s="1">
        <f t="shared" si="2"/>
        <v>0.007367006152</v>
      </c>
      <c r="L46" s="7">
        <v>0.008767631549761611</v>
      </c>
      <c r="M46" s="8">
        <f t="shared" si="1"/>
        <v>5637391</v>
      </c>
    </row>
    <row r="47">
      <c r="A47" s="3">
        <v>45574.0</v>
      </c>
      <c r="B47" s="4">
        <v>1952.55</v>
      </c>
      <c r="C47" s="4">
        <v>1977.0</v>
      </c>
      <c r="D47" s="4">
        <v>1945.1</v>
      </c>
      <c r="E47" s="4">
        <v>1948.55</v>
      </c>
      <c r="F47" s="4">
        <v>1952.75</v>
      </c>
      <c r="G47" s="4">
        <v>1961.35</v>
      </c>
      <c r="H47" s="1" t="s">
        <v>502</v>
      </c>
      <c r="I47" s="1" t="s">
        <v>503</v>
      </c>
      <c r="J47" s="1" t="s">
        <v>504</v>
      </c>
      <c r="K47" s="1">
        <f t="shared" si="2"/>
        <v>0.002155448924</v>
      </c>
      <c r="L47" s="7">
        <v>-0.0012473438971101491</v>
      </c>
      <c r="M47" s="8">
        <f t="shared" si="1"/>
        <v>4857163</v>
      </c>
    </row>
    <row r="48">
      <c r="A48" s="9">
        <v>45575.0</v>
      </c>
      <c r="B48" s="4">
        <v>1957.9</v>
      </c>
      <c r="C48" s="4">
        <v>1964.0</v>
      </c>
      <c r="D48" s="4">
        <v>1914.1</v>
      </c>
      <c r="E48" s="4">
        <v>1952.75</v>
      </c>
      <c r="F48" s="4">
        <v>1919.0</v>
      </c>
      <c r="G48" s="4">
        <v>1934.31</v>
      </c>
      <c r="H48" s="1" t="s">
        <v>513</v>
      </c>
      <c r="I48" s="1" t="s">
        <v>514</v>
      </c>
      <c r="J48" s="1" t="s">
        <v>515</v>
      </c>
      <c r="K48" s="1">
        <f t="shared" si="2"/>
        <v>-0.0172833184</v>
      </c>
      <c r="L48" s="7">
        <v>6.604768642960217E-4</v>
      </c>
      <c r="M48" s="8">
        <f t="shared" si="1"/>
        <v>4782119</v>
      </c>
    </row>
    <row r="49">
      <c r="A49" s="9">
        <v>45576.0</v>
      </c>
      <c r="B49" s="4">
        <v>1918.0</v>
      </c>
      <c r="C49" s="4">
        <v>1947.0</v>
      </c>
      <c r="D49" s="4">
        <v>1910.1</v>
      </c>
      <c r="E49" s="4">
        <v>1919.0</v>
      </c>
      <c r="F49" s="4">
        <v>1935.1</v>
      </c>
      <c r="G49" s="4">
        <v>1932.54</v>
      </c>
      <c r="H49" s="1" t="s">
        <v>524</v>
      </c>
      <c r="I49" s="1" t="s">
        <v>525</v>
      </c>
      <c r="J49" s="1" t="s">
        <v>526</v>
      </c>
      <c r="K49" s="1">
        <f t="shared" si="2"/>
        <v>0.008389786347</v>
      </c>
      <c r="L49" s="7">
        <v>-0.001368084821258947</v>
      </c>
      <c r="M49" s="8">
        <f t="shared" si="1"/>
        <v>4709431</v>
      </c>
    </row>
    <row r="50">
      <c r="A50" s="9">
        <v>45579.0</v>
      </c>
      <c r="B50" s="4">
        <v>1932.15</v>
      </c>
      <c r="C50" s="4">
        <v>1969.5</v>
      </c>
      <c r="D50" s="4">
        <v>1931.1</v>
      </c>
      <c r="E50" s="4">
        <v>1935.1</v>
      </c>
      <c r="F50" s="4">
        <v>1958.9</v>
      </c>
      <c r="G50" s="4">
        <v>1957.08</v>
      </c>
      <c r="H50" s="1" t="s">
        <v>536</v>
      </c>
      <c r="I50" s="1" t="s">
        <v>537</v>
      </c>
      <c r="J50" s="1" t="s">
        <v>539</v>
      </c>
      <c r="K50" s="1">
        <f t="shared" si="2"/>
        <v>0.01229910599</v>
      </c>
      <c r="L50" s="7">
        <v>0.006557377049180357</v>
      </c>
      <c r="M50" s="8">
        <f t="shared" si="1"/>
        <v>3751378</v>
      </c>
    </row>
    <row r="51">
      <c r="A51" s="9">
        <v>45580.0</v>
      </c>
      <c r="B51" s="4">
        <v>1960.0</v>
      </c>
      <c r="C51" s="4">
        <v>1991.45</v>
      </c>
      <c r="D51" s="4">
        <v>1951.75</v>
      </c>
      <c r="E51" s="4">
        <v>1958.9</v>
      </c>
      <c r="F51" s="4">
        <v>1959.3</v>
      </c>
      <c r="G51" s="4">
        <v>1965.59</v>
      </c>
      <c r="H51" s="1" t="s">
        <v>547</v>
      </c>
      <c r="I51" s="1" t="s">
        <v>551</v>
      </c>
      <c r="J51" s="1" t="s">
        <v>553</v>
      </c>
      <c r="K51" s="1">
        <f t="shared" si="2"/>
        <v>0.0002041962326</v>
      </c>
      <c r="L51" s="7">
        <v>-0.0028096203629823435</v>
      </c>
      <c r="M51" s="8">
        <f t="shared" si="1"/>
        <v>5353705</v>
      </c>
    </row>
    <row r="52">
      <c r="A52" s="9">
        <v>45581.0</v>
      </c>
      <c r="B52" s="4">
        <v>1955.0</v>
      </c>
      <c r="C52" s="4">
        <v>1959.55</v>
      </c>
      <c r="D52" s="4">
        <v>1916.35</v>
      </c>
      <c r="E52" s="4">
        <v>1959.3</v>
      </c>
      <c r="F52" s="4">
        <v>1920.1</v>
      </c>
      <c r="G52" s="4">
        <v>1937.33</v>
      </c>
      <c r="H52" s="1" t="s">
        <v>563</v>
      </c>
      <c r="I52" s="1" t="s">
        <v>564</v>
      </c>
      <c r="J52" s="1" t="s">
        <v>565</v>
      </c>
      <c r="K52" s="1">
        <f t="shared" si="2"/>
        <v>-0.02000714541</v>
      </c>
      <c r="L52" s="7">
        <v>-0.003434122123847864</v>
      </c>
      <c r="M52" s="8">
        <f t="shared" si="1"/>
        <v>3111512</v>
      </c>
    </row>
    <row r="53">
      <c r="A53" s="9">
        <v>45582.0</v>
      </c>
      <c r="B53" s="4">
        <v>1935.2</v>
      </c>
      <c r="C53" s="4">
        <v>1978.0</v>
      </c>
      <c r="D53" s="4">
        <v>1930.15</v>
      </c>
      <c r="E53" s="4">
        <v>1920.1</v>
      </c>
      <c r="F53" s="4">
        <v>1968.1</v>
      </c>
      <c r="G53" s="4">
        <v>1957.7</v>
      </c>
      <c r="H53" s="1" t="s">
        <v>575</v>
      </c>
      <c r="I53" s="1" t="s">
        <v>576</v>
      </c>
      <c r="J53" s="1" t="s">
        <v>577</v>
      </c>
      <c r="K53" s="1">
        <f t="shared" si="2"/>
        <v>0.02499869798</v>
      </c>
      <c r="L53" s="7">
        <v>-0.008868180671410809</v>
      </c>
      <c r="M53" s="8">
        <f t="shared" si="1"/>
        <v>8162822</v>
      </c>
    </row>
    <row r="54">
      <c r="A54" s="9">
        <v>45583.0</v>
      </c>
      <c r="B54" s="4">
        <v>1893.8</v>
      </c>
      <c r="C54" s="4">
        <v>1936.85</v>
      </c>
      <c r="D54" s="4">
        <v>1869.25</v>
      </c>
      <c r="E54" s="4">
        <v>1968.1</v>
      </c>
      <c r="F54" s="4">
        <v>1879.6</v>
      </c>
      <c r="G54" s="4">
        <v>1891.59</v>
      </c>
      <c r="H54" s="1" t="s">
        <v>580</v>
      </c>
      <c r="I54" s="1" t="s">
        <v>583</v>
      </c>
      <c r="J54" s="1" t="s">
        <v>587</v>
      </c>
      <c r="K54" s="1">
        <f t="shared" si="2"/>
        <v>-0.04496722728</v>
      </c>
      <c r="L54" s="7">
        <v>0.004210126526019379</v>
      </c>
      <c r="M54" s="8">
        <f t="shared" si="1"/>
        <v>10526196</v>
      </c>
    </row>
    <row r="55">
      <c r="A55" s="9">
        <v>45586.0</v>
      </c>
      <c r="B55" s="4">
        <v>1891.1</v>
      </c>
      <c r="C55" s="4">
        <v>1898.8</v>
      </c>
      <c r="D55" s="4">
        <v>1838.0</v>
      </c>
      <c r="E55" s="4">
        <v>1879.6</v>
      </c>
      <c r="F55" s="4">
        <v>1852.75</v>
      </c>
      <c r="G55" s="4">
        <v>1856.08</v>
      </c>
      <c r="H55" s="1" t="s">
        <v>590</v>
      </c>
      <c r="I55" s="1" t="s">
        <v>591</v>
      </c>
      <c r="J55" s="1" t="s">
        <v>592</v>
      </c>
      <c r="K55" s="1">
        <f t="shared" si="2"/>
        <v>-0.01428495425</v>
      </c>
      <c r="L55" s="7">
        <v>-0.0029351353199981787</v>
      </c>
      <c r="M55" s="8">
        <f t="shared" si="1"/>
        <v>4654601</v>
      </c>
    </row>
    <row r="56">
      <c r="A56" s="9">
        <v>45587.0</v>
      </c>
      <c r="B56" s="4">
        <v>1858.2</v>
      </c>
      <c r="C56" s="4">
        <v>1877.8</v>
      </c>
      <c r="D56" s="4">
        <v>1846.95</v>
      </c>
      <c r="E56" s="4">
        <v>1852.75</v>
      </c>
      <c r="F56" s="4">
        <v>1851.6</v>
      </c>
      <c r="G56" s="4">
        <v>1858.27</v>
      </c>
      <c r="H56" s="1" t="s">
        <v>602</v>
      </c>
      <c r="I56" s="1" t="s">
        <v>603</v>
      </c>
      <c r="J56" s="1" t="s">
        <v>604</v>
      </c>
      <c r="K56" s="1">
        <f t="shared" si="2"/>
        <v>-0.000620698961</v>
      </c>
      <c r="L56" s="7">
        <v>-0.012469180141317376</v>
      </c>
      <c r="M56" s="8">
        <f t="shared" si="1"/>
        <v>4125240</v>
      </c>
    </row>
    <row r="57">
      <c r="A57" s="9">
        <v>45588.0</v>
      </c>
      <c r="B57" s="4">
        <v>1845.25</v>
      </c>
      <c r="C57" s="4">
        <v>1886.0</v>
      </c>
      <c r="D57" s="4">
        <v>1844.0</v>
      </c>
      <c r="E57" s="4">
        <v>1851.6</v>
      </c>
      <c r="F57" s="4">
        <v>1873.4</v>
      </c>
      <c r="G57" s="4">
        <v>1872.18</v>
      </c>
      <c r="H57" s="1" t="s">
        <v>614</v>
      </c>
      <c r="I57" s="1" t="s">
        <v>615</v>
      </c>
      <c r="J57" s="1" t="s">
        <v>616</v>
      </c>
      <c r="K57" s="1">
        <f t="shared" si="2"/>
        <v>0.01177360121</v>
      </c>
      <c r="L57" s="7">
        <v>-0.0014955806816741737</v>
      </c>
      <c r="M57" s="8">
        <f t="shared" si="1"/>
        <v>4311910</v>
      </c>
    </row>
    <row r="58">
      <c r="A58" s="9">
        <v>45589.0</v>
      </c>
      <c r="B58" s="4">
        <v>1861.4</v>
      </c>
      <c r="C58" s="4">
        <v>1884.0</v>
      </c>
      <c r="D58" s="4">
        <v>1860.0</v>
      </c>
      <c r="E58" s="4">
        <v>1873.4</v>
      </c>
      <c r="F58" s="4">
        <v>1863.35</v>
      </c>
      <c r="G58" s="4">
        <v>1866.54</v>
      </c>
      <c r="H58" s="1" t="s">
        <v>622</v>
      </c>
      <c r="I58" s="1" t="s">
        <v>624</v>
      </c>
      <c r="J58" s="1" t="s">
        <v>625</v>
      </c>
      <c r="K58" s="1">
        <f t="shared" si="2"/>
        <v>-0.005364577773</v>
      </c>
      <c r="L58" s="7">
        <v>-0.0014773587608192403</v>
      </c>
      <c r="M58" s="8">
        <f t="shared" si="1"/>
        <v>2906475</v>
      </c>
    </row>
    <row r="59">
      <c r="A59" s="9">
        <v>45590.0</v>
      </c>
      <c r="B59" s="4">
        <v>1863.45</v>
      </c>
      <c r="C59" s="4">
        <v>1876.35</v>
      </c>
      <c r="D59" s="4">
        <v>1846.4</v>
      </c>
      <c r="E59" s="4">
        <v>1863.35</v>
      </c>
      <c r="F59" s="4">
        <v>1862.05</v>
      </c>
      <c r="G59" s="4">
        <v>1861.41</v>
      </c>
      <c r="H59" s="1" t="s">
        <v>630</v>
      </c>
      <c r="I59" s="1" t="s">
        <v>632</v>
      </c>
      <c r="J59" s="1" t="s">
        <v>635</v>
      </c>
      <c r="K59" s="1">
        <f t="shared" si="2"/>
        <v>-0.0006976681783</v>
      </c>
      <c r="L59" s="7">
        <v>-0.008959236702541954</v>
      </c>
      <c r="M59" s="8">
        <f t="shared" si="1"/>
        <v>4689120</v>
      </c>
    </row>
    <row r="60">
      <c r="A60" s="9">
        <v>45593.0</v>
      </c>
      <c r="B60" s="4">
        <v>1859.7</v>
      </c>
      <c r="C60" s="4">
        <v>1881.9</v>
      </c>
      <c r="D60" s="4">
        <v>1857.0</v>
      </c>
      <c r="E60" s="4">
        <v>1862.05</v>
      </c>
      <c r="F60" s="4">
        <v>1865.35</v>
      </c>
      <c r="G60" s="4">
        <v>1872.16</v>
      </c>
      <c r="H60" s="1" t="s">
        <v>639</v>
      </c>
      <c r="I60" s="1" t="s">
        <v>641</v>
      </c>
      <c r="J60" s="1" t="s">
        <v>644</v>
      </c>
      <c r="K60" s="1">
        <f t="shared" si="2"/>
        <v>0.001772240273</v>
      </c>
      <c r="L60" s="7">
        <v>0.006548584000529436</v>
      </c>
      <c r="M60" s="8">
        <f t="shared" si="1"/>
        <v>7018940</v>
      </c>
    </row>
    <row r="61">
      <c r="A61" s="9">
        <v>45594.0</v>
      </c>
      <c r="B61" s="4">
        <v>1846.0</v>
      </c>
      <c r="C61" s="4">
        <v>1851.6</v>
      </c>
      <c r="D61" s="4">
        <v>1829.0</v>
      </c>
      <c r="E61" s="4">
        <v>1865.35</v>
      </c>
      <c r="F61" s="4">
        <v>1839.3</v>
      </c>
      <c r="G61" s="4">
        <v>1840.82</v>
      </c>
      <c r="H61" s="1" t="s">
        <v>647</v>
      </c>
      <c r="I61" s="1" t="s">
        <v>649</v>
      </c>
      <c r="J61" s="1" t="s">
        <v>651</v>
      </c>
      <c r="K61" s="1">
        <f t="shared" si="2"/>
        <v>-0.0139652076</v>
      </c>
      <c r="L61" s="7">
        <v>0.005246691030705554</v>
      </c>
      <c r="M61" s="8">
        <f t="shared" si="1"/>
        <v>4621252</v>
      </c>
    </row>
    <row r="62">
      <c r="A62" s="9">
        <v>45595.0</v>
      </c>
      <c r="B62" s="4">
        <v>1832.0</v>
      </c>
      <c r="C62" s="4">
        <v>1839.0</v>
      </c>
      <c r="D62" s="4">
        <v>1796.35</v>
      </c>
      <c r="E62" s="4">
        <v>1839.3</v>
      </c>
      <c r="F62" s="4">
        <v>1802.1</v>
      </c>
      <c r="G62" s="4">
        <v>1813.08</v>
      </c>
      <c r="H62" s="1" t="s">
        <v>656</v>
      </c>
      <c r="I62" s="1" t="s">
        <v>657</v>
      </c>
      <c r="J62" s="1" t="s">
        <v>658</v>
      </c>
      <c r="K62" s="1">
        <f t="shared" si="2"/>
        <v>-0.02022508563</v>
      </c>
      <c r="L62" s="7">
        <v>-0.00514982517160975</v>
      </c>
      <c r="M62" s="8">
        <f t="shared" si="1"/>
        <v>5919715</v>
      </c>
    </row>
    <row r="63">
      <c r="A63" s="9">
        <v>45596.0</v>
      </c>
      <c r="B63" s="4">
        <v>1787.9</v>
      </c>
      <c r="C63" s="4">
        <v>1787.9</v>
      </c>
      <c r="D63" s="4">
        <v>1746.5</v>
      </c>
      <c r="E63" s="4">
        <v>1802.1</v>
      </c>
      <c r="F63" s="4">
        <v>1757.25</v>
      </c>
      <c r="G63" s="4">
        <v>1759.11</v>
      </c>
      <c r="H63" s="1" t="s">
        <v>662</v>
      </c>
      <c r="I63" s="1" t="s">
        <v>663</v>
      </c>
      <c r="J63" s="1" t="s">
        <v>665</v>
      </c>
      <c r="K63" s="1">
        <f t="shared" si="2"/>
        <v>-0.0248876311</v>
      </c>
      <c r="L63" s="7">
        <v>-0.005566773551457735</v>
      </c>
      <c r="M63" s="8">
        <f t="shared" si="1"/>
        <v>7395236</v>
      </c>
    </row>
    <row r="64">
      <c r="A64" s="3">
        <v>45597.0</v>
      </c>
      <c r="B64" s="4">
        <v>1764.5</v>
      </c>
      <c r="C64" s="4">
        <v>1766.0</v>
      </c>
      <c r="D64" s="4">
        <v>1752.05</v>
      </c>
      <c r="E64" s="4">
        <v>1757.25</v>
      </c>
      <c r="F64" s="4">
        <v>1760.85</v>
      </c>
      <c r="G64" s="4">
        <v>1761.68</v>
      </c>
      <c r="H64" s="1" t="s">
        <v>670</v>
      </c>
      <c r="I64" s="1" t="s">
        <v>671</v>
      </c>
      <c r="J64" s="11">
        <v>29613.0</v>
      </c>
      <c r="K64" s="1">
        <f t="shared" si="2"/>
        <v>0.00204865557</v>
      </c>
      <c r="L64" s="7">
        <v>0.004090004895611921</v>
      </c>
      <c r="M64" s="8">
        <f t="shared" si="1"/>
        <v>371966</v>
      </c>
    </row>
    <row r="65">
      <c r="A65" s="3">
        <v>45600.0</v>
      </c>
      <c r="B65" s="4">
        <v>1724.5</v>
      </c>
      <c r="C65" s="4">
        <v>1767.0</v>
      </c>
      <c r="D65" s="4">
        <v>1718.0</v>
      </c>
      <c r="E65" s="4">
        <v>1760.85</v>
      </c>
      <c r="F65" s="4">
        <v>1763.65</v>
      </c>
      <c r="G65" s="4">
        <v>1742.2</v>
      </c>
      <c r="H65" s="1" t="s">
        <v>675</v>
      </c>
      <c r="I65" s="1" t="s">
        <v>676</v>
      </c>
      <c r="J65" s="1" t="s">
        <v>678</v>
      </c>
      <c r="K65" s="1">
        <f t="shared" si="2"/>
        <v>0.001590141125</v>
      </c>
      <c r="L65" s="7">
        <v>-0.012713773460306488</v>
      </c>
      <c r="M65" s="8">
        <f t="shared" si="1"/>
        <v>7336722</v>
      </c>
    </row>
    <row r="66">
      <c r="A66" s="3">
        <v>45601.0</v>
      </c>
      <c r="B66" s="4">
        <v>1760.0</v>
      </c>
      <c r="C66" s="4">
        <v>1768.45</v>
      </c>
      <c r="D66" s="4">
        <v>1745.0</v>
      </c>
      <c r="E66" s="4">
        <v>1763.65</v>
      </c>
      <c r="F66" s="4">
        <v>1754.2</v>
      </c>
      <c r="G66" s="4">
        <v>1754.19</v>
      </c>
      <c r="H66" s="1" t="s">
        <v>684</v>
      </c>
      <c r="I66" s="1" t="s">
        <v>685</v>
      </c>
      <c r="J66" s="1" t="s">
        <v>686</v>
      </c>
      <c r="K66" s="1">
        <f t="shared" si="2"/>
        <v>-0.005358205993</v>
      </c>
      <c r="L66" s="7">
        <v>0.009083009833155204</v>
      </c>
      <c r="M66" s="8">
        <f t="shared" si="1"/>
        <v>3160880</v>
      </c>
    </row>
    <row r="67">
      <c r="A67" s="3">
        <v>45602.0</v>
      </c>
      <c r="B67" s="4">
        <v>1764.0</v>
      </c>
      <c r="C67" s="4">
        <v>1827.2</v>
      </c>
      <c r="D67" s="4">
        <v>1762.65</v>
      </c>
      <c r="E67" s="4">
        <v>1754.2</v>
      </c>
      <c r="F67" s="4">
        <v>1823.7</v>
      </c>
      <c r="G67" s="4">
        <v>1809.14</v>
      </c>
      <c r="H67" s="1" t="s">
        <v>693</v>
      </c>
      <c r="I67" s="1" t="s">
        <v>694</v>
      </c>
      <c r="J67" s="1" t="s">
        <v>695</v>
      </c>
      <c r="K67" s="1">
        <f t="shared" si="2"/>
        <v>0.03961919964</v>
      </c>
      <c r="L67" s="7">
        <v>0.011181871120417292</v>
      </c>
      <c r="M67" s="8">
        <f t="shared" si="1"/>
        <v>10421494</v>
      </c>
    </row>
    <row r="68">
      <c r="A68" s="3">
        <v>45603.0</v>
      </c>
      <c r="B68" s="4">
        <v>1812.95</v>
      </c>
      <c r="C68" s="4">
        <v>1825.7</v>
      </c>
      <c r="D68" s="4">
        <v>1787.0</v>
      </c>
      <c r="E68" s="4">
        <v>1823.7</v>
      </c>
      <c r="F68" s="4">
        <v>1803.05</v>
      </c>
      <c r="G68" s="4">
        <v>1802.49</v>
      </c>
      <c r="H68" s="1" t="s">
        <v>702</v>
      </c>
      <c r="I68" s="1" t="s">
        <v>703</v>
      </c>
      <c r="J68" s="1" t="s">
        <v>704</v>
      </c>
      <c r="K68" s="1">
        <f t="shared" si="2"/>
        <v>-0.01132313429</v>
      </c>
      <c r="L68" s="7">
        <v>-0.01162797821438858</v>
      </c>
      <c r="M68" s="8">
        <f t="shared" si="1"/>
        <v>4550965</v>
      </c>
    </row>
    <row r="69">
      <c r="A69" s="3">
        <v>45604.0</v>
      </c>
      <c r="B69" s="4">
        <v>1818.0</v>
      </c>
      <c r="C69" s="4">
        <v>1840.6</v>
      </c>
      <c r="D69" s="4">
        <v>1813.15</v>
      </c>
      <c r="E69" s="4">
        <v>1803.05</v>
      </c>
      <c r="F69" s="4">
        <v>1829.95</v>
      </c>
      <c r="G69" s="4">
        <v>1832.23</v>
      </c>
      <c r="H69" s="1" t="s">
        <v>710</v>
      </c>
      <c r="I69" s="1" t="s">
        <v>711</v>
      </c>
      <c r="J69" s="1" t="s">
        <v>713</v>
      </c>
      <c r="K69" s="1">
        <f t="shared" si="2"/>
        <v>0.01491916475</v>
      </c>
      <c r="L69" s="7">
        <v>-0.0021136931363858044</v>
      </c>
      <c r="M69" s="8">
        <f t="shared" si="1"/>
        <v>4210960</v>
      </c>
    </row>
    <row r="70">
      <c r="A70" s="9">
        <v>45607.0</v>
      </c>
      <c r="B70" s="4">
        <v>1829.0</v>
      </c>
      <c r="C70" s="4">
        <v>1868.0</v>
      </c>
      <c r="D70" s="4">
        <v>1822.55</v>
      </c>
      <c r="E70" s="4">
        <v>1829.95</v>
      </c>
      <c r="F70" s="4">
        <v>1860.1</v>
      </c>
      <c r="G70" s="4">
        <v>1855.73</v>
      </c>
      <c r="H70" s="1" t="s">
        <v>716</v>
      </c>
      <c r="I70" s="1" t="s">
        <v>718</v>
      </c>
      <c r="J70" s="1" t="s">
        <v>719</v>
      </c>
      <c r="K70" s="1">
        <f t="shared" si="2"/>
        <v>0.01647586</v>
      </c>
      <c r="L70" s="7">
        <v>-2.857355827764163E-4</v>
      </c>
      <c r="M70" s="8">
        <f t="shared" si="1"/>
        <v>3804234</v>
      </c>
    </row>
    <row r="71">
      <c r="A71" s="9">
        <v>45608.0</v>
      </c>
      <c r="B71" s="4">
        <v>1871.1</v>
      </c>
      <c r="C71" s="4">
        <v>1881.0</v>
      </c>
      <c r="D71" s="4">
        <v>1861.0</v>
      </c>
      <c r="E71" s="4">
        <v>1860.1</v>
      </c>
      <c r="F71" s="4">
        <v>1868.8</v>
      </c>
      <c r="G71" s="4">
        <v>1871.65</v>
      </c>
      <c r="H71" s="1" t="s">
        <v>723</v>
      </c>
      <c r="I71" s="1" t="s">
        <v>725</v>
      </c>
      <c r="J71" s="1" t="s">
        <v>727</v>
      </c>
      <c r="K71" s="1">
        <f t="shared" si="2"/>
        <v>0.004677167894</v>
      </c>
      <c r="L71" s="7">
        <v>-0.010680866399075383</v>
      </c>
      <c r="M71" s="8">
        <f t="shared" si="1"/>
        <v>5012450</v>
      </c>
    </row>
    <row r="72">
      <c r="A72" s="9">
        <v>45609.0</v>
      </c>
      <c r="B72" s="4">
        <v>1861.1</v>
      </c>
      <c r="C72" s="4">
        <v>1873.2</v>
      </c>
      <c r="D72" s="4">
        <v>1856.3</v>
      </c>
      <c r="E72" s="4">
        <v>1868.8</v>
      </c>
      <c r="F72" s="4">
        <v>1868.4</v>
      </c>
      <c r="G72" s="4">
        <v>1866.77</v>
      </c>
      <c r="H72" s="1" t="s">
        <v>732</v>
      </c>
      <c r="I72" s="1" t="s">
        <v>733</v>
      </c>
      <c r="J72" s="1" t="s">
        <v>734</v>
      </c>
      <c r="K72" s="1">
        <f t="shared" si="2"/>
        <v>-0.0002140410959</v>
      </c>
      <c r="L72" s="7">
        <v>-0.013582627300494754</v>
      </c>
      <c r="M72" s="8">
        <f t="shared" si="1"/>
        <v>4257495</v>
      </c>
    </row>
    <row r="73">
      <c r="A73" s="9">
        <v>45610.0</v>
      </c>
      <c r="B73" s="4">
        <v>1865.6</v>
      </c>
      <c r="C73" s="4">
        <v>1876.0</v>
      </c>
      <c r="D73" s="4">
        <v>1856.0</v>
      </c>
      <c r="E73" s="4">
        <v>1868.4</v>
      </c>
      <c r="F73" s="4">
        <v>1864.55</v>
      </c>
      <c r="G73" s="4">
        <v>1865.97</v>
      </c>
      <c r="H73" s="1" t="s">
        <v>744</v>
      </c>
      <c r="I73" s="1" t="s">
        <v>745</v>
      </c>
      <c r="J73" s="1" t="s">
        <v>746</v>
      </c>
      <c r="K73" s="1">
        <f t="shared" si="2"/>
        <v>-0.002060586598</v>
      </c>
      <c r="L73" s="7">
        <v>-0.001118466152073133</v>
      </c>
      <c r="M73" s="8">
        <f t="shared" si="1"/>
        <v>4311431</v>
      </c>
    </row>
    <row r="74">
      <c r="A74" s="9">
        <v>45614.0</v>
      </c>
      <c r="B74" s="4">
        <v>1849.2</v>
      </c>
      <c r="C74" s="4">
        <v>1849.2</v>
      </c>
      <c r="D74" s="4">
        <v>1795.0</v>
      </c>
      <c r="E74" s="4">
        <v>1864.55</v>
      </c>
      <c r="F74" s="4">
        <v>1811.45</v>
      </c>
      <c r="G74" s="4">
        <v>1813.82</v>
      </c>
      <c r="H74" s="1" t="s">
        <v>753</v>
      </c>
      <c r="I74" s="1" t="s">
        <v>754</v>
      </c>
      <c r="J74" s="1" t="s">
        <v>755</v>
      </c>
      <c r="K74" s="1">
        <f t="shared" si="2"/>
        <v>-0.02847872141</v>
      </c>
      <c r="L74" s="7">
        <v>-0.003352781448792593</v>
      </c>
      <c r="M74" s="8">
        <f t="shared" si="1"/>
        <v>4839244</v>
      </c>
    </row>
    <row r="75">
      <c r="A75" s="9">
        <v>45615.0</v>
      </c>
      <c r="B75" s="4">
        <v>1825.5</v>
      </c>
      <c r="C75" s="4">
        <v>1859.7</v>
      </c>
      <c r="D75" s="4">
        <v>1820.55</v>
      </c>
      <c r="E75" s="4">
        <v>1811.45</v>
      </c>
      <c r="F75" s="4">
        <v>1824.75</v>
      </c>
      <c r="G75" s="4">
        <v>1839.98</v>
      </c>
      <c r="H75" s="1" t="s">
        <v>765</v>
      </c>
      <c r="I75" s="1" t="s">
        <v>767</v>
      </c>
      <c r="J75" s="1" t="s">
        <v>773</v>
      </c>
      <c r="K75" s="1">
        <f t="shared" si="2"/>
        <v>0.007342184438</v>
      </c>
      <c r="L75" s="7">
        <v>0.002758614808687749</v>
      </c>
      <c r="M75" s="8">
        <f t="shared" si="1"/>
        <v>4669769</v>
      </c>
    </row>
    <row r="76">
      <c r="A76" s="9">
        <v>45617.0</v>
      </c>
      <c r="B76" s="4">
        <v>1842.0</v>
      </c>
      <c r="C76" s="4">
        <v>1867.0</v>
      </c>
      <c r="D76" s="4">
        <v>1820.6</v>
      </c>
      <c r="E76" s="4">
        <v>1824.75</v>
      </c>
      <c r="F76" s="4">
        <v>1834.05</v>
      </c>
      <c r="G76" s="4">
        <v>1836.76</v>
      </c>
      <c r="H76" s="1" t="s">
        <v>781</v>
      </c>
      <c r="I76" s="1" t="s">
        <v>782</v>
      </c>
      <c r="J76" s="1" t="s">
        <v>783</v>
      </c>
      <c r="K76" s="1">
        <f t="shared" si="2"/>
        <v>0.005096588574</v>
      </c>
      <c r="L76" s="7">
        <v>-0.007168824542381468</v>
      </c>
      <c r="M76" s="8">
        <f t="shared" si="1"/>
        <v>5436504</v>
      </c>
    </row>
    <row r="77">
      <c r="A77" s="9">
        <v>45618.0</v>
      </c>
      <c r="B77" s="4">
        <v>1854.1</v>
      </c>
      <c r="C77" s="4">
        <v>1914.05</v>
      </c>
      <c r="D77" s="4">
        <v>1834.0</v>
      </c>
      <c r="E77" s="4">
        <v>1834.05</v>
      </c>
      <c r="F77" s="4">
        <v>1902.25</v>
      </c>
      <c r="G77" s="4">
        <v>1880.71</v>
      </c>
      <c r="H77" s="1" t="s">
        <v>789</v>
      </c>
      <c r="I77" s="1" t="s">
        <v>790</v>
      </c>
      <c r="J77" s="1" t="s">
        <v>791</v>
      </c>
      <c r="K77" s="1">
        <f t="shared" si="2"/>
        <v>0.03718546386</v>
      </c>
      <c r="L77" s="7">
        <v>0.023869481239748285</v>
      </c>
      <c r="M77" s="8">
        <f t="shared" si="1"/>
        <v>6301486</v>
      </c>
    </row>
    <row r="78">
      <c r="A78" s="9">
        <v>45621.0</v>
      </c>
      <c r="B78" s="4">
        <v>1916.0</v>
      </c>
      <c r="C78" s="4">
        <v>1919.3</v>
      </c>
      <c r="D78" s="4">
        <v>1882.0</v>
      </c>
      <c r="E78" s="4">
        <v>1902.25</v>
      </c>
      <c r="F78" s="4">
        <v>1889.7</v>
      </c>
      <c r="G78" s="4">
        <v>1890.66</v>
      </c>
      <c r="H78" s="1" t="s">
        <v>795</v>
      </c>
      <c r="I78" s="1" t="s">
        <v>796</v>
      </c>
      <c r="J78" s="1" t="s">
        <v>797</v>
      </c>
      <c r="K78" s="1">
        <f t="shared" si="2"/>
        <v>-0.006597450388</v>
      </c>
      <c r="L78" s="7">
        <v>0.01316127952817666</v>
      </c>
      <c r="M78" s="8">
        <f t="shared" si="1"/>
        <v>12764638</v>
      </c>
    </row>
    <row r="79">
      <c r="A79" s="9">
        <v>45622.0</v>
      </c>
      <c r="B79" s="4">
        <v>1904.95</v>
      </c>
      <c r="C79" s="4">
        <v>1938.6</v>
      </c>
      <c r="D79" s="4">
        <v>1897.3</v>
      </c>
      <c r="E79" s="4">
        <v>1889.7</v>
      </c>
      <c r="F79" s="4">
        <v>1924.15</v>
      </c>
      <c r="G79" s="4">
        <v>1926.35</v>
      </c>
      <c r="H79" s="1" t="s">
        <v>805</v>
      </c>
      <c r="I79" s="1" t="s">
        <v>807</v>
      </c>
      <c r="J79" s="1" t="s">
        <v>808</v>
      </c>
      <c r="K79" s="1">
        <f t="shared" si="2"/>
        <v>0.01823040694</v>
      </c>
      <c r="L79" s="7">
        <v>-0.0011312077087264605</v>
      </c>
      <c r="M79" s="8">
        <f t="shared" si="1"/>
        <v>6850495</v>
      </c>
    </row>
    <row r="80">
      <c r="A80" s="9">
        <v>45623.0</v>
      </c>
      <c r="B80" s="4">
        <v>1930.1</v>
      </c>
      <c r="C80" s="4">
        <v>1941.4</v>
      </c>
      <c r="D80" s="4">
        <v>1911.75</v>
      </c>
      <c r="E80" s="4">
        <v>1924.15</v>
      </c>
      <c r="F80" s="4">
        <v>1924.5</v>
      </c>
      <c r="G80" s="4">
        <v>1926.81</v>
      </c>
      <c r="H80" s="1" t="s">
        <v>813</v>
      </c>
      <c r="I80" s="1" t="s">
        <v>814</v>
      </c>
      <c r="J80" s="1" t="s">
        <v>817</v>
      </c>
      <c r="K80" s="1">
        <f t="shared" si="2"/>
        <v>0.0001818985006</v>
      </c>
      <c r="L80" s="7">
        <v>0.003323069292607884</v>
      </c>
      <c r="M80" s="8">
        <f t="shared" si="1"/>
        <v>4447143</v>
      </c>
    </row>
    <row r="81">
      <c r="A81" s="9">
        <v>45624.0</v>
      </c>
      <c r="B81" s="4">
        <v>1914.9</v>
      </c>
      <c r="C81" s="4">
        <v>1914.9</v>
      </c>
      <c r="D81" s="4">
        <v>1851.65</v>
      </c>
      <c r="E81" s="4">
        <v>1924.5</v>
      </c>
      <c r="F81" s="4">
        <v>1856.65</v>
      </c>
      <c r="G81" s="4">
        <v>1869.78</v>
      </c>
      <c r="H81" s="1" t="s">
        <v>826</v>
      </c>
      <c r="I81" s="1" t="s">
        <v>828</v>
      </c>
      <c r="J81" s="1" t="s">
        <v>830</v>
      </c>
      <c r="K81" s="1">
        <f t="shared" si="2"/>
        <v>-0.03525591063</v>
      </c>
      <c r="L81" s="7">
        <v>-0.014861029293632517</v>
      </c>
      <c r="M81" s="8">
        <f t="shared" si="1"/>
        <v>8468790</v>
      </c>
    </row>
    <row r="82">
      <c r="A82" s="9">
        <v>45625.0</v>
      </c>
      <c r="B82" s="4">
        <v>1851.1</v>
      </c>
      <c r="C82" s="4">
        <v>1877.0</v>
      </c>
      <c r="D82" s="4">
        <v>1845.0</v>
      </c>
      <c r="E82" s="4">
        <v>1856.65</v>
      </c>
      <c r="F82" s="4">
        <v>1857.85</v>
      </c>
      <c r="G82" s="4">
        <v>1859.93</v>
      </c>
      <c r="H82" s="1" t="s">
        <v>836</v>
      </c>
      <c r="I82" s="1" t="s">
        <v>839</v>
      </c>
      <c r="J82" s="1" t="s">
        <v>842</v>
      </c>
      <c r="K82" s="1">
        <f t="shared" si="2"/>
        <v>0.000646325371</v>
      </c>
      <c r="L82" s="7">
        <v>0.009072034757664273</v>
      </c>
      <c r="M82" s="8">
        <f t="shared" si="1"/>
        <v>5244346</v>
      </c>
    </row>
    <row r="83">
      <c r="A83" s="3">
        <v>45628.0</v>
      </c>
      <c r="B83" s="4">
        <v>1859.0</v>
      </c>
      <c r="C83" s="4">
        <v>1882.8</v>
      </c>
      <c r="D83" s="4">
        <v>1835.2</v>
      </c>
      <c r="E83" s="4">
        <v>1857.85</v>
      </c>
      <c r="F83" s="4">
        <v>1879.8</v>
      </c>
      <c r="G83" s="4">
        <v>1868.92</v>
      </c>
      <c r="H83" s="1" t="s">
        <v>849</v>
      </c>
      <c r="I83" s="1" t="s">
        <v>851</v>
      </c>
      <c r="J83" s="1" t="s">
        <v>852</v>
      </c>
      <c r="K83" s="1">
        <f t="shared" si="2"/>
        <v>0.01181473208</v>
      </c>
      <c r="L83" s="7">
        <v>0.006006771344862055</v>
      </c>
      <c r="M83" s="8">
        <f t="shared" si="1"/>
        <v>2868263</v>
      </c>
    </row>
    <row r="84">
      <c r="A84" s="3">
        <v>45629.0</v>
      </c>
      <c r="B84" s="4">
        <v>1887.0</v>
      </c>
      <c r="C84" s="4">
        <v>1899.75</v>
      </c>
      <c r="D84" s="4">
        <v>1871.15</v>
      </c>
      <c r="E84" s="4">
        <v>1879.8</v>
      </c>
      <c r="F84" s="4">
        <v>1892.1</v>
      </c>
      <c r="G84" s="4">
        <v>1891.36</v>
      </c>
      <c r="H84" s="1" t="s">
        <v>861</v>
      </c>
      <c r="I84" s="1" t="s">
        <v>862</v>
      </c>
      <c r="J84" s="1" t="s">
        <v>863</v>
      </c>
      <c r="K84" s="1">
        <f t="shared" si="2"/>
        <v>0.006543249282</v>
      </c>
      <c r="L84" s="7">
        <v>0.007460027475639661</v>
      </c>
      <c r="M84" s="8">
        <f t="shared" si="1"/>
        <v>4715792</v>
      </c>
    </row>
    <row r="85">
      <c r="A85" s="3">
        <v>45630.0</v>
      </c>
      <c r="B85" s="4">
        <v>1884.0</v>
      </c>
      <c r="C85" s="4">
        <v>1913.95</v>
      </c>
      <c r="D85" s="4">
        <v>1875.0</v>
      </c>
      <c r="E85" s="4">
        <v>1892.1</v>
      </c>
      <c r="F85" s="4">
        <v>1889.25</v>
      </c>
      <c r="G85" s="4">
        <v>1895.14</v>
      </c>
      <c r="H85" s="1" t="s">
        <v>870</v>
      </c>
      <c r="I85" s="1" t="s">
        <v>871</v>
      </c>
      <c r="J85" s="1" t="s">
        <v>872</v>
      </c>
      <c r="K85" s="1">
        <f t="shared" si="2"/>
        <v>-0.001506262883</v>
      </c>
      <c r="L85" s="7">
        <v>4.211447368151756E-4</v>
      </c>
      <c r="M85" s="8">
        <f t="shared" si="1"/>
        <v>4705573</v>
      </c>
    </row>
    <row r="86">
      <c r="A86" s="3">
        <v>45631.0</v>
      </c>
      <c r="B86" s="4">
        <v>1900.0</v>
      </c>
      <c r="C86" s="4">
        <v>1949.9</v>
      </c>
      <c r="D86" s="4">
        <v>1888.95</v>
      </c>
      <c r="E86" s="4">
        <v>1889.25</v>
      </c>
      <c r="F86" s="4">
        <v>1934.85</v>
      </c>
      <c r="G86" s="4">
        <v>1925.05</v>
      </c>
      <c r="H86" s="1" t="s">
        <v>882</v>
      </c>
      <c r="I86" s="1" t="s">
        <v>884</v>
      </c>
      <c r="J86" s="1" t="s">
        <v>886</v>
      </c>
      <c r="K86" s="1">
        <f t="shared" si="2"/>
        <v>0.02413656213</v>
      </c>
      <c r="L86" s="7">
        <v>0.009847777353177415</v>
      </c>
      <c r="M86" s="8">
        <f t="shared" si="1"/>
        <v>9050038</v>
      </c>
    </row>
    <row r="87">
      <c r="A87" s="3">
        <v>45632.0</v>
      </c>
      <c r="B87" s="4">
        <v>1932.8</v>
      </c>
      <c r="C87" s="4">
        <v>1937.95</v>
      </c>
      <c r="D87" s="4">
        <v>1912.4</v>
      </c>
      <c r="E87" s="4">
        <v>1934.85</v>
      </c>
      <c r="F87" s="4">
        <v>1922.4</v>
      </c>
      <c r="G87" s="4">
        <v>1921.54</v>
      </c>
      <c r="H87" s="1" t="s">
        <v>896</v>
      </c>
      <c r="I87" s="1" t="s">
        <v>898</v>
      </c>
      <c r="J87" s="1" t="s">
        <v>899</v>
      </c>
      <c r="K87" s="1">
        <f t="shared" si="2"/>
        <v>-0.006434607334</v>
      </c>
      <c r="L87" s="7">
        <v>-0.0012384452251057204</v>
      </c>
      <c r="M87" s="8">
        <f t="shared" si="1"/>
        <v>3573331</v>
      </c>
    </row>
    <row r="88">
      <c r="A88" s="3">
        <v>45635.0</v>
      </c>
      <c r="B88" s="4">
        <v>1924.2</v>
      </c>
      <c r="C88" s="4">
        <v>1930.2</v>
      </c>
      <c r="D88" s="4">
        <v>1897.2</v>
      </c>
      <c r="E88" s="4">
        <v>1922.4</v>
      </c>
      <c r="F88" s="4">
        <v>1923.65</v>
      </c>
      <c r="G88" s="4">
        <v>1912.43</v>
      </c>
      <c r="H88" s="1" t="s">
        <v>907</v>
      </c>
      <c r="I88" s="1" t="s">
        <v>909</v>
      </c>
      <c r="J88" s="1" t="s">
        <v>911</v>
      </c>
      <c r="K88" s="1">
        <f t="shared" si="2"/>
        <v>0.0006502288806</v>
      </c>
      <c r="L88" s="7">
        <v>-0.0023827083451522938</v>
      </c>
      <c r="M88" s="8">
        <f t="shared" si="1"/>
        <v>4274645</v>
      </c>
    </row>
    <row r="89">
      <c r="A89" s="9">
        <v>45636.0</v>
      </c>
      <c r="B89" s="4">
        <v>1939.0</v>
      </c>
      <c r="C89" s="4">
        <v>1965.6</v>
      </c>
      <c r="D89" s="4">
        <v>1932.0</v>
      </c>
      <c r="E89" s="4">
        <v>1923.65</v>
      </c>
      <c r="F89" s="4">
        <v>1948.55</v>
      </c>
      <c r="G89" s="4">
        <v>1947.08</v>
      </c>
      <c r="H89" s="1" t="s">
        <v>918</v>
      </c>
      <c r="I89" s="1" t="s">
        <v>919</v>
      </c>
      <c r="J89" s="1" t="s">
        <v>920</v>
      </c>
      <c r="K89" s="1">
        <f t="shared" si="2"/>
        <v>0.01294414265</v>
      </c>
      <c r="L89" s="7">
        <v>-3.635403550103874E-4</v>
      </c>
      <c r="M89" s="8">
        <f t="shared" si="1"/>
        <v>6174921</v>
      </c>
    </row>
    <row r="90">
      <c r="A90" s="9">
        <v>45637.0</v>
      </c>
      <c r="B90" s="4">
        <v>1955.0</v>
      </c>
      <c r="C90" s="4">
        <v>1978.0</v>
      </c>
      <c r="D90" s="4">
        <v>1952.0</v>
      </c>
      <c r="E90" s="4">
        <v>1948.55</v>
      </c>
      <c r="F90" s="4">
        <v>1974.15</v>
      </c>
      <c r="G90" s="4">
        <v>1968.23</v>
      </c>
      <c r="H90" s="1" t="s">
        <v>930</v>
      </c>
      <c r="I90" s="1" t="s">
        <v>931</v>
      </c>
      <c r="J90" s="1" t="s">
        <v>932</v>
      </c>
      <c r="K90" s="1">
        <f t="shared" si="2"/>
        <v>0.01313797439</v>
      </c>
      <c r="L90" s="7">
        <v>0.00129012334391844</v>
      </c>
      <c r="M90" s="8">
        <f t="shared" si="1"/>
        <v>5025612</v>
      </c>
    </row>
    <row r="91">
      <c r="A91" s="9">
        <v>45638.0</v>
      </c>
      <c r="B91" s="4">
        <v>1975.2</v>
      </c>
      <c r="C91" s="4">
        <v>1998.8</v>
      </c>
      <c r="D91" s="4">
        <v>1970.55</v>
      </c>
      <c r="E91" s="4">
        <v>1974.15</v>
      </c>
      <c r="F91" s="4">
        <v>1987.0</v>
      </c>
      <c r="G91" s="4">
        <v>1989.23</v>
      </c>
      <c r="H91" s="1" t="s">
        <v>942</v>
      </c>
      <c r="I91" s="1" t="s">
        <v>943</v>
      </c>
      <c r="J91" s="1" t="s">
        <v>944</v>
      </c>
      <c r="K91" s="1">
        <f t="shared" si="2"/>
        <v>0.006509130512</v>
      </c>
      <c r="L91" s="7">
        <v>-0.00377813309092674</v>
      </c>
      <c r="M91" s="8">
        <f t="shared" si="1"/>
        <v>6462130</v>
      </c>
    </row>
    <row r="92">
      <c r="A92" s="9">
        <v>45639.0</v>
      </c>
      <c r="B92" s="4">
        <v>1969.75</v>
      </c>
      <c r="C92" s="4">
        <v>2006.45</v>
      </c>
      <c r="D92" s="4">
        <v>1953.8</v>
      </c>
      <c r="E92" s="4">
        <v>1987.0</v>
      </c>
      <c r="F92" s="4">
        <v>1999.7</v>
      </c>
      <c r="G92" s="4">
        <v>1985.4</v>
      </c>
      <c r="H92" s="1" t="s">
        <v>951</v>
      </c>
      <c r="I92" s="1" t="s">
        <v>952</v>
      </c>
      <c r="J92" s="1" t="s">
        <v>953</v>
      </c>
      <c r="K92" s="1">
        <f t="shared" si="2"/>
        <v>0.006391545043</v>
      </c>
      <c r="L92" s="7">
        <v>0.008945483874909814</v>
      </c>
      <c r="M92" s="8">
        <f t="shared" si="1"/>
        <v>5362693</v>
      </c>
    </row>
    <row r="93">
      <c r="A93" s="9">
        <v>45642.0</v>
      </c>
      <c r="B93" s="4">
        <v>1995.45</v>
      </c>
      <c r="C93" s="4">
        <v>1999.6</v>
      </c>
      <c r="D93" s="4">
        <v>1977.6</v>
      </c>
      <c r="E93" s="4">
        <v>1999.7</v>
      </c>
      <c r="F93" s="4">
        <v>1980.05</v>
      </c>
      <c r="G93" s="4">
        <v>1985.38</v>
      </c>
      <c r="H93" s="1" t="s">
        <v>964</v>
      </c>
      <c r="I93" s="1" t="s">
        <v>966</v>
      </c>
      <c r="J93" s="1" t="s">
        <v>968</v>
      </c>
      <c r="K93" s="1">
        <f t="shared" si="2"/>
        <v>-0.009826473971</v>
      </c>
      <c r="L93" s="7">
        <v>-0.004039437506813115</v>
      </c>
      <c r="M93" s="8">
        <f t="shared" si="1"/>
        <v>3119221</v>
      </c>
    </row>
    <row r="94">
      <c r="A94" s="9">
        <v>45643.0</v>
      </c>
      <c r="B94" s="4">
        <v>1968.0</v>
      </c>
      <c r="C94" s="4">
        <v>1982.0</v>
      </c>
      <c r="D94" s="4">
        <v>1958.0</v>
      </c>
      <c r="E94" s="4">
        <v>1980.05</v>
      </c>
      <c r="F94" s="4">
        <v>1976.6</v>
      </c>
      <c r="G94" s="4">
        <v>1971.86</v>
      </c>
      <c r="H94" s="1" t="s">
        <v>977</v>
      </c>
      <c r="I94" s="1" t="s">
        <v>979</v>
      </c>
      <c r="J94" s="1" t="s">
        <v>980</v>
      </c>
      <c r="K94" s="1">
        <f t="shared" si="2"/>
        <v>-0.001742380243</v>
      </c>
      <c r="L94" s="7">
        <v>-0.013468730047733423</v>
      </c>
      <c r="M94" s="8">
        <f t="shared" si="1"/>
        <v>5811050</v>
      </c>
    </row>
    <row r="95">
      <c r="A95" s="9">
        <v>45644.0</v>
      </c>
      <c r="B95" s="4">
        <v>1966.8</v>
      </c>
      <c r="C95" s="4">
        <v>1984.95</v>
      </c>
      <c r="D95" s="4">
        <v>1961.6</v>
      </c>
      <c r="E95" s="4">
        <v>1976.6</v>
      </c>
      <c r="F95" s="4">
        <v>1979.15</v>
      </c>
      <c r="G95" s="4">
        <v>1976.08</v>
      </c>
      <c r="H95" s="1" t="s">
        <v>981</v>
      </c>
      <c r="I95" s="1" t="s">
        <v>983</v>
      </c>
      <c r="J95" s="1" t="s">
        <v>987</v>
      </c>
      <c r="K95" s="1">
        <f t="shared" si="2"/>
        <v>0.001290094101</v>
      </c>
      <c r="L95" s="7">
        <v>-0.0056356837606838205</v>
      </c>
      <c r="M95" s="8">
        <f t="shared" si="1"/>
        <v>3064095</v>
      </c>
    </row>
    <row r="96">
      <c r="A96" s="9">
        <v>45645.0</v>
      </c>
      <c r="B96" s="4">
        <v>1934.0</v>
      </c>
      <c r="C96" s="4">
        <v>1959.75</v>
      </c>
      <c r="D96" s="4">
        <v>1920.0</v>
      </c>
      <c r="E96" s="4">
        <v>1979.15</v>
      </c>
      <c r="F96" s="4">
        <v>1946.2</v>
      </c>
      <c r="G96" s="4">
        <v>1940.72</v>
      </c>
      <c r="H96" s="1" t="s">
        <v>993</v>
      </c>
      <c r="I96" s="1" t="s">
        <v>995</v>
      </c>
      <c r="J96" s="1" t="s">
        <v>997</v>
      </c>
      <c r="K96" s="1">
        <f t="shared" si="2"/>
        <v>-0.01664856125</v>
      </c>
      <c r="L96" s="7">
        <v>-0.010213295259898624</v>
      </c>
      <c r="M96" s="8">
        <f t="shared" si="1"/>
        <v>5323592</v>
      </c>
    </row>
    <row r="97">
      <c r="A97" s="9">
        <v>45646.0</v>
      </c>
      <c r="B97" s="4">
        <v>1975.15</v>
      </c>
      <c r="C97" s="4">
        <v>1979.95</v>
      </c>
      <c r="D97" s="4">
        <v>1911.25</v>
      </c>
      <c r="E97" s="4">
        <v>1946.2</v>
      </c>
      <c r="F97" s="4">
        <v>1922.15</v>
      </c>
      <c r="G97" s="4">
        <v>1932.55</v>
      </c>
      <c r="H97" s="1" t="s">
        <v>1008</v>
      </c>
      <c r="I97" s="1" t="s">
        <v>1009</v>
      </c>
      <c r="J97" s="1" t="s">
        <v>1010</v>
      </c>
      <c r="K97" s="1">
        <f t="shared" si="2"/>
        <v>-0.01235741445</v>
      </c>
      <c r="L97" s="7">
        <v>-0.01520560127256106</v>
      </c>
      <c r="M97" s="8">
        <f t="shared" si="1"/>
        <v>11056720</v>
      </c>
    </row>
    <row r="98">
      <c r="A98" s="9">
        <v>45649.0</v>
      </c>
      <c r="B98" s="4">
        <v>1930.05</v>
      </c>
      <c r="C98" s="4">
        <v>1940.0</v>
      </c>
      <c r="D98" s="4">
        <v>1909.0</v>
      </c>
      <c r="E98" s="4">
        <v>1922.15</v>
      </c>
      <c r="F98" s="4">
        <v>1924.3</v>
      </c>
      <c r="G98" s="4">
        <v>1923.61</v>
      </c>
      <c r="H98" s="1" t="s">
        <v>1014</v>
      </c>
      <c r="I98" s="1" t="s">
        <v>1016</v>
      </c>
      <c r="J98" s="1" t="s">
        <v>1017</v>
      </c>
      <c r="K98" s="1">
        <f t="shared" si="2"/>
        <v>0.001118539136</v>
      </c>
      <c r="L98" s="7">
        <v>0.007035506094329655</v>
      </c>
      <c r="M98" s="8">
        <f t="shared" si="1"/>
        <v>2781793</v>
      </c>
    </row>
    <row r="99">
      <c r="A99" s="9">
        <v>45650.0</v>
      </c>
      <c r="B99" s="4">
        <v>1927.05</v>
      </c>
      <c r="C99" s="4">
        <v>1942.0</v>
      </c>
      <c r="D99" s="4">
        <v>1840.0</v>
      </c>
      <c r="E99" s="4">
        <v>1924.3</v>
      </c>
      <c r="F99" s="4">
        <v>1909.05</v>
      </c>
      <c r="G99" s="4">
        <v>1918.59</v>
      </c>
      <c r="H99" s="1" t="s">
        <v>1023</v>
      </c>
      <c r="I99" s="1" t="s">
        <v>1025</v>
      </c>
      <c r="J99" s="11">
        <v>93412.0</v>
      </c>
      <c r="K99" s="1">
        <f t="shared" si="2"/>
        <v>-0.007924959726</v>
      </c>
      <c r="L99" s="7">
        <v>-0.0010861580107310422</v>
      </c>
      <c r="M99" s="8">
        <f t="shared" si="1"/>
        <v>2360544</v>
      </c>
    </row>
    <row r="100">
      <c r="A100" s="9">
        <v>45652.0</v>
      </c>
      <c r="B100" s="4">
        <v>1909.05</v>
      </c>
      <c r="C100" s="4">
        <v>1919.75</v>
      </c>
      <c r="D100" s="4">
        <v>1902.3</v>
      </c>
      <c r="E100" s="4">
        <v>1909.05</v>
      </c>
      <c r="F100" s="4">
        <v>1907.4</v>
      </c>
      <c r="G100" s="4">
        <v>1908.04</v>
      </c>
      <c r="H100" s="1" t="s">
        <v>1034</v>
      </c>
      <c r="I100" s="1" t="s">
        <v>1035</v>
      </c>
      <c r="J100" s="1" t="s">
        <v>1036</v>
      </c>
      <c r="K100" s="1">
        <f t="shared" si="2"/>
        <v>-0.0008643042351</v>
      </c>
      <c r="L100" s="7">
        <v>9.5036803054661E-4</v>
      </c>
      <c r="M100" s="8">
        <f t="shared" si="1"/>
        <v>3623321</v>
      </c>
    </row>
    <row r="101">
      <c r="A101" s="9">
        <v>45653.0</v>
      </c>
      <c r="B101" s="4">
        <v>1909.4</v>
      </c>
      <c r="C101" s="4">
        <v>1924.15</v>
      </c>
      <c r="D101" s="4">
        <v>1903.9</v>
      </c>
      <c r="E101" s="4">
        <v>1907.4</v>
      </c>
      <c r="F101" s="4">
        <v>1916.75</v>
      </c>
      <c r="G101" s="4">
        <v>1912.07</v>
      </c>
      <c r="H101" s="1" t="s">
        <v>1043</v>
      </c>
      <c r="I101" s="1" t="s">
        <v>1044</v>
      </c>
      <c r="J101" s="1" t="s">
        <v>1045</v>
      </c>
      <c r="K101" s="1">
        <f t="shared" si="2"/>
        <v>0.004901960784</v>
      </c>
      <c r="L101" s="7">
        <v>0.0026610302229034166</v>
      </c>
      <c r="M101" s="8">
        <f t="shared" si="1"/>
        <v>3937500</v>
      </c>
    </row>
    <row r="102">
      <c r="A102" s="9">
        <v>45656.0</v>
      </c>
      <c r="B102" s="4">
        <v>1915.7</v>
      </c>
      <c r="C102" s="4">
        <v>1916.0</v>
      </c>
      <c r="D102" s="4">
        <v>1886.5</v>
      </c>
      <c r="E102" s="4">
        <v>1916.75</v>
      </c>
      <c r="F102" s="4">
        <v>1906.0</v>
      </c>
      <c r="G102" s="4">
        <v>1903.27</v>
      </c>
      <c r="H102" s="1" t="s">
        <v>1055</v>
      </c>
      <c r="I102" s="1" t="s">
        <v>1056</v>
      </c>
      <c r="J102" s="1" t="s">
        <v>1057</v>
      </c>
      <c r="K102" s="1">
        <f t="shared" si="2"/>
        <v>-0.005608451806</v>
      </c>
      <c r="L102" s="7">
        <v>-0.007075848051937144</v>
      </c>
      <c r="M102" s="8">
        <f t="shared" si="1"/>
        <v>7789055</v>
      </c>
    </row>
    <row r="103">
      <c r="A103" s="9">
        <v>45657.0</v>
      </c>
      <c r="B103" s="4">
        <v>1892.3</v>
      </c>
      <c r="C103" s="4">
        <v>1897.0</v>
      </c>
      <c r="D103" s="4">
        <v>1845.05</v>
      </c>
      <c r="E103" s="4">
        <v>1906.0</v>
      </c>
      <c r="F103" s="4">
        <v>1880.0</v>
      </c>
      <c r="G103" s="4">
        <v>1872.77</v>
      </c>
      <c r="H103" s="1" t="s">
        <v>1063</v>
      </c>
      <c r="I103" s="1" t="s">
        <v>1066</v>
      </c>
      <c r="J103" s="1" t="s">
        <v>1068</v>
      </c>
      <c r="K103" s="1">
        <f t="shared" si="2"/>
        <v>-0.01364113326</v>
      </c>
      <c r="L103" s="7">
        <v>-4.2292418239105594E-6</v>
      </c>
      <c r="M103" s="8">
        <f t="shared" si="1"/>
        <v>3613063</v>
      </c>
    </row>
    <row r="104">
      <c r="A104" s="3">
        <v>45658.0</v>
      </c>
      <c r="B104" s="4">
        <v>1874.0</v>
      </c>
      <c r="C104" s="4">
        <v>1892.95</v>
      </c>
      <c r="D104" s="4">
        <v>1874.0</v>
      </c>
      <c r="E104" s="4">
        <v>1880.0</v>
      </c>
      <c r="F104" s="4">
        <v>1882.5</v>
      </c>
      <c r="G104" s="4">
        <v>1884.95</v>
      </c>
      <c r="H104" s="1" t="s">
        <v>1072</v>
      </c>
      <c r="I104" s="1" t="s">
        <v>1073</v>
      </c>
      <c r="J104" s="11">
        <v>69020.0</v>
      </c>
      <c r="K104" s="1">
        <f t="shared" si="2"/>
        <v>0.001329787234</v>
      </c>
      <c r="L104" s="7">
        <v>0.004148903775883162</v>
      </c>
      <c r="M104" s="8">
        <f t="shared" si="1"/>
        <v>1838368</v>
      </c>
    </row>
    <row r="105">
      <c r="A105" s="3">
        <v>45659.0</v>
      </c>
      <c r="B105" s="4">
        <v>1887.0</v>
      </c>
      <c r="C105" s="4">
        <v>1962.65</v>
      </c>
      <c r="D105" s="4">
        <v>1885.3</v>
      </c>
      <c r="E105" s="4">
        <v>1882.5</v>
      </c>
      <c r="F105" s="4">
        <v>1957.85</v>
      </c>
      <c r="G105" s="4">
        <v>1944.51</v>
      </c>
      <c r="H105" s="1" t="s">
        <v>1083</v>
      </c>
      <c r="I105" s="1" t="s">
        <v>1084</v>
      </c>
      <c r="J105" s="1" t="s">
        <v>1085</v>
      </c>
      <c r="K105" s="1">
        <f t="shared" si="2"/>
        <v>0.04002656042</v>
      </c>
      <c r="L105" s="7">
        <v>0.01877403350054121</v>
      </c>
      <c r="M105" s="8">
        <f t="shared" si="1"/>
        <v>7083645</v>
      </c>
    </row>
    <row r="106">
      <c r="A106" s="3">
        <v>45660.0</v>
      </c>
      <c r="B106" s="4">
        <v>1952.95</v>
      </c>
      <c r="C106" s="4">
        <v>1952.95</v>
      </c>
      <c r="D106" s="4">
        <v>1922.0</v>
      </c>
      <c r="E106" s="4">
        <v>1957.85</v>
      </c>
      <c r="F106" s="4">
        <v>1938.75</v>
      </c>
      <c r="G106" s="4">
        <v>1936.53</v>
      </c>
      <c r="H106" s="1" t="s">
        <v>1095</v>
      </c>
      <c r="I106" s="1" t="s">
        <v>1096</v>
      </c>
      <c r="J106" s="1" t="s">
        <v>1097</v>
      </c>
      <c r="K106" s="1">
        <f t="shared" si="2"/>
        <v>-0.009755599254</v>
      </c>
      <c r="L106" s="7">
        <v>-0.0076027393012839265</v>
      </c>
      <c r="M106" s="8">
        <f t="shared" si="1"/>
        <v>6218003</v>
      </c>
    </row>
    <row r="107">
      <c r="A107" s="3">
        <v>45663.0</v>
      </c>
      <c r="B107" s="4">
        <v>1952.0</v>
      </c>
      <c r="C107" s="4">
        <v>1973.0</v>
      </c>
      <c r="D107" s="4">
        <v>1928.0</v>
      </c>
      <c r="E107" s="4">
        <v>1938.75</v>
      </c>
      <c r="F107" s="4">
        <v>1937.85</v>
      </c>
      <c r="G107" s="4">
        <v>1943.77</v>
      </c>
      <c r="H107" s="1" t="s">
        <v>1103</v>
      </c>
      <c r="I107" s="1" t="s">
        <v>1105</v>
      </c>
      <c r="J107" s="1" t="s">
        <v>1106</v>
      </c>
      <c r="K107" s="1">
        <f t="shared" si="2"/>
        <v>-0.0004642166344</v>
      </c>
      <c r="L107" s="7">
        <v>-0.016192628542267707</v>
      </c>
      <c r="M107" s="8">
        <f t="shared" si="1"/>
        <v>7164403</v>
      </c>
    </row>
    <row r="108">
      <c r="A108" s="3">
        <v>45664.0</v>
      </c>
      <c r="B108" s="4">
        <v>1945.0</v>
      </c>
      <c r="C108" s="4">
        <v>1958.55</v>
      </c>
      <c r="D108" s="4">
        <v>1923.65</v>
      </c>
      <c r="E108" s="4">
        <v>1937.85</v>
      </c>
      <c r="F108" s="4">
        <v>1930.85</v>
      </c>
      <c r="G108" s="4">
        <v>1936.28</v>
      </c>
      <c r="H108" s="1" t="s">
        <v>1114</v>
      </c>
      <c r="I108" s="1" t="s">
        <v>1116</v>
      </c>
      <c r="J108" s="1" t="s">
        <v>1117</v>
      </c>
      <c r="K108" s="1">
        <f t="shared" si="2"/>
        <v>-0.00361225069</v>
      </c>
      <c r="L108" s="7">
        <v>0.003889304096155038</v>
      </c>
      <c r="M108" s="8">
        <f t="shared" si="1"/>
        <v>4294832</v>
      </c>
    </row>
    <row r="109">
      <c r="A109" s="3">
        <v>45665.0</v>
      </c>
      <c r="B109" s="4">
        <v>1930.0</v>
      </c>
      <c r="C109" s="4">
        <v>1938.6</v>
      </c>
      <c r="D109" s="4">
        <v>1888.75</v>
      </c>
      <c r="E109" s="4">
        <v>1930.85</v>
      </c>
      <c r="F109" s="4">
        <v>1933.15</v>
      </c>
      <c r="G109" s="4">
        <v>1916.14</v>
      </c>
      <c r="H109" s="1" t="s">
        <v>1123</v>
      </c>
      <c r="I109" s="1" t="s">
        <v>1125</v>
      </c>
      <c r="J109" s="1" t="s">
        <v>1127</v>
      </c>
      <c r="K109" s="1">
        <f t="shared" si="2"/>
        <v>0.001191185229</v>
      </c>
      <c r="L109" s="7">
        <v>-7.993116218644725E-4</v>
      </c>
      <c r="M109" s="8">
        <f t="shared" si="1"/>
        <v>5482050</v>
      </c>
    </row>
    <row r="110">
      <c r="A110" s="3">
        <v>45666.0</v>
      </c>
      <c r="B110" s="4">
        <v>1934.05</v>
      </c>
      <c r="C110" s="4">
        <v>1951.85</v>
      </c>
      <c r="D110" s="4">
        <v>1910.55</v>
      </c>
      <c r="E110" s="4">
        <v>1933.15</v>
      </c>
      <c r="F110" s="4">
        <v>1917.3</v>
      </c>
      <c r="G110" s="4">
        <v>1928.12</v>
      </c>
      <c r="H110" s="1" t="s">
        <v>1132</v>
      </c>
      <c r="I110" s="1" t="s">
        <v>1134</v>
      </c>
      <c r="J110" s="1" t="s">
        <v>1135</v>
      </c>
      <c r="K110" s="1">
        <f t="shared" si="2"/>
        <v>-0.008199053359</v>
      </c>
      <c r="L110" s="7">
        <v>-0.006857627712498896</v>
      </c>
      <c r="M110" s="8">
        <f t="shared" si="1"/>
        <v>6833503</v>
      </c>
    </row>
    <row r="111">
      <c r="A111" s="9">
        <v>45667.0</v>
      </c>
      <c r="B111" s="4">
        <v>1937.0</v>
      </c>
      <c r="C111" s="4">
        <v>1977.8</v>
      </c>
      <c r="D111" s="4">
        <v>1932.25</v>
      </c>
      <c r="E111" s="4">
        <v>1917.3</v>
      </c>
      <c r="F111" s="4">
        <v>1966.95</v>
      </c>
      <c r="G111" s="4">
        <v>1961.18</v>
      </c>
      <c r="H111" s="1" t="s">
        <v>1143</v>
      </c>
      <c r="I111" s="1" t="s">
        <v>1145</v>
      </c>
      <c r="J111" s="1" t="s">
        <v>1147</v>
      </c>
      <c r="K111" s="1">
        <f t="shared" si="2"/>
        <v>0.02589579096</v>
      </c>
      <c r="L111" s="7">
        <v>-0.00403799970246318</v>
      </c>
      <c r="M111" s="8">
        <f t="shared" si="1"/>
        <v>8036913</v>
      </c>
    </row>
    <row r="112">
      <c r="A112" s="9">
        <v>45670.0</v>
      </c>
      <c r="B112" s="4">
        <v>1956.0</v>
      </c>
      <c r="C112" s="4">
        <v>1982.8</v>
      </c>
      <c r="D112" s="4">
        <v>1949.0</v>
      </c>
      <c r="E112" s="4">
        <v>1966.95</v>
      </c>
      <c r="F112" s="4">
        <v>1962.2</v>
      </c>
      <c r="G112" s="4">
        <v>1965.87</v>
      </c>
      <c r="H112" s="1" t="s">
        <v>1153</v>
      </c>
      <c r="I112" s="1" t="s">
        <v>1154</v>
      </c>
      <c r="J112" s="1" t="s">
        <v>1155</v>
      </c>
      <c r="K112" s="1">
        <f t="shared" si="2"/>
        <v>-0.002414906327</v>
      </c>
      <c r="L112" s="7">
        <v>-0.014747241960608552</v>
      </c>
      <c r="M112" s="8">
        <f t="shared" si="1"/>
        <v>5804152</v>
      </c>
    </row>
    <row r="113">
      <c r="A113" s="9">
        <v>45671.0</v>
      </c>
      <c r="B113" s="4">
        <v>1968.85</v>
      </c>
      <c r="C113" s="4">
        <v>1971.8</v>
      </c>
      <c r="D113" s="4">
        <v>1931.1</v>
      </c>
      <c r="E113" s="4">
        <v>1962.2</v>
      </c>
      <c r="F113" s="4">
        <v>1940.05</v>
      </c>
      <c r="G113" s="4">
        <v>1943.92</v>
      </c>
      <c r="H113" s="1" t="s">
        <v>1162</v>
      </c>
      <c r="I113" s="1" t="s">
        <v>1164</v>
      </c>
      <c r="J113" s="1" t="s">
        <v>1166</v>
      </c>
      <c r="K113" s="1">
        <f t="shared" si="2"/>
        <v>-0.01128834981</v>
      </c>
      <c r="L113" s="7">
        <v>0.0039028066854514777</v>
      </c>
      <c r="M113" s="8">
        <f t="shared" si="1"/>
        <v>5792162</v>
      </c>
    </row>
    <row r="114">
      <c r="A114" s="9">
        <v>45672.0</v>
      </c>
      <c r="B114" s="4">
        <v>1947.0</v>
      </c>
      <c r="C114" s="4">
        <v>1958.05</v>
      </c>
      <c r="D114" s="4">
        <v>1937.1</v>
      </c>
      <c r="E114" s="4">
        <v>1940.05</v>
      </c>
      <c r="F114" s="4">
        <v>1949.65</v>
      </c>
      <c r="G114" s="4">
        <v>1949.16</v>
      </c>
      <c r="H114" s="1" t="s">
        <v>1174</v>
      </c>
      <c r="I114" s="1" t="s">
        <v>1176</v>
      </c>
      <c r="J114" s="1" t="s">
        <v>1178</v>
      </c>
      <c r="K114" s="1">
        <f t="shared" si="2"/>
        <v>0.004948326074</v>
      </c>
      <c r="L114" s="7">
        <v>0.0016029478707545702</v>
      </c>
      <c r="M114" s="8">
        <f t="shared" si="1"/>
        <v>2985439</v>
      </c>
    </row>
    <row r="115">
      <c r="A115" s="9">
        <v>45673.0</v>
      </c>
      <c r="B115" s="4">
        <v>1965.95</v>
      </c>
      <c r="C115" s="4">
        <v>1966.95</v>
      </c>
      <c r="D115" s="4">
        <v>1916.85</v>
      </c>
      <c r="E115" s="4">
        <v>1949.65</v>
      </c>
      <c r="F115" s="4">
        <v>1928.45</v>
      </c>
      <c r="G115" s="4">
        <v>1939.38</v>
      </c>
      <c r="H115" s="1" t="s">
        <v>1186</v>
      </c>
      <c r="I115" s="1" t="s">
        <v>1187</v>
      </c>
      <c r="J115" s="1" t="s">
        <v>1188</v>
      </c>
      <c r="K115" s="1">
        <f t="shared" si="2"/>
        <v>-0.01087374657</v>
      </c>
      <c r="L115" s="7">
        <v>0.004247583271586793</v>
      </c>
      <c r="M115" s="8">
        <f t="shared" si="1"/>
        <v>7533579</v>
      </c>
    </row>
    <row r="116">
      <c r="A116" s="9">
        <v>45674.0</v>
      </c>
      <c r="B116" s="4">
        <v>1851.0</v>
      </c>
      <c r="C116" s="4">
        <v>1858.0</v>
      </c>
      <c r="D116" s="4">
        <v>1812.0</v>
      </c>
      <c r="E116" s="4">
        <v>1928.45</v>
      </c>
      <c r="F116" s="4">
        <v>1815.45</v>
      </c>
      <c r="G116" s="4">
        <v>1824.17</v>
      </c>
      <c r="H116" s="1" t="s">
        <v>1195</v>
      </c>
      <c r="I116" s="1" t="s">
        <v>1196</v>
      </c>
      <c r="J116" s="1" t="s">
        <v>1197</v>
      </c>
      <c r="K116" s="1">
        <f t="shared" si="2"/>
        <v>-0.05859628199</v>
      </c>
      <c r="L116" s="7">
        <v>-0.0046585849226571325</v>
      </c>
      <c r="M116" s="8">
        <f t="shared" si="1"/>
        <v>16409953</v>
      </c>
    </row>
    <row r="117">
      <c r="A117" s="9">
        <v>45677.0</v>
      </c>
      <c r="B117" s="4">
        <v>1822.95</v>
      </c>
      <c r="C117" s="4">
        <v>1827.95</v>
      </c>
      <c r="D117" s="4">
        <v>1793.15</v>
      </c>
      <c r="E117" s="4">
        <v>1815.45</v>
      </c>
      <c r="F117" s="4">
        <v>1813.3</v>
      </c>
      <c r="G117" s="4">
        <v>1809.37</v>
      </c>
      <c r="H117" s="1" t="s">
        <v>1203</v>
      </c>
      <c r="I117" s="1" t="s">
        <v>1204</v>
      </c>
      <c r="J117" s="1" t="s">
        <v>1206</v>
      </c>
      <c r="K117" s="1">
        <f t="shared" si="2"/>
        <v>-0.00118427938</v>
      </c>
      <c r="L117" s="7">
        <v>0.006100451661839715</v>
      </c>
      <c r="M117" s="8">
        <f t="shared" si="1"/>
        <v>4333011</v>
      </c>
    </row>
    <row r="118">
      <c r="A118" s="9">
        <v>45678.0</v>
      </c>
      <c r="B118" s="4">
        <v>1819.05</v>
      </c>
      <c r="C118" s="4">
        <v>1831.65</v>
      </c>
      <c r="D118" s="4">
        <v>1793.05</v>
      </c>
      <c r="E118" s="4">
        <v>1813.3</v>
      </c>
      <c r="F118" s="4">
        <v>1800.7</v>
      </c>
      <c r="G118" s="4">
        <v>1814.25</v>
      </c>
      <c r="H118" s="1" t="s">
        <v>1210</v>
      </c>
      <c r="I118" s="1" t="s">
        <v>1211</v>
      </c>
      <c r="J118" s="1" t="s">
        <v>1213</v>
      </c>
      <c r="K118" s="1">
        <f t="shared" si="2"/>
        <v>-0.006948657144</v>
      </c>
      <c r="L118" s="7">
        <v>-0.013711862410177815</v>
      </c>
      <c r="M118" s="8">
        <f t="shared" si="1"/>
        <v>7169109</v>
      </c>
    </row>
    <row r="119">
      <c r="A119" s="9">
        <v>45679.0</v>
      </c>
      <c r="B119" s="4">
        <v>1807.4</v>
      </c>
      <c r="C119" s="4">
        <v>1865.8</v>
      </c>
      <c r="D119" s="4">
        <v>1805.15</v>
      </c>
      <c r="E119" s="4">
        <v>1800.7</v>
      </c>
      <c r="F119" s="4">
        <v>1856.45</v>
      </c>
      <c r="G119" s="4">
        <v>1846.53</v>
      </c>
      <c r="H119" s="1" t="s">
        <v>1219</v>
      </c>
      <c r="I119" s="1" t="s">
        <v>1222</v>
      </c>
      <c r="J119" s="1" t="s">
        <v>1224</v>
      </c>
      <c r="K119" s="1">
        <f t="shared" si="2"/>
        <v>0.03096018215</v>
      </c>
      <c r="L119" s="7">
        <v>0.005676524941747088</v>
      </c>
      <c r="M119" s="8">
        <f t="shared" si="1"/>
        <v>8373913</v>
      </c>
    </row>
    <row r="120">
      <c r="A120" s="9">
        <v>45680.0</v>
      </c>
      <c r="B120" s="4">
        <v>1858.0</v>
      </c>
      <c r="C120" s="4">
        <v>1879.55</v>
      </c>
      <c r="D120" s="4">
        <v>1852.7</v>
      </c>
      <c r="E120" s="4">
        <v>1856.45</v>
      </c>
      <c r="F120" s="4">
        <v>1865.45</v>
      </c>
      <c r="G120" s="4">
        <v>1868.88</v>
      </c>
      <c r="H120" s="1" t="s">
        <v>1231</v>
      </c>
      <c r="I120" s="1" t="s">
        <v>1233</v>
      </c>
      <c r="J120" s="1" t="s">
        <v>1235</v>
      </c>
      <c r="K120" s="1">
        <f t="shared" si="2"/>
        <v>0.004847962509</v>
      </c>
      <c r="L120" s="7">
        <v>0.0021593281898135853</v>
      </c>
      <c r="M120" s="8">
        <f t="shared" si="1"/>
        <v>5907471</v>
      </c>
    </row>
    <row r="121">
      <c r="A121" s="9">
        <v>45681.0</v>
      </c>
      <c r="B121" s="4">
        <v>1865.5</v>
      </c>
      <c r="C121" s="4">
        <v>1894.9</v>
      </c>
      <c r="D121" s="4">
        <v>1864.25</v>
      </c>
      <c r="E121" s="4">
        <v>1865.45</v>
      </c>
      <c r="F121" s="4">
        <v>1875.45</v>
      </c>
      <c r="G121" s="4">
        <v>1881.56</v>
      </c>
      <c r="H121" s="1" t="s">
        <v>1239</v>
      </c>
      <c r="I121" s="1" t="s">
        <v>1241</v>
      </c>
      <c r="J121" s="1" t="s">
        <v>1242</v>
      </c>
      <c r="K121" s="1">
        <f t="shared" si="2"/>
        <v>0.005360636844</v>
      </c>
      <c r="L121" s="7">
        <v>-0.004876030742910485</v>
      </c>
      <c r="M121" s="8">
        <f t="shared" si="1"/>
        <v>4887027</v>
      </c>
    </row>
    <row r="122">
      <c r="A122" s="9">
        <v>45684.0</v>
      </c>
      <c r="B122" s="4">
        <v>1848.75</v>
      </c>
      <c r="C122" s="4">
        <v>1863.0</v>
      </c>
      <c r="D122" s="4">
        <v>1812.0</v>
      </c>
      <c r="E122" s="4">
        <v>1875.45</v>
      </c>
      <c r="F122" s="4">
        <v>1822.0</v>
      </c>
      <c r="G122" s="4">
        <v>1838.09</v>
      </c>
      <c r="H122" s="1" t="s">
        <v>1249</v>
      </c>
      <c r="I122" s="1" t="s">
        <v>1250</v>
      </c>
      <c r="J122" s="1" t="s">
        <v>1251</v>
      </c>
      <c r="K122" s="1">
        <f t="shared" si="2"/>
        <v>-0.02849982671</v>
      </c>
      <c r="L122" s="7">
        <v>-0.011391292297832136</v>
      </c>
      <c r="M122" s="8">
        <f t="shared" si="1"/>
        <v>7652371</v>
      </c>
    </row>
    <row r="123">
      <c r="A123" s="9">
        <v>45685.0</v>
      </c>
      <c r="B123" s="4">
        <v>1830.0</v>
      </c>
      <c r="C123" s="4">
        <v>1863.5</v>
      </c>
      <c r="D123" s="4">
        <v>1824.9</v>
      </c>
      <c r="E123" s="4">
        <v>1822.0</v>
      </c>
      <c r="F123" s="4">
        <v>1829.75</v>
      </c>
      <c r="G123" s="4">
        <v>1842.44</v>
      </c>
      <c r="H123" s="1" t="s">
        <v>1261</v>
      </c>
      <c r="I123" s="1" t="s">
        <v>1262</v>
      </c>
      <c r="J123" s="1" t="s">
        <v>1263</v>
      </c>
      <c r="K123" s="1">
        <f t="shared" si="2"/>
        <v>0.004253567508</v>
      </c>
      <c r="L123" s="7">
        <v>0.005611247024089751</v>
      </c>
      <c r="M123" s="8">
        <f t="shared" si="1"/>
        <v>6999495</v>
      </c>
    </row>
    <row r="124">
      <c r="A124" s="9">
        <v>45686.0</v>
      </c>
      <c r="B124" s="4">
        <v>1845.0</v>
      </c>
      <c r="C124" s="4">
        <v>1888.65</v>
      </c>
      <c r="D124" s="4">
        <v>1840.5</v>
      </c>
      <c r="E124" s="4">
        <v>1829.75</v>
      </c>
      <c r="F124" s="4">
        <v>1881.25</v>
      </c>
      <c r="G124" s="4">
        <v>1867.04</v>
      </c>
      <c r="H124" s="1" t="s">
        <v>1272</v>
      </c>
      <c r="I124" s="1" t="s">
        <v>1274</v>
      </c>
      <c r="J124" s="1" t="s">
        <v>1275</v>
      </c>
      <c r="K124" s="1">
        <f t="shared" si="2"/>
        <v>0.02814592157</v>
      </c>
      <c r="L124" s="7">
        <v>0.008966666303673067</v>
      </c>
      <c r="M124" s="8">
        <f t="shared" si="1"/>
        <v>5145155</v>
      </c>
    </row>
    <row r="125">
      <c r="A125" s="9">
        <v>45687.0</v>
      </c>
      <c r="B125" s="4">
        <v>1873.15</v>
      </c>
      <c r="C125" s="4">
        <v>1887.2</v>
      </c>
      <c r="D125" s="4">
        <v>1844.0</v>
      </c>
      <c r="E125" s="4">
        <v>1881.25</v>
      </c>
      <c r="F125" s="4">
        <v>1859.95</v>
      </c>
      <c r="G125" s="4">
        <v>1859.61</v>
      </c>
      <c r="H125" s="1" t="s">
        <v>1282</v>
      </c>
      <c r="I125" s="1" t="s">
        <v>1283</v>
      </c>
      <c r="J125" s="1" t="s">
        <v>1285</v>
      </c>
      <c r="K125" s="1">
        <f t="shared" si="2"/>
        <v>-0.01132225914</v>
      </c>
      <c r="L125" s="7">
        <v>0.00373007067275112</v>
      </c>
      <c r="M125" s="8">
        <f t="shared" si="1"/>
        <v>7336056</v>
      </c>
    </row>
    <row r="126">
      <c r="A126" s="9">
        <v>45688.0</v>
      </c>
      <c r="B126" s="4">
        <v>1871.0</v>
      </c>
      <c r="C126" s="4">
        <v>1897.45</v>
      </c>
      <c r="D126" s="4">
        <v>1871.0</v>
      </c>
      <c r="E126" s="4">
        <v>1859.95</v>
      </c>
      <c r="F126" s="4">
        <v>1879.8</v>
      </c>
      <c r="G126" s="4">
        <v>1881.49</v>
      </c>
      <c r="H126" s="1" t="s">
        <v>1294</v>
      </c>
      <c r="I126" s="1" t="s">
        <v>1295</v>
      </c>
      <c r="J126" s="1" t="s">
        <v>1296</v>
      </c>
      <c r="K126" s="1">
        <f t="shared" si="2"/>
        <v>0.0106723299</v>
      </c>
      <c r="L126" s="7">
        <v>0.011135723348889286</v>
      </c>
      <c r="M126" s="8">
        <f t="shared" si="1"/>
        <v>5820470</v>
      </c>
    </row>
    <row r="127">
      <c r="A127" s="3">
        <v>45689.0</v>
      </c>
      <c r="B127" s="4">
        <v>1880.3</v>
      </c>
      <c r="C127" s="4">
        <v>1890.6</v>
      </c>
      <c r="D127" s="4">
        <v>1846.0</v>
      </c>
      <c r="E127" s="4">
        <v>1879.8</v>
      </c>
      <c r="F127" s="4">
        <v>1851.35</v>
      </c>
      <c r="G127" s="4">
        <v>1862.44</v>
      </c>
      <c r="H127" s="1" t="s">
        <v>1303</v>
      </c>
      <c r="I127" s="1" t="s">
        <v>1305</v>
      </c>
      <c r="J127" s="11">
        <v>70335.0</v>
      </c>
      <c r="K127" s="1">
        <f t="shared" si="2"/>
        <v>-0.01513458879</v>
      </c>
      <c r="L127" s="7">
        <v>-0.0011166221435742116</v>
      </c>
      <c r="M127" s="8">
        <f t="shared" si="1"/>
        <v>1701402</v>
      </c>
    </row>
    <row r="128">
      <c r="A128" s="3">
        <v>45691.0</v>
      </c>
      <c r="B128" s="4">
        <v>1836.0</v>
      </c>
      <c r="C128" s="4">
        <v>1876.55</v>
      </c>
      <c r="D128" s="4">
        <v>1832.4</v>
      </c>
      <c r="E128" s="4">
        <v>1851.35</v>
      </c>
      <c r="F128" s="4">
        <v>1863.3</v>
      </c>
      <c r="G128" s="4">
        <v>1858.62</v>
      </c>
      <c r="H128" s="1" t="s">
        <v>1314</v>
      </c>
      <c r="I128" s="1" t="s">
        <v>1315</v>
      </c>
      <c r="J128" s="1" t="s">
        <v>1316</v>
      </c>
      <c r="K128" s="1">
        <f t="shared" si="2"/>
        <v>0.006454749237</v>
      </c>
      <c r="L128" s="7">
        <v>-0.005157108697457523</v>
      </c>
      <c r="M128" s="8">
        <f t="shared" si="1"/>
        <v>4823228</v>
      </c>
    </row>
    <row r="129">
      <c r="A129" s="3">
        <v>45692.0</v>
      </c>
      <c r="B129" s="4">
        <v>1889.0</v>
      </c>
      <c r="C129" s="4">
        <v>1911.2</v>
      </c>
      <c r="D129" s="4">
        <v>1875.0</v>
      </c>
      <c r="E129" s="4">
        <v>1863.3</v>
      </c>
      <c r="F129" s="4">
        <v>1898.8</v>
      </c>
      <c r="G129" s="4">
        <v>1892.32</v>
      </c>
      <c r="H129" s="1" t="s">
        <v>1326</v>
      </c>
      <c r="I129" s="1" t="s">
        <v>1327</v>
      </c>
      <c r="J129" s="1" t="s">
        <v>1328</v>
      </c>
      <c r="K129" s="1">
        <f t="shared" si="2"/>
        <v>0.01905221918</v>
      </c>
      <c r="L129" s="7">
        <v>0.016189340804458736</v>
      </c>
      <c r="M129" s="8">
        <f t="shared" si="1"/>
        <v>7334787</v>
      </c>
    </row>
    <row r="130">
      <c r="A130" s="3">
        <v>45693.0</v>
      </c>
      <c r="B130" s="4">
        <v>1906.0</v>
      </c>
      <c r="C130" s="4">
        <v>1919.7</v>
      </c>
      <c r="D130" s="4">
        <v>1894.3</v>
      </c>
      <c r="E130" s="4">
        <v>1898.8</v>
      </c>
      <c r="F130" s="4">
        <v>1897.05</v>
      </c>
      <c r="G130" s="4">
        <v>1901.79</v>
      </c>
      <c r="H130" s="1" t="s">
        <v>1335</v>
      </c>
      <c r="I130" s="1" t="s">
        <v>1337</v>
      </c>
      <c r="J130" s="1" t="s">
        <v>1339</v>
      </c>
      <c r="K130" s="1">
        <f t="shared" si="2"/>
        <v>-0.0009216347167</v>
      </c>
      <c r="L130" s="7">
        <v>-0.0018092399717767296</v>
      </c>
      <c r="M130" s="8">
        <f t="shared" si="1"/>
        <v>4996744</v>
      </c>
    </row>
    <row r="131">
      <c r="A131" s="3">
        <v>45694.0</v>
      </c>
      <c r="B131" s="4">
        <v>1917.0</v>
      </c>
      <c r="C131" s="4">
        <v>1924.0</v>
      </c>
      <c r="D131" s="4">
        <v>1900.0</v>
      </c>
      <c r="E131" s="4">
        <v>1897.05</v>
      </c>
      <c r="F131" s="4">
        <v>1915.65</v>
      </c>
      <c r="G131" s="4">
        <v>1910.66</v>
      </c>
      <c r="H131" s="1" t="s">
        <v>1355</v>
      </c>
      <c r="I131" s="1" t="s">
        <v>1357</v>
      </c>
      <c r="J131" s="1" t="s">
        <v>1359</v>
      </c>
      <c r="K131" s="1">
        <f t="shared" si="2"/>
        <v>0.009804696766</v>
      </c>
      <c r="L131" s="7">
        <v>-0.0039225533100104544</v>
      </c>
      <c r="M131" s="8">
        <f t="shared" si="1"/>
        <v>4765255</v>
      </c>
    </row>
    <row r="132">
      <c r="A132" s="3">
        <v>45695.0</v>
      </c>
      <c r="B132" s="4">
        <v>1919.3</v>
      </c>
      <c r="C132" s="4">
        <v>1923.7</v>
      </c>
      <c r="D132" s="4">
        <v>1889.45</v>
      </c>
      <c r="E132" s="4">
        <v>1915.65</v>
      </c>
      <c r="F132" s="4">
        <v>1903.65</v>
      </c>
      <c r="G132" s="4">
        <v>1902.44</v>
      </c>
      <c r="H132" s="1" t="s">
        <v>1364</v>
      </c>
      <c r="I132" s="1" t="s">
        <v>1365</v>
      </c>
      <c r="J132" s="1" t="s">
        <v>1366</v>
      </c>
      <c r="K132" s="1">
        <f t="shared" si="2"/>
        <v>-0.006264192311</v>
      </c>
      <c r="L132" s="7">
        <v>-0.0018387220458112013</v>
      </c>
      <c r="M132" s="8">
        <f t="shared" si="1"/>
        <v>4126260</v>
      </c>
    </row>
    <row r="133">
      <c r="A133" s="9">
        <v>45698.0</v>
      </c>
      <c r="B133" s="4">
        <v>1905.0</v>
      </c>
      <c r="C133" s="4">
        <v>1905.0</v>
      </c>
      <c r="D133" s="4">
        <v>1878.6</v>
      </c>
      <c r="E133" s="4">
        <v>1903.65</v>
      </c>
      <c r="F133" s="4">
        <v>1880.3</v>
      </c>
      <c r="G133" s="4">
        <v>1885.89</v>
      </c>
      <c r="H133" s="1" t="s">
        <v>1374</v>
      </c>
      <c r="I133" s="1" t="s">
        <v>1376</v>
      </c>
      <c r="J133" s="1" t="s">
        <v>1378</v>
      </c>
      <c r="K133" s="1">
        <f t="shared" si="2"/>
        <v>-0.01226591023</v>
      </c>
      <c r="L133" s="7">
        <v>-0.00757005002132866</v>
      </c>
      <c r="M133" s="8">
        <f t="shared" si="1"/>
        <v>3828734</v>
      </c>
    </row>
    <row r="134">
      <c r="A134" s="9">
        <v>45699.0</v>
      </c>
      <c r="B134" s="4">
        <v>1883.1</v>
      </c>
      <c r="C134" s="4">
        <v>1903.0</v>
      </c>
      <c r="D134" s="4">
        <v>1870.0</v>
      </c>
      <c r="E134" s="4">
        <v>1880.3</v>
      </c>
      <c r="F134" s="4">
        <v>1875.65</v>
      </c>
      <c r="G134" s="4">
        <v>1883.68</v>
      </c>
      <c r="H134" s="1" t="s">
        <v>1382</v>
      </c>
      <c r="I134" s="1" t="s">
        <v>1384</v>
      </c>
      <c r="J134" s="1" t="s">
        <v>1386</v>
      </c>
      <c r="K134" s="1">
        <f t="shared" si="2"/>
        <v>-0.002473009626</v>
      </c>
      <c r="L134" s="7">
        <v>-0.013249734834228593</v>
      </c>
      <c r="M134" s="8">
        <f t="shared" si="1"/>
        <v>4411601</v>
      </c>
    </row>
    <row r="135">
      <c r="A135" s="9">
        <v>45700.0</v>
      </c>
      <c r="B135" s="4">
        <v>1885.0</v>
      </c>
      <c r="C135" s="4">
        <v>1894.6</v>
      </c>
      <c r="D135" s="4">
        <v>1847.0</v>
      </c>
      <c r="E135" s="4">
        <v>1875.65</v>
      </c>
      <c r="F135" s="4">
        <v>1863.15</v>
      </c>
      <c r="G135" s="4">
        <v>1866.72</v>
      </c>
      <c r="H135" s="1" t="s">
        <v>1394</v>
      </c>
      <c r="I135" s="1" t="s">
        <v>1395</v>
      </c>
      <c r="J135" s="1" t="s">
        <v>1396</v>
      </c>
      <c r="K135" s="1">
        <f t="shared" si="2"/>
        <v>-0.006664356356</v>
      </c>
      <c r="L135" s="7">
        <v>-0.001150755467713801</v>
      </c>
      <c r="M135" s="8">
        <f t="shared" si="1"/>
        <v>5633947</v>
      </c>
    </row>
    <row r="136">
      <c r="A136" s="9">
        <v>45701.0</v>
      </c>
      <c r="B136" s="4">
        <v>1868.5</v>
      </c>
      <c r="C136" s="4">
        <v>1873.5</v>
      </c>
      <c r="D136" s="4">
        <v>1835.65</v>
      </c>
      <c r="E136" s="4">
        <v>1863.15</v>
      </c>
      <c r="F136" s="4">
        <v>1843.25</v>
      </c>
      <c r="G136" s="4">
        <v>1851.21</v>
      </c>
      <c r="H136" s="1" t="s">
        <v>1406</v>
      </c>
      <c r="I136" s="1" t="s">
        <v>1407</v>
      </c>
      <c r="J136" s="1" t="s">
        <v>1408</v>
      </c>
      <c r="K136" s="1">
        <f t="shared" si="2"/>
        <v>-0.01068083622</v>
      </c>
      <c r="L136" s="7">
        <v>-6.009915275381497E-4</v>
      </c>
      <c r="M136" s="8">
        <f t="shared" si="1"/>
        <v>5237744</v>
      </c>
    </row>
    <row r="137">
      <c r="A137" s="9">
        <v>45702.0</v>
      </c>
      <c r="B137" s="4">
        <v>1854.0</v>
      </c>
      <c r="C137" s="4">
        <v>1859.3</v>
      </c>
      <c r="D137" s="4">
        <v>1828.35</v>
      </c>
      <c r="E137" s="4">
        <v>1843.25</v>
      </c>
      <c r="F137" s="4">
        <v>1856.4</v>
      </c>
      <c r="G137" s="4">
        <v>1845.06</v>
      </c>
      <c r="H137" s="1" t="s">
        <v>1413</v>
      </c>
      <c r="I137" s="1" t="s">
        <v>1416</v>
      </c>
      <c r="J137" s="1" t="s">
        <v>1418</v>
      </c>
      <c r="K137" s="1">
        <f t="shared" si="2"/>
        <v>0.007134138071</v>
      </c>
      <c r="L137" s="7">
        <v>-0.004435249268390173</v>
      </c>
      <c r="M137" s="8">
        <f t="shared" si="1"/>
        <v>5292961</v>
      </c>
    </row>
    <row r="138">
      <c r="A138" s="9">
        <v>45705.0</v>
      </c>
      <c r="B138" s="4">
        <v>1838.55</v>
      </c>
      <c r="C138" s="4">
        <v>1852.75</v>
      </c>
      <c r="D138" s="4">
        <v>1822.15</v>
      </c>
      <c r="E138" s="4">
        <v>1856.4</v>
      </c>
      <c r="F138" s="4">
        <v>1842.3</v>
      </c>
      <c r="G138" s="4">
        <v>1838.63</v>
      </c>
      <c r="H138" s="1" t="s">
        <v>1427</v>
      </c>
      <c r="I138" s="1" t="s">
        <v>1428</v>
      </c>
      <c r="J138" s="1" t="s">
        <v>1429</v>
      </c>
      <c r="K138" s="1">
        <f t="shared" si="2"/>
        <v>-0.007595345831</v>
      </c>
      <c r="L138" s="7">
        <v>0.001319275597762683</v>
      </c>
      <c r="M138" s="8">
        <f t="shared" si="1"/>
        <v>4428956</v>
      </c>
    </row>
    <row r="139">
      <c r="A139" s="9">
        <v>45706.0</v>
      </c>
      <c r="B139" s="4">
        <v>1842.3</v>
      </c>
      <c r="C139" s="4">
        <v>1861.65</v>
      </c>
      <c r="D139" s="4">
        <v>1837.6</v>
      </c>
      <c r="E139" s="4">
        <v>1842.3</v>
      </c>
      <c r="F139" s="4">
        <v>1851.95</v>
      </c>
      <c r="G139" s="4">
        <v>1848.81</v>
      </c>
      <c r="H139" s="1" t="s">
        <v>1438</v>
      </c>
      <c r="I139" s="1" t="s">
        <v>1439</v>
      </c>
      <c r="J139" s="1" t="s">
        <v>1441</v>
      </c>
      <c r="K139" s="1">
        <f t="shared" si="2"/>
        <v>0.005238017695</v>
      </c>
      <c r="L139" s="7">
        <v>-6.184803676038558E-4</v>
      </c>
      <c r="M139" s="8">
        <f t="shared" si="1"/>
        <v>4365260</v>
      </c>
    </row>
    <row r="140">
      <c r="A140" s="9">
        <v>45707.0</v>
      </c>
      <c r="B140" s="4">
        <v>1847.4</v>
      </c>
      <c r="C140" s="4">
        <v>1849.2</v>
      </c>
      <c r="D140" s="4">
        <v>1805.9</v>
      </c>
      <c r="E140" s="4">
        <v>1851.95</v>
      </c>
      <c r="F140" s="4">
        <v>1810.8</v>
      </c>
      <c r="G140" s="4">
        <v>1820.83</v>
      </c>
      <c r="H140" s="1" t="s">
        <v>1445</v>
      </c>
      <c r="I140" s="1" t="s">
        <v>1447</v>
      </c>
      <c r="J140" s="1" t="s">
        <v>1449</v>
      </c>
      <c r="K140" s="1">
        <f t="shared" si="2"/>
        <v>-0.02221982235</v>
      </c>
      <c r="L140" s="7">
        <v>-5.404156842576832E-4</v>
      </c>
      <c r="M140" s="8">
        <f t="shared" si="1"/>
        <v>4611411</v>
      </c>
    </row>
    <row r="141">
      <c r="A141" s="9">
        <v>45708.0</v>
      </c>
      <c r="B141" s="4">
        <v>1805.55</v>
      </c>
      <c r="C141" s="4">
        <v>1831.0</v>
      </c>
      <c r="D141" s="4">
        <v>1805.55</v>
      </c>
      <c r="E141" s="4">
        <v>1810.8</v>
      </c>
      <c r="F141" s="4">
        <v>1825.15</v>
      </c>
      <c r="G141" s="4">
        <v>1822.29</v>
      </c>
      <c r="H141" s="1" t="s">
        <v>1457</v>
      </c>
      <c r="I141" s="1" t="s">
        <v>1458</v>
      </c>
      <c r="J141" s="1" t="s">
        <v>1459</v>
      </c>
      <c r="K141" s="1">
        <f t="shared" si="2"/>
        <v>0.007924674177</v>
      </c>
      <c r="L141" s="7">
        <v>-8.612081332932162E-4</v>
      </c>
      <c r="M141" s="8">
        <f t="shared" si="1"/>
        <v>2218020</v>
      </c>
    </row>
    <row r="142">
      <c r="A142" s="9">
        <v>45709.0</v>
      </c>
      <c r="B142" s="4">
        <v>1821.8</v>
      </c>
      <c r="C142" s="4">
        <v>1829.85</v>
      </c>
      <c r="D142" s="4">
        <v>1806.2</v>
      </c>
      <c r="E142" s="4">
        <v>1825.15</v>
      </c>
      <c r="F142" s="4">
        <v>1815.0</v>
      </c>
      <c r="G142" s="4">
        <v>1817.56</v>
      </c>
      <c r="H142" s="1" t="s">
        <v>1467</v>
      </c>
      <c r="I142" s="1" t="s">
        <v>1469</v>
      </c>
      <c r="J142" s="1" t="s">
        <v>1470</v>
      </c>
      <c r="K142" s="1">
        <f t="shared" si="2"/>
        <v>-0.005561186752</v>
      </c>
      <c r="L142" s="7">
        <v>-0.005117148886119979</v>
      </c>
      <c r="M142" s="8">
        <f t="shared" si="1"/>
        <v>3379879</v>
      </c>
    </row>
    <row r="143">
      <c r="A143" s="9">
        <v>45712.0</v>
      </c>
      <c r="B143" s="4">
        <v>1800.05</v>
      </c>
      <c r="C143" s="4">
        <v>1808.0</v>
      </c>
      <c r="D143" s="4">
        <v>1750.25</v>
      </c>
      <c r="E143" s="4">
        <v>1815.0</v>
      </c>
      <c r="F143" s="4">
        <v>1764.1</v>
      </c>
      <c r="G143" s="4">
        <v>1766.73</v>
      </c>
      <c r="H143" s="1" t="s">
        <v>1477</v>
      </c>
      <c r="I143" s="1" t="s">
        <v>1478</v>
      </c>
      <c r="J143" s="1" t="s">
        <v>1479</v>
      </c>
      <c r="K143" s="1">
        <f t="shared" si="2"/>
        <v>-0.02804407713</v>
      </c>
      <c r="L143" s="7">
        <v>-0.010640071240881163</v>
      </c>
      <c r="M143" s="8">
        <f t="shared" si="1"/>
        <v>7594720</v>
      </c>
    </row>
    <row r="144">
      <c r="A144" s="9">
        <v>45713.0</v>
      </c>
      <c r="B144" s="4">
        <v>1745.15</v>
      </c>
      <c r="C144" s="4">
        <v>1778.45</v>
      </c>
      <c r="D144" s="4">
        <v>1745.15</v>
      </c>
      <c r="E144" s="4">
        <v>1764.1</v>
      </c>
      <c r="F144" s="4">
        <v>1767.7</v>
      </c>
      <c r="G144" s="4">
        <v>1766.12</v>
      </c>
      <c r="H144" s="1" t="s">
        <v>1486</v>
      </c>
      <c r="I144" s="1" t="s">
        <v>1487</v>
      </c>
      <c r="J144" s="1" t="s">
        <v>1488</v>
      </c>
      <c r="K144" s="1">
        <f t="shared" si="2"/>
        <v>0.002040700641</v>
      </c>
      <c r="L144" s="7">
        <v>-2.571680038663557E-4</v>
      </c>
      <c r="M144" s="8">
        <f t="shared" si="1"/>
        <v>5092963</v>
      </c>
    </row>
    <row r="145">
      <c r="A145" s="9">
        <v>45715.0</v>
      </c>
      <c r="B145" s="4">
        <v>1755.2</v>
      </c>
      <c r="C145" s="4">
        <v>1775.85</v>
      </c>
      <c r="D145" s="4">
        <v>1751.1</v>
      </c>
      <c r="E145" s="4">
        <v>1767.7</v>
      </c>
      <c r="F145" s="4">
        <v>1764.3</v>
      </c>
      <c r="G145" s="4">
        <v>1763.43</v>
      </c>
      <c r="H145" s="1" t="s">
        <v>1498</v>
      </c>
      <c r="I145" s="1" t="s">
        <v>1499</v>
      </c>
      <c r="J145" s="1" t="s">
        <v>1500</v>
      </c>
      <c r="K145" s="1">
        <f t="shared" si="2"/>
        <v>-0.001923403292</v>
      </c>
      <c r="L145" s="7">
        <v>-1.1087679149175853E-4</v>
      </c>
      <c r="M145" s="8">
        <f t="shared" si="1"/>
        <v>5757079</v>
      </c>
    </row>
    <row r="146">
      <c r="A146" s="9">
        <v>45716.0</v>
      </c>
      <c r="B146" s="4">
        <v>1755.05</v>
      </c>
      <c r="C146" s="4">
        <v>1755.1</v>
      </c>
      <c r="D146" s="4">
        <v>1682.45</v>
      </c>
      <c r="E146" s="4">
        <v>1764.3</v>
      </c>
      <c r="F146" s="4">
        <v>1687.7</v>
      </c>
      <c r="G146" s="4">
        <v>1694.54</v>
      </c>
      <c r="H146" s="1" t="s">
        <v>1509</v>
      </c>
      <c r="I146" s="1" t="s">
        <v>1512</v>
      </c>
      <c r="J146" s="1" t="s">
        <v>1515</v>
      </c>
      <c r="K146" s="1">
        <f t="shared" si="2"/>
        <v>-0.0434166525</v>
      </c>
      <c r="L146" s="7">
        <v>-0.018644891007116797</v>
      </c>
      <c r="M146" s="8">
        <f t="shared" si="1"/>
        <v>12182167</v>
      </c>
    </row>
    <row r="147">
      <c r="A147" s="3">
        <v>45719.0</v>
      </c>
      <c r="B147" s="4">
        <v>1692.3</v>
      </c>
      <c r="C147" s="4">
        <v>1728.6</v>
      </c>
      <c r="D147" s="4">
        <v>1692.3</v>
      </c>
      <c r="E147" s="4">
        <v>1687.7</v>
      </c>
      <c r="F147" s="4">
        <v>1708.6</v>
      </c>
      <c r="G147" s="4">
        <v>1711.06</v>
      </c>
      <c r="H147" s="1" t="s">
        <v>1522</v>
      </c>
      <c r="I147" s="1" t="s">
        <v>1523</v>
      </c>
      <c r="J147" s="1" t="s">
        <v>1524</v>
      </c>
      <c r="K147" s="1">
        <f t="shared" si="2"/>
        <v>0.01238371749</v>
      </c>
      <c r="L147" s="7">
        <v>-2.4407110604896133E-4</v>
      </c>
      <c r="M147" s="8">
        <f t="shared" si="1"/>
        <v>7504969</v>
      </c>
    </row>
    <row r="148">
      <c r="A148" s="3">
        <v>45720.0</v>
      </c>
      <c r="B148" s="4">
        <v>1695.0</v>
      </c>
      <c r="C148" s="4">
        <v>1699.0</v>
      </c>
      <c r="D148" s="4">
        <v>1670.0</v>
      </c>
      <c r="E148" s="4">
        <v>1708.6</v>
      </c>
      <c r="F148" s="4">
        <v>1688.3</v>
      </c>
      <c r="G148" s="4">
        <v>1686.14</v>
      </c>
      <c r="H148" s="1" t="s">
        <v>1534</v>
      </c>
      <c r="I148" s="1" t="s">
        <v>1535</v>
      </c>
      <c r="J148" s="1" t="s">
        <v>1536</v>
      </c>
      <c r="K148" s="1">
        <f t="shared" si="2"/>
        <v>-0.01188107222</v>
      </c>
      <c r="L148" s="7">
        <v>-0.001656924043708337</v>
      </c>
      <c r="M148" s="8">
        <f t="shared" si="1"/>
        <v>6759673</v>
      </c>
    </row>
    <row r="149">
      <c r="A149" s="3">
        <v>45721.0</v>
      </c>
      <c r="B149" s="4">
        <v>1692.45</v>
      </c>
      <c r="C149" s="4">
        <v>1732.95</v>
      </c>
      <c r="D149" s="4">
        <v>1692.45</v>
      </c>
      <c r="E149" s="4">
        <v>1688.3</v>
      </c>
      <c r="F149" s="4">
        <v>1711.5</v>
      </c>
      <c r="G149" s="4">
        <v>1714.51</v>
      </c>
      <c r="H149" s="1" t="s">
        <v>1540</v>
      </c>
      <c r="I149" s="1" t="s">
        <v>1541</v>
      </c>
      <c r="J149" s="1" t="s">
        <v>1542</v>
      </c>
      <c r="K149" s="1">
        <f t="shared" si="2"/>
        <v>0.0137416336</v>
      </c>
      <c r="L149" s="7">
        <v>0.011531677583985519</v>
      </c>
      <c r="M149" s="8">
        <f t="shared" si="1"/>
        <v>8180782</v>
      </c>
    </row>
    <row r="150">
      <c r="A150" s="3">
        <v>45722.0</v>
      </c>
      <c r="B150" s="4">
        <v>1715.0</v>
      </c>
      <c r="C150" s="4">
        <v>1722.3</v>
      </c>
      <c r="D150" s="4">
        <v>1691.1</v>
      </c>
      <c r="E150" s="4">
        <v>1711.5</v>
      </c>
      <c r="F150" s="4">
        <v>1715.85</v>
      </c>
      <c r="G150" s="4">
        <v>1709.66</v>
      </c>
      <c r="H150" s="1" t="s">
        <v>1547</v>
      </c>
      <c r="I150" s="1" t="s">
        <v>1548</v>
      </c>
      <c r="J150" s="1" t="s">
        <v>1549</v>
      </c>
      <c r="K150" s="1">
        <f t="shared" si="2"/>
        <v>0.002541630149</v>
      </c>
      <c r="L150" s="7">
        <v>0.009284918051868466</v>
      </c>
      <c r="M150" s="8">
        <f t="shared" si="1"/>
        <v>10610547</v>
      </c>
    </row>
    <row r="151">
      <c r="A151" s="3">
        <v>45723.0</v>
      </c>
      <c r="B151" s="4">
        <v>1703.1</v>
      </c>
      <c r="C151" s="4">
        <v>1705.0</v>
      </c>
      <c r="D151" s="4">
        <v>1675.5</v>
      </c>
      <c r="E151" s="4">
        <v>1715.85</v>
      </c>
      <c r="F151" s="4">
        <v>1686.0</v>
      </c>
      <c r="G151" s="4">
        <v>1686.32</v>
      </c>
      <c r="H151" s="1" t="s">
        <v>1558</v>
      </c>
      <c r="I151" s="1" t="s">
        <v>1559</v>
      </c>
      <c r="J151" s="1" t="s">
        <v>1560</v>
      </c>
      <c r="K151" s="1">
        <f t="shared" si="2"/>
        <v>-0.01739662558</v>
      </c>
      <c r="L151" s="7">
        <v>3.459793210820846E-4</v>
      </c>
      <c r="M151" s="8">
        <f t="shared" si="1"/>
        <v>8019331</v>
      </c>
    </row>
    <row r="152">
      <c r="A152" s="9">
        <v>45726.0</v>
      </c>
      <c r="B152" s="4">
        <v>1686.0</v>
      </c>
      <c r="C152" s="4">
        <v>1719.0</v>
      </c>
      <c r="D152" s="4">
        <v>1676.2</v>
      </c>
      <c r="E152" s="4">
        <v>1686.0</v>
      </c>
      <c r="F152" s="4">
        <v>1701.45</v>
      </c>
      <c r="G152" s="4">
        <v>1703.14</v>
      </c>
      <c r="H152" s="1" t="s">
        <v>1569</v>
      </c>
      <c r="I152" s="1" t="s">
        <v>1571</v>
      </c>
      <c r="J152" s="1" t="s">
        <v>1572</v>
      </c>
      <c r="K152" s="1">
        <f t="shared" si="2"/>
        <v>0.009163701068</v>
      </c>
      <c r="L152" s="7">
        <v>-0.004088238554484014</v>
      </c>
      <c r="M152" s="8">
        <f t="shared" si="1"/>
        <v>7558981</v>
      </c>
    </row>
    <row r="153">
      <c r="A153" s="9">
        <v>45727.0</v>
      </c>
      <c r="B153" s="4">
        <v>1680.0</v>
      </c>
      <c r="C153" s="4">
        <v>1680.0</v>
      </c>
      <c r="D153" s="4">
        <v>1637.05</v>
      </c>
      <c r="E153" s="4">
        <v>1701.45</v>
      </c>
      <c r="F153" s="4">
        <v>1661.6</v>
      </c>
      <c r="G153" s="4">
        <v>1655.07</v>
      </c>
      <c r="H153" s="1" t="s">
        <v>1578</v>
      </c>
      <c r="I153" s="1" t="s">
        <v>1580</v>
      </c>
      <c r="J153" s="1" t="s">
        <v>1581</v>
      </c>
      <c r="K153" s="1">
        <f t="shared" si="2"/>
        <v>-0.02342119957</v>
      </c>
      <c r="L153" s="7">
        <v>0.0016740649056335927</v>
      </c>
      <c r="M153" s="8">
        <f t="shared" si="1"/>
        <v>12671234</v>
      </c>
    </row>
    <row r="154">
      <c r="A154" s="9">
        <v>45728.0</v>
      </c>
      <c r="B154" s="4">
        <v>1636.9</v>
      </c>
      <c r="C154" s="4">
        <v>1636.9</v>
      </c>
      <c r="D154" s="4">
        <v>1563.8</v>
      </c>
      <c r="E154" s="4">
        <v>1661.6</v>
      </c>
      <c r="F154" s="4">
        <v>1590.85</v>
      </c>
      <c r="G154" s="4">
        <v>1586.51</v>
      </c>
      <c r="H154" s="1" t="s">
        <v>1585</v>
      </c>
      <c r="I154" s="1" t="s">
        <v>1586</v>
      </c>
      <c r="J154" s="1" t="s">
        <v>1588</v>
      </c>
      <c r="K154" s="1">
        <f t="shared" si="2"/>
        <v>-0.0425794415</v>
      </c>
      <c r="L154" s="7">
        <v>-0.0012178914476462894</v>
      </c>
      <c r="M154" s="8">
        <f t="shared" si="1"/>
        <v>14870008</v>
      </c>
    </row>
    <row r="155">
      <c r="A155" s="9">
        <v>45729.0</v>
      </c>
      <c r="B155" s="4">
        <v>1599.25</v>
      </c>
      <c r="C155" s="4">
        <v>1606.05</v>
      </c>
      <c r="D155" s="4">
        <v>1570.3</v>
      </c>
      <c r="E155" s="4">
        <v>1590.85</v>
      </c>
      <c r="F155" s="4">
        <v>1579.85</v>
      </c>
      <c r="G155" s="4">
        <v>1582.31</v>
      </c>
      <c r="H155" s="1" t="s">
        <v>1594</v>
      </c>
      <c r="I155" s="1" t="s">
        <v>1597</v>
      </c>
      <c r="J155" s="1" t="s">
        <v>1600</v>
      </c>
      <c r="K155" s="1">
        <f t="shared" si="2"/>
        <v>-0.00691454254</v>
      </c>
      <c r="L155" s="7">
        <v>-0.003262054693932012</v>
      </c>
      <c r="M155" s="8">
        <f t="shared" si="1"/>
        <v>7822888</v>
      </c>
    </row>
    <row r="156">
      <c r="A156" s="9">
        <v>45733.0</v>
      </c>
      <c r="B156" s="4">
        <v>1545.15</v>
      </c>
      <c r="C156" s="4">
        <v>1594.0</v>
      </c>
      <c r="D156" s="4">
        <v>1545.15</v>
      </c>
      <c r="E156" s="4">
        <v>1579.85</v>
      </c>
      <c r="F156" s="4">
        <v>1590.05</v>
      </c>
      <c r="G156" s="4">
        <v>1581.7</v>
      </c>
      <c r="H156" s="1" t="s">
        <v>1609</v>
      </c>
      <c r="I156" s="1" t="s">
        <v>1610</v>
      </c>
      <c r="J156" s="1" t="s">
        <v>1611</v>
      </c>
      <c r="K156" s="1">
        <f t="shared" si="2"/>
        <v>0.006456309143</v>
      </c>
      <c r="L156" s="7">
        <v>0.0049805332809458</v>
      </c>
      <c r="M156" s="8">
        <f t="shared" si="1"/>
        <v>7526032</v>
      </c>
    </row>
    <row r="157">
      <c r="A157" s="9">
        <v>45734.0</v>
      </c>
      <c r="B157" s="4">
        <v>1597.65</v>
      </c>
      <c r="C157" s="4">
        <v>1612.9</v>
      </c>
      <c r="D157" s="4">
        <v>1582.35</v>
      </c>
      <c r="E157" s="4">
        <v>1590.05</v>
      </c>
      <c r="F157" s="4">
        <v>1609.35</v>
      </c>
      <c r="G157" s="4">
        <v>1602.43</v>
      </c>
      <c r="H157" s="1" t="s">
        <v>1618</v>
      </c>
      <c r="I157" s="1" t="s">
        <v>1620</v>
      </c>
      <c r="J157" s="1" t="s">
        <v>1621</v>
      </c>
      <c r="K157" s="1">
        <f t="shared" si="2"/>
        <v>0.01213798308</v>
      </c>
      <c r="L157" s="7">
        <v>0.014463264286110925</v>
      </c>
      <c r="M157" s="8">
        <f t="shared" si="1"/>
        <v>6298054</v>
      </c>
    </row>
    <row r="158">
      <c r="A158" s="9">
        <v>45735.0</v>
      </c>
      <c r="B158" s="4">
        <v>1603.0</v>
      </c>
      <c r="C158" s="4">
        <v>1603.0</v>
      </c>
      <c r="D158" s="4">
        <v>1572.8</v>
      </c>
      <c r="E158" s="4">
        <v>1609.35</v>
      </c>
      <c r="F158" s="4">
        <v>1586.55</v>
      </c>
      <c r="G158" s="4">
        <v>1583.14</v>
      </c>
      <c r="H158" s="1" t="s">
        <v>1627</v>
      </c>
      <c r="I158" s="1" t="s">
        <v>1628</v>
      </c>
      <c r="J158" s="1" t="s">
        <v>1629</v>
      </c>
      <c r="K158" s="1">
        <f t="shared" si="2"/>
        <v>-0.01416721036</v>
      </c>
      <c r="L158" s="7">
        <v>0.0032100830767748203</v>
      </c>
      <c r="M158" s="8">
        <f t="shared" si="1"/>
        <v>7387068</v>
      </c>
    </row>
    <row r="159">
      <c r="A159" s="9">
        <v>45736.0</v>
      </c>
      <c r="B159" s="4">
        <v>1592.0</v>
      </c>
      <c r="C159" s="4">
        <v>1631.9</v>
      </c>
      <c r="D159" s="4">
        <v>1592.0</v>
      </c>
      <c r="E159" s="4">
        <v>1586.55</v>
      </c>
      <c r="F159" s="4">
        <v>1615.55</v>
      </c>
      <c r="G159" s="4">
        <v>1616.31</v>
      </c>
      <c r="H159" s="1" t="s">
        <v>1639</v>
      </c>
      <c r="I159" s="1" t="s">
        <v>1640</v>
      </c>
      <c r="J159" s="1" t="s">
        <v>1641</v>
      </c>
      <c r="K159" s="1">
        <f t="shared" si="2"/>
        <v>0.01827865494</v>
      </c>
      <c r="L159" s="7">
        <v>0.0123561612739878</v>
      </c>
      <c r="M159" s="8">
        <f t="shared" si="1"/>
        <v>7186750</v>
      </c>
    </row>
    <row r="160">
      <c r="A160" s="9">
        <v>45737.0</v>
      </c>
      <c r="B160" s="4">
        <v>1577.95</v>
      </c>
      <c r="C160" s="4">
        <v>1603.9</v>
      </c>
      <c r="D160" s="4">
        <v>1563.65</v>
      </c>
      <c r="E160" s="4">
        <v>1615.55</v>
      </c>
      <c r="F160" s="4">
        <v>1592.55</v>
      </c>
      <c r="G160" s="4">
        <v>1591.34</v>
      </c>
      <c r="H160" s="1" t="s">
        <v>1648</v>
      </c>
      <c r="I160" s="1" t="s">
        <v>1649</v>
      </c>
      <c r="J160" s="1" t="s">
        <v>1650</v>
      </c>
      <c r="K160" s="1">
        <f t="shared" si="2"/>
        <v>-0.01423663768</v>
      </c>
      <c r="L160" s="7">
        <v>0.0068885520673202345</v>
      </c>
      <c r="M160" s="8">
        <f t="shared" si="1"/>
        <v>10074677</v>
      </c>
    </row>
    <row r="161">
      <c r="A161" s="9">
        <v>45740.0</v>
      </c>
      <c r="B161" s="4">
        <v>1597.95</v>
      </c>
      <c r="C161" s="4">
        <v>1607.1</v>
      </c>
      <c r="D161" s="4">
        <v>1572.7</v>
      </c>
      <c r="E161" s="4">
        <v>1592.55</v>
      </c>
      <c r="F161" s="4">
        <v>1592.75</v>
      </c>
      <c r="G161" s="4">
        <v>1588.76</v>
      </c>
      <c r="H161" s="1" t="s">
        <v>1658</v>
      </c>
      <c r="I161" s="1" t="s">
        <v>1660</v>
      </c>
      <c r="J161" s="1" t="s">
        <v>1661</v>
      </c>
      <c r="K161" s="1">
        <f t="shared" si="2"/>
        <v>0.000125584754</v>
      </c>
      <c r="L161" s="7">
        <v>0.013188210908592447</v>
      </c>
      <c r="M161" s="8">
        <f t="shared" si="1"/>
        <v>8857726</v>
      </c>
    </row>
    <row r="162">
      <c r="A162" s="9">
        <v>45741.0</v>
      </c>
      <c r="B162" s="4">
        <v>1605.0</v>
      </c>
      <c r="C162" s="4">
        <v>1636.15</v>
      </c>
      <c r="D162" s="4">
        <v>1605.0</v>
      </c>
      <c r="E162" s="4">
        <v>1592.75</v>
      </c>
      <c r="F162" s="4">
        <v>1628.45</v>
      </c>
      <c r="G162" s="4">
        <v>1626.09</v>
      </c>
      <c r="H162" s="1" t="s">
        <v>1666</v>
      </c>
      <c r="I162" s="1" t="s">
        <v>1667</v>
      </c>
      <c r="J162" s="1" t="s">
        <v>1668</v>
      </c>
      <c r="K162" s="1">
        <f t="shared" si="2"/>
        <v>0.02241406373</v>
      </c>
      <c r="L162" s="7">
        <v>4.353642582852528E-4</v>
      </c>
      <c r="M162" s="8">
        <f t="shared" si="1"/>
        <v>9890140</v>
      </c>
    </row>
    <row r="163">
      <c r="A163" s="9">
        <v>45742.0</v>
      </c>
      <c r="B163" s="4">
        <v>1626.0</v>
      </c>
      <c r="C163" s="4">
        <v>1637.75</v>
      </c>
      <c r="D163" s="4">
        <v>1595.0</v>
      </c>
      <c r="E163" s="4">
        <v>1628.45</v>
      </c>
      <c r="F163" s="4">
        <v>1599.45</v>
      </c>
      <c r="G163" s="4">
        <v>1610.78</v>
      </c>
      <c r="H163" s="1" t="s">
        <v>1677</v>
      </c>
      <c r="I163" s="1" t="s">
        <v>1679</v>
      </c>
      <c r="J163" s="1" t="s">
        <v>1680</v>
      </c>
      <c r="K163" s="1">
        <f t="shared" si="2"/>
        <v>-0.01780834536</v>
      </c>
      <c r="L163" s="7">
        <v>-0.007681046447516141</v>
      </c>
      <c r="M163" s="8">
        <f t="shared" si="1"/>
        <v>6651302</v>
      </c>
    </row>
    <row r="164">
      <c r="A164" s="9">
        <v>45743.0</v>
      </c>
      <c r="B164" s="4">
        <v>1595.55</v>
      </c>
      <c r="C164" s="4">
        <v>1619.95</v>
      </c>
      <c r="D164" s="4">
        <v>1586.0</v>
      </c>
      <c r="E164" s="4">
        <v>1599.45</v>
      </c>
      <c r="F164" s="4">
        <v>1603.55</v>
      </c>
      <c r="G164" s="4">
        <v>1601.41</v>
      </c>
      <c r="H164" s="1" t="s">
        <v>1685</v>
      </c>
      <c r="I164" s="1" t="s">
        <v>1686</v>
      </c>
      <c r="J164" s="1" t="s">
        <v>1688</v>
      </c>
      <c r="K164" s="1">
        <f t="shared" si="2"/>
        <v>0.002563381162</v>
      </c>
      <c r="L164" s="7">
        <v>0.004474844434226054</v>
      </c>
      <c r="M164" s="8">
        <f t="shared" si="1"/>
        <v>9426573</v>
      </c>
    </row>
    <row r="165">
      <c r="A165" s="9">
        <v>45744.0</v>
      </c>
      <c r="B165" s="4">
        <v>1590.0</v>
      </c>
      <c r="C165" s="4">
        <v>1598.45</v>
      </c>
      <c r="D165" s="4">
        <v>1560.0</v>
      </c>
      <c r="E165" s="4">
        <v>1603.55</v>
      </c>
      <c r="F165" s="4">
        <v>1570.65</v>
      </c>
      <c r="G165" s="4">
        <v>1576.42</v>
      </c>
      <c r="H165" s="1" t="s">
        <v>1695</v>
      </c>
      <c r="I165" s="1" t="s">
        <v>1696</v>
      </c>
      <c r="J165" s="1" t="s">
        <v>1697</v>
      </c>
      <c r="K165" s="1">
        <f t="shared" si="2"/>
        <v>-0.02051697796</v>
      </c>
      <c r="L165" s="7">
        <v>-0.003077320865803894</v>
      </c>
      <c r="M165" s="8">
        <f t="shared" si="1"/>
        <v>6799047</v>
      </c>
    </row>
    <row r="166">
      <c r="A166" s="3">
        <v>45748.0</v>
      </c>
      <c r="B166" s="4">
        <v>1539.25</v>
      </c>
      <c r="C166" s="4">
        <v>1547.4</v>
      </c>
      <c r="D166" s="4">
        <v>1517.85</v>
      </c>
      <c r="E166" s="4">
        <v>1570.65</v>
      </c>
      <c r="F166" s="4">
        <v>1526.5</v>
      </c>
      <c r="G166" s="4">
        <v>1529.41</v>
      </c>
      <c r="H166" s="1" t="s">
        <v>1707</v>
      </c>
      <c r="I166" s="1" t="s">
        <v>1708</v>
      </c>
      <c r="J166" s="1" t="s">
        <v>1709</v>
      </c>
      <c r="K166" s="1">
        <f t="shared" si="2"/>
        <v>-0.02810938147</v>
      </c>
      <c r="L166" s="7">
        <v>-0.015036555006834706</v>
      </c>
      <c r="M166" s="8">
        <f t="shared" si="1"/>
        <v>12680733</v>
      </c>
    </row>
    <row r="167">
      <c r="A167" s="3">
        <v>45749.0</v>
      </c>
      <c r="B167" s="4">
        <v>1535.2</v>
      </c>
      <c r="C167" s="4">
        <v>1555.65</v>
      </c>
      <c r="D167" s="4">
        <v>1535.2</v>
      </c>
      <c r="E167" s="4">
        <v>1526.5</v>
      </c>
      <c r="F167" s="4">
        <v>1550.15</v>
      </c>
      <c r="G167" s="4">
        <v>1547.09</v>
      </c>
      <c r="H167" s="1" t="s">
        <v>1716</v>
      </c>
      <c r="I167" s="1" t="s">
        <v>1719</v>
      </c>
      <c r="J167" s="1" t="s">
        <v>1720</v>
      </c>
      <c r="K167" s="1">
        <f t="shared" si="2"/>
        <v>0.01549295775</v>
      </c>
      <c r="L167" s="7">
        <v>0.007193825353863592</v>
      </c>
      <c r="M167" s="8">
        <f t="shared" si="1"/>
        <v>6193478</v>
      </c>
    </row>
    <row r="168">
      <c r="A168" s="3">
        <v>45750.0</v>
      </c>
      <c r="B168" s="4">
        <v>1534.65</v>
      </c>
      <c r="C168" s="4">
        <v>1534.65</v>
      </c>
      <c r="D168" s="4">
        <v>1485.05</v>
      </c>
      <c r="E168" s="4">
        <v>1550.15</v>
      </c>
      <c r="F168" s="4">
        <v>1496.5</v>
      </c>
      <c r="G168" s="4">
        <v>1499.79</v>
      </c>
      <c r="H168" s="1" t="s">
        <v>1722</v>
      </c>
      <c r="I168" s="1" t="s">
        <v>1724</v>
      </c>
      <c r="J168" s="1" t="s">
        <v>1727</v>
      </c>
      <c r="K168" s="1">
        <f t="shared" si="2"/>
        <v>-0.03460955391</v>
      </c>
      <c r="L168" s="7">
        <v>-0.0035251485598321647</v>
      </c>
      <c r="M168" s="8">
        <f t="shared" si="1"/>
        <v>10459504</v>
      </c>
    </row>
    <row r="169">
      <c r="A169" s="3">
        <v>45751.0</v>
      </c>
      <c r="B169" s="4">
        <v>1460.5</v>
      </c>
      <c r="C169" s="4">
        <v>1472.0</v>
      </c>
      <c r="D169" s="4">
        <v>1448.0</v>
      </c>
      <c r="E169" s="4">
        <v>1496.5</v>
      </c>
      <c r="F169" s="4">
        <v>1451.65</v>
      </c>
      <c r="G169" s="4">
        <v>1458.65</v>
      </c>
      <c r="H169" s="1" t="s">
        <v>1733</v>
      </c>
      <c r="I169" s="1" t="s">
        <v>1734</v>
      </c>
      <c r="J169" s="1" t="s">
        <v>1735</v>
      </c>
      <c r="K169" s="1">
        <f t="shared" si="2"/>
        <v>-0.02996992984</v>
      </c>
      <c r="L169" s="7">
        <v>-0.014866602724289265</v>
      </c>
      <c r="M169" s="8">
        <f t="shared" si="1"/>
        <v>9590254</v>
      </c>
    </row>
    <row r="170">
      <c r="A170" s="3">
        <v>45754.0</v>
      </c>
      <c r="B170" s="4">
        <v>1352.0</v>
      </c>
      <c r="C170" s="4">
        <v>1405.9</v>
      </c>
      <c r="D170" s="4">
        <v>1307.0</v>
      </c>
      <c r="E170" s="4">
        <v>1451.65</v>
      </c>
      <c r="F170" s="4">
        <v>1396.75</v>
      </c>
      <c r="G170" s="4">
        <v>1365.23</v>
      </c>
      <c r="H170" s="1" t="s">
        <v>1742</v>
      </c>
      <c r="I170" s="1" t="s">
        <v>1743</v>
      </c>
      <c r="J170" s="1" t="s">
        <v>1745</v>
      </c>
      <c r="K170" s="1">
        <f t="shared" si="2"/>
        <v>-0.03781903351</v>
      </c>
      <c r="L170" s="7">
        <v>-0.03243256223135688</v>
      </c>
      <c r="M170" s="8">
        <f t="shared" si="1"/>
        <v>21715252</v>
      </c>
    </row>
    <row r="171">
      <c r="A171" s="3">
        <v>45755.0</v>
      </c>
      <c r="B171" s="4">
        <v>1431.0</v>
      </c>
      <c r="C171" s="4">
        <v>1456.5</v>
      </c>
      <c r="D171" s="4">
        <v>1415.0</v>
      </c>
      <c r="E171" s="4">
        <v>1396.75</v>
      </c>
      <c r="F171" s="4">
        <v>1428.8</v>
      </c>
      <c r="G171" s="4">
        <v>1435.73</v>
      </c>
      <c r="H171" s="1" t="s">
        <v>1753</v>
      </c>
      <c r="I171" s="1" t="s">
        <v>1755</v>
      </c>
      <c r="J171" s="1" t="s">
        <v>1756</v>
      </c>
      <c r="K171" s="1">
        <f t="shared" si="2"/>
        <v>0.02294612493</v>
      </c>
      <c r="L171" s="7">
        <v>0.016887318605154862</v>
      </c>
      <c r="M171" s="8">
        <f t="shared" si="1"/>
        <v>12805001</v>
      </c>
    </row>
    <row r="172">
      <c r="A172" s="3">
        <v>45756.0</v>
      </c>
      <c r="B172" s="4">
        <v>1405.05</v>
      </c>
      <c r="C172" s="4">
        <v>1409.45</v>
      </c>
      <c r="D172" s="4">
        <v>1381.9</v>
      </c>
      <c r="E172" s="4">
        <v>1428.8</v>
      </c>
      <c r="F172" s="4">
        <v>1403.7</v>
      </c>
      <c r="G172" s="4">
        <v>1396.23</v>
      </c>
      <c r="H172" s="1" t="s">
        <v>1762</v>
      </c>
      <c r="I172" s="1" t="s">
        <v>1763</v>
      </c>
      <c r="J172" s="1" t="s">
        <v>1764</v>
      </c>
      <c r="K172" s="1">
        <f t="shared" si="2"/>
        <v>-0.01756718925</v>
      </c>
      <c r="L172" s="7">
        <v>-0.00606589056991403</v>
      </c>
      <c r="M172" s="8">
        <f t="shared" si="1"/>
        <v>8546854</v>
      </c>
    </row>
    <row r="173">
      <c r="A173" s="9">
        <v>45758.0</v>
      </c>
      <c r="B173" s="4">
        <v>1411.25</v>
      </c>
      <c r="C173" s="4">
        <v>1438.8</v>
      </c>
      <c r="D173" s="4">
        <v>1397.05</v>
      </c>
      <c r="E173" s="4">
        <v>1403.7</v>
      </c>
      <c r="F173" s="4">
        <v>1409.45</v>
      </c>
      <c r="G173" s="4">
        <v>1418.1</v>
      </c>
      <c r="H173" s="1" t="s">
        <v>1769</v>
      </c>
      <c r="I173" s="1" t="s">
        <v>1771</v>
      </c>
      <c r="J173" s="1" t="s">
        <v>1773</v>
      </c>
      <c r="K173" s="1">
        <f t="shared" si="2"/>
        <v>0.004096316877</v>
      </c>
      <c r="L173" s="7">
        <v>0.019170370304230196</v>
      </c>
      <c r="M173" s="8">
        <f t="shared" si="1"/>
        <v>12567440</v>
      </c>
    </row>
    <row r="174">
      <c r="A174" s="9">
        <v>45762.0</v>
      </c>
      <c r="B174" s="4">
        <v>1445.6</v>
      </c>
      <c r="C174" s="4">
        <v>1447.7</v>
      </c>
      <c r="D174" s="4">
        <v>1409.0</v>
      </c>
      <c r="E174" s="4">
        <v>1409.45</v>
      </c>
      <c r="F174" s="4">
        <v>1426.0</v>
      </c>
      <c r="G174" s="4">
        <v>1424.37</v>
      </c>
      <c r="H174" s="1" t="s">
        <v>1780</v>
      </c>
      <c r="I174" s="1" t="s">
        <v>1781</v>
      </c>
      <c r="J174" s="1" t="s">
        <v>1784</v>
      </c>
      <c r="K174" s="1">
        <f t="shared" si="2"/>
        <v>0.01174216893</v>
      </c>
      <c r="L174" s="7">
        <v>0.021902398531663203</v>
      </c>
      <c r="M174" s="8">
        <f t="shared" si="1"/>
        <v>10178530</v>
      </c>
    </row>
    <row r="175">
      <c r="A175" s="9">
        <v>45763.0</v>
      </c>
      <c r="B175" s="4">
        <v>1425.0</v>
      </c>
      <c r="C175" s="4">
        <v>1427.5</v>
      </c>
      <c r="D175" s="4">
        <v>1396.8</v>
      </c>
      <c r="E175" s="4">
        <v>1426.0</v>
      </c>
      <c r="F175" s="4">
        <v>1413.1</v>
      </c>
      <c r="G175" s="4">
        <v>1409.87</v>
      </c>
      <c r="H175" s="1" t="s">
        <v>1786</v>
      </c>
      <c r="I175" s="1" t="s">
        <v>1787</v>
      </c>
      <c r="J175" s="1" t="s">
        <v>1788</v>
      </c>
      <c r="K175" s="1">
        <f t="shared" si="2"/>
        <v>-0.00904628331</v>
      </c>
      <c r="L175" s="7">
        <v>0.0046573833350123115</v>
      </c>
      <c r="M175" s="8">
        <f t="shared" si="1"/>
        <v>12022740</v>
      </c>
    </row>
    <row r="176">
      <c r="A176" s="9">
        <v>45764.0</v>
      </c>
      <c r="B176" s="4">
        <v>1398.0</v>
      </c>
      <c r="C176" s="4">
        <v>1429.8</v>
      </c>
      <c r="D176" s="4">
        <v>1378.3</v>
      </c>
      <c r="E176" s="4">
        <v>1413.1</v>
      </c>
      <c r="F176" s="4">
        <v>1419.5</v>
      </c>
      <c r="G176" s="4">
        <v>1400.17</v>
      </c>
      <c r="H176" s="1" t="s">
        <v>1797</v>
      </c>
      <c r="I176" s="1" t="s">
        <v>1798</v>
      </c>
      <c r="J176" s="1" t="s">
        <v>1799</v>
      </c>
      <c r="K176" s="1">
        <f t="shared" si="2"/>
        <v>0.004529049607</v>
      </c>
      <c r="L176" s="7">
        <v>0.017683426347857283</v>
      </c>
      <c r="M176" s="8">
        <f t="shared" si="1"/>
        <v>14264227</v>
      </c>
    </row>
    <row r="177">
      <c r="A177" s="9">
        <v>45768.0</v>
      </c>
      <c r="B177" s="4">
        <v>1410.0</v>
      </c>
      <c r="C177" s="4">
        <v>1471.8</v>
      </c>
      <c r="D177" s="4">
        <v>1410.0</v>
      </c>
      <c r="E177" s="4">
        <v>1419.5</v>
      </c>
      <c r="F177" s="4">
        <v>1451.0</v>
      </c>
      <c r="G177" s="4">
        <v>1452.45</v>
      </c>
      <c r="H177" s="1" t="s">
        <v>1807</v>
      </c>
      <c r="I177" s="1" t="s">
        <v>1809</v>
      </c>
      <c r="J177" s="1" t="s">
        <v>1811</v>
      </c>
      <c r="K177" s="1">
        <f t="shared" si="2"/>
        <v>0.02219091229</v>
      </c>
      <c r="L177" s="7">
        <v>0.011483482274811085</v>
      </c>
      <c r="M177" s="8">
        <f t="shared" si="1"/>
        <v>15648970</v>
      </c>
    </row>
    <row r="178">
      <c r="A178" s="9">
        <v>45769.0</v>
      </c>
      <c r="B178" s="4">
        <v>1440.0</v>
      </c>
      <c r="C178" s="4">
        <v>1440.0</v>
      </c>
      <c r="D178" s="4">
        <v>1419.3</v>
      </c>
      <c r="E178" s="4">
        <v>1451.0</v>
      </c>
      <c r="F178" s="4">
        <v>1422.8</v>
      </c>
      <c r="G178" s="4">
        <v>1425.14</v>
      </c>
      <c r="H178" s="1" t="s">
        <v>1817</v>
      </c>
      <c r="I178" s="1" t="s">
        <v>1818</v>
      </c>
      <c r="J178" s="1" t="s">
        <v>1820</v>
      </c>
      <c r="K178" s="1">
        <f t="shared" si="2"/>
        <v>-0.0194348725</v>
      </c>
      <c r="L178" s="7">
        <v>0.0017284580040662588</v>
      </c>
      <c r="M178" s="8">
        <f t="shared" si="1"/>
        <v>9399738</v>
      </c>
    </row>
    <row r="179">
      <c r="A179" s="9">
        <v>45770.0</v>
      </c>
      <c r="B179" s="4">
        <v>1446.0</v>
      </c>
      <c r="C179" s="4">
        <v>1487.8</v>
      </c>
      <c r="D179" s="4">
        <v>1439.6</v>
      </c>
      <c r="E179" s="4">
        <v>1422.8</v>
      </c>
      <c r="F179" s="4">
        <v>1474.9</v>
      </c>
      <c r="G179" s="4">
        <v>1471.47</v>
      </c>
      <c r="H179" s="1" t="s">
        <v>1827</v>
      </c>
      <c r="I179" s="1" t="s">
        <v>1829</v>
      </c>
      <c r="J179" s="1" t="s">
        <v>1830</v>
      </c>
      <c r="K179" s="1">
        <f t="shared" si="2"/>
        <v>0.03661793646</v>
      </c>
      <c r="L179" s="7">
        <v>0.006690872978928125</v>
      </c>
      <c r="M179" s="8">
        <f t="shared" si="1"/>
        <v>11136642</v>
      </c>
    </row>
    <row r="180">
      <c r="A180" s="9">
        <v>45771.0</v>
      </c>
      <c r="B180" s="4">
        <v>1469.9</v>
      </c>
      <c r="C180" s="4">
        <v>1482.9</v>
      </c>
      <c r="D180" s="4">
        <v>1461.5</v>
      </c>
      <c r="E180" s="4">
        <v>1474.9</v>
      </c>
      <c r="F180" s="4">
        <v>1471.4</v>
      </c>
      <c r="G180" s="4">
        <v>1471.62</v>
      </c>
      <c r="H180" s="1" t="s">
        <v>1836</v>
      </c>
      <c r="I180" s="1" t="s">
        <v>1837</v>
      </c>
      <c r="J180" s="1" t="s">
        <v>1838</v>
      </c>
      <c r="K180" s="1">
        <f t="shared" si="2"/>
        <v>-0.00237304224</v>
      </c>
      <c r="L180" s="7">
        <v>-0.0033807459836943227</v>
      </c>
      <c r="M180" s="8">
        <f t="shared" si="1"/>
        <v>7114292</v>
      </c>
    </row>
    <row r="181">
      <c r="A181" s="9">
        <v>45772.0</v>
      </c>
      <c r="B181" s="4">
        <v>1475.5</v>
      </c>
      <c r="C181" s="4">
        <v>1501.7</v>
      </c>
      <c r="D181" s="4">
        <v>1463.5</v>
      </c>
      <c r="E181" s="4">
        <v>1471.4</v>
      </c>
      <c r="F181" s="4">
        <v>1480.2</v>
      </c>
      <c r="G181" s="4">
        <v>1484.47</v>
      </c>
      <c r="H181" s="1" t="s">
        <v>1848</v>
      </c>
      <c r="I181" s="1" t="s">
        <v>1849</v>
      </c>
      <c r="J181" s="1" t="s">
        <v>1850</v>
      </c>
      <c r="K181" s="1">
        <f t="shared" si="2"/>
        <v>0.005980698654</v>
      </c>
      <c r="L181" s="7">
        <v>-0.008551679197581616</v>
      </c>
      <c r="M181" s="8">
        <f t="shared" si="1"/>
        <v>8329979</v>
      </c>
    </row>
    <row r="182">
      <c r="A182" s="9">
        <v>45775.0</v>
      </c>
      <c r="B182" s="4">
        <v>1480.2</v>
      </c>
      <c r="C182" s="4">
        <v>1489.6</v>
      </c>
      <c r="D182" s="4">
        <v>1465.3</v>
      </c>
      <c r="E182" s="4">
        <v>1480.2</v>
      </c>
      <c r="F182" s="4">
        <v>1482.1</v>
      </c>
      <c r="G182" s="4">
        <v>1478.19</v>
      </c>
      <c r="H182" s="1" t="s">
        <v>1860</v>
      </c>
      <c r="I182" s="1" t="s">
        <v>1861</v>
      </c>
      <c r="J182" s="1" t="s">
        <v>1862</v>
      </c>
      <c r="K182" s="1">
        <f t="shared" si="2"/>
        <v>0.001283610323</v>
      </c>
      <c r="L182" s="7">
        <v>0.012028195437896677</v>
      </c>
      <c r="M182" s="8">
        <f t="shared" si="1"/>
        <v>5886253</v>
      </c>
    </row>
    <row r="183">
      <c r="A183" s="9">
        <v>45776.0</v>
      </c>
      <c r="B183" s="4">
        <v>1482.0</v>
      </c>
      <c r="C183" s="4">
        <v>1509.8</v>
      </c>
      <c r="D183" s="4">
        <v>1474.1</v>
      </c>
      <c r="E183" s="4">
        <v>1482.1</v>
      </c>
      <c r="F183" s="4">
        <v>1497.5</v>
      </c>
      <c r="G183" s="4">
        <v>1495.87</v>
      </c>
      <c r="H183" s="1" t="s">
        <v>1869</v>
      </c>
      <c r="I183" s="1" t="s">
        <v>1870</v>
      </c>
      <c r="J183" s="1" t="s">
        <v>1873</v>
      </c>
      <c r="K183" s="1">
        <f t="shared" si="2"/>
        <v>0.0103906619</v>
      </c>
      <c r="L183" s="7">
        <v>3.062252091169093E-4</v>
      </c>
      <c r="M183" s="8">
        <f t="shared" si="1"/>
        <v>8056743</v>
      </c>
    </row>
    <row r="184">
      <c r="A184" s="9">
        <v>45777.0</v>
      </c>
      <c r="B184" s="4">
        <v>1496.8</v>
      </c>
      <c r="C184" s="4">
        <v>1508.8</v>
      </c>
      <c r="D184" s="4">
        <v>1482.6</v>
      </c>
      <c r="E184" s="4">
        <v>1497.5</v>
      </c>
      <c r="F184" s="4">
        <v>1500.1</v>
      </c>
      <c r="G184" s="4">
        <v>1499.93</v>
      </c>
      <c r="H184" s="1" t="s">
        <v>1881</v>
      </c>
      <c r="I184" s="1" t="s">
        <v>1882</v>
      </c>
      <c r="J184" s="1" t="s">
        <v>1883</v>
      </c>
      <c r="K184" s="1">
        <f t="shared" si="2"/>
        <v>0.001736227045</v>
      </c>
      <c r="L184" s="7">
        <v>-7.191007542339626E-5</v>
      </c>
      <c r="M184" s="8">
        <f t="shared" si="1"/>
        <v>7704183</v>
      </c>
    </row>
    <row r="185">
      <c r="A185" s="12">
        <v>45779.0</v>
      </c>
      <c r="B185" s="4">
        <v>1499.7</v>
      </c>
      <c r="C185" s="4">
        <v>1523.2</v>
      </c>
      <c r="D185" s="4">
        <v>1496.2</v>
      </c>
      <c r="E185" s="4">
        <v>1500.1</v>
      </c>
      <c r="F185" s="4">
        <v>1506.8</v>
      </c>
      <c r="G185" s="4">
        <v>1509.45</v>
      </c>
      <c r="H185" s="1" t="s">
        <v>1894</v>
      </c>
      <c r="I185" s="1" t="s">
        <v>1895</v>
      </c>
      <c r="J185" s="1" t="s">
        <v>1898</v>
      </c>
      <c r="K185" s="1">
        <f t="shared" si="2"/>
        <v>0.004466368909</v>
      </c>
      <c r="L185" s="7">
        <v>5.136803346730116E-4</v>
      </c>
      <c r="M185" s="8">
        <f t="shared" si="1"/>
        <v>8733014</v>
      </c>
    </row>
    <row r="186">
      <c r="A186" s="12">
        <v>45782.0</v>
      </c>
      <c r="B186" s="4">
        <v>1515.0</v>
      </c>
      <c r="C186" s="4">
        <v>1523.0</v>
      </c>
      <c r="D186" s="4">
        <v>1502.8</v>
      </c>
      <c r="E186" s="4">
        <v>1506.8</v>
      </c>
      <c r="F186" s="4">
        <v>1508.6</v>
      </c>
      <c r="G186" s="4">
        <v>1509.96</v>
      </c>
      <c r="H186" s="1" t="s">
        <v>1901</v>
      </c>
      <c r="I186" s="1" t="s">
        <v>1902</v>
      </c>
      <c r="J186" s="1" t="s">
        <v>1903</v>
      </c>
      <c r="K186" s="1">
        <f t="shared" si="2"/>
        <v>0.00119458455</v>
      </c>
      <c r="L186" s="7">
        <v>0.004700842413961675</v>
      </c>
      <c r="M186" s="8">
        <f t="shared" si="1"/>
        <v>4282493</v>
      </c>
    </row>
    <row r="187">
      <c r="A187" s="12">
        <v>45783.0</v>
      </c>
      <c r="B187" s="4">
        <v>1506.0</v>
      </c>
      <c r="C187" s="4">
        <v>1515.6</v>
      </c>
      <c r="D187" s="4">
        <v>1499.1</v>
      </c>
      <c r="E187" s="4">
        <v>1508.6</v>
      </c>
      <c r="F187" s="4">
        <v>1511.5</v>
      </c>
      <c r="G187" s="4">
        <v>1509.58</v>
      </c>
      <c r="H187" s="1" t="s">
        <v>1911</v>
      </c>
      <c r="I187" s="1" t="s">
        <v>1912</v>
      </c>
      <c r="J187" s="1" t="s">
        <v>1913</v>
      </c>
      <c r="K187" s="1">
        <f t="shared" si="2"/>
        <v>0.001922312077</v>
      </c>
      <c r="L187" s="7">
        <v>-0.003333857974788712</v>
      </c>
      <c r="M187" s="8">
        <f t="shared" si="1"/>
        <v>4270530</v>
      </c>
    </row>
    <row r="188">
      <c r="A188" s="12">
        <v>45784.0</v>
      </c>
      <c r="B188" s="4">
        <v>1500.0</v>
      </c>
      <c r="C188" s="4">
        <v>1518.8</v>
      </c>
      <c r="D188" s="4">
        <v>1496.6</v>
      </c>
      <c r="E188" s="4">
        <v>1511.5</v>
      </c>
      <c r="F188" s="4">
        <v>1508.3</v>
      </c>
      <c r="G188" s="4">
        <v>1509.03</v>
      </c>
      <c r="H188" s="1" t="s">
        <v>1917</v>
      </c>
      <c r="I188" s="1" t="s">
        <v>1918</v>
      </c>
      <c r="J188" s="1" t="s">
        <v>1919</v>
      </c>
      <c r="K188" s="1">
        <f t="shared" si="2"/>
        <v>-0.002117102216</v>
      </c>
      <c r="L188" s="7">
        <v>0.0014274229273656218</v>
      </c>
      <c r="M188" s="8">
        <f t="shared" si="1"/>
        <v>5691799</v>
      </c>
    </row>
    <row r="189">
      <c r="A189" s="12">
        <v>45785.0</v>
      </c>
      <c r="B189" s="4">
        <v>1508.0</v>
      </c>
      <c r="C189" s="4">
        <v>1516.5</v>
      </c>
      <c r="D189" s="4">
        <v>1501.2</v>
      </c>
      <c r="E189" s="4">
        <v>1508.3</v>
      </c>
      <c r="F189" s="4">
        <v>1511.4</v>
      </c>
      <c r="G189" s="4">
        <v>1508.8</v>
      </c>
      <c r="H189" s="1" t="s">
        <v>1926</v>
      </c>
      <c r="I189" s="1" t="s">
        <v>1927</v>
      </c>
      <c r="J189" s="1" t="s">
        <v>1928</v>
      </c>
      <c r="K189" s="1">
        <f t="shared" si="2"/>
        <v>0.00205529404</v>
      </c>
      <c r="L189" s="7">
        <v>-0.005758896389016407</v>
      </c>
      <c r="M189" s="8">
        <f t="shared" si="1"/>
        <v>8424409</v>
      </c>
    </row>
    <row r="190">
      <c r="A190" s="12">
        <v>45786.0</v>
      </c>
      <c r="B190" s="4">
        <v>1500.7</v>
      </c>
      <c r="C190" s="4">
        <v>1511.4</v>
      </c>
      <c r="D190" s="4">
        <v>1494.1</v>
      </c>
      <c r="E190" s="4">
        <v>1511.4</v>
      </c>
      <c r="F190" s="4">
        <v>1507.6</v>
      </c>
      <c r="G190" s="4">
        <v>1504.2</v>
      </c>
      <c r="H190" s="1" t="s">
        <v>1933</v>
      </c>
      <c r="I190" s="1" t="s">
        <v>1935</v>
      </c>
      <c r="J190" s="1" t="s">
        <v>1936</v>
      </c>
      <c r="K190" s="1">
        <f t="shared" si="2"/>
        <v>-0.002514225222</v>
      </c>
      <c r="L190" s="7">
        <v>-0.01095007786172743</v>
      </c>
      <c r="M190" s="8">
        <f t="shared" si="1"/>
        <v>4478653</v>
      </c>
    </row>
    <row r="191">
      <c r="A191" s="13">
        <v>45789.0</v>
      </c>
      <c r="B191" s="4">
        <v>1537.0</v>
      </c>
      <c r="C191" s="4">
        <v>1632.0</v>
      </c>
      <c r="D191" s="4">
        <v>1532.0</v>
      </c>
      <c r="E191" s="4">
        <v>1507.6</v>
      </c>
      <c r="F191" s="4">
        <v>1626.9</v>
      </c>
      <c r="G191" s="4">
        <v>1593.89</v>
      </c>
      <c r="H191" s="1" t="s">
        <v>1941</v>
      </c>
      <c r="I191" s="1" t="s">
        <v>1942</v>
      </c>
      <c r="J191" s="1" t="s">
        <v>1943</v>
      </c>
      <c r="K191" s="1">
        <f t="shared" si="2"/>
        <v>0.07913239586</v>
      </c>
      <c r="L191" s="7">
        <v>0.03818310563145621</v>
      </c>
      <c r="M191" s="8">
        <f t="shared" si="1"/>
        <v>11372857</v>
      </c>
    </row>
    <row r="192">
      <c r="A192" s="13">
        <v>45790.0</v>
      </c>
      <c r="B192" s="4">
        <v>1609.0</v>
      </c>
      <c r="C192" s="4">
        <v>1612.2</v>
      </c>
      <c r="D192" s="4">
        <v>1564.6</v>
      </c>
      <c r="E192" s="4">
        <v>1626.9</v>
      </c>
      <c r="F192" s="4">
        <v>1568.6</v>
      </c>
      <c r="G192" s="4">
        <v>1579.63</v>
      </c>
      <c r="H192" s="1" t="s">
        <v>1950</v>
      </c>
      <c r="I192" s="1" t="s">
        <v>1951</v>
      </c>
      <c r="J192" s="1" t="s">
        <v>1952</v>
      </c>
      <c r="K192" s="1">
        <f t="shared" si="2"/>
        <v>-0.03583502366</v>
      </c>
      <c r="L192" s="7">
        <v>-0.01389585431319142</v>
      </c>
      <c r="M192" s="8">
        <f t="shared" si="1"/>
        <v>12846210</v>
      </c>
    </row>
    <row r="193">
      <c r="A193" s="13">
        <v>45791.0</v>
      </c>
      <c r="B193" s="4">
        <v>1574.0</v>
      </c>
      <c r="C193" s="4">
        <v>1595.0</v>
      </c>
      <c r="D193" s="4">
        <v>1569.5</v>
      </c>
      <c r="E193" s="4">
        <v>1568.6</v>
      </c>
      <c r="F193" s="4">
        <v>1592.4</v>
      </c>
      <c r="G193" s="4">
        <v>1588.83</v>
      </c>
      <c r="H193" s="1" t="s">
        <v>1962</v>
      </c>
      <c r="I193" s="1" t="s">
        <v>1963</v>
      </c>
      <c r="J193" s="1" t="s">
        <v>1964</v>
      </c>
      <c r="K193" s="1">
        <f t="shared" si="2"/>
        <v>0.01517276552</v>
      </c>
      <c r="L193" s="7">
        <v>0.0036027642213575326</v>
      </c>
      <c r="M193" s="8">
        <f t="shared" si="1"/>
        <v>4870057</v>
      </c>
    </row>
    <row r="194">
      <c r="A194" s="13">
        <v>45792.0</v>
      </c>
      <c r="B194" s="4">
        <v>1589.8</v>
      </c>
      <c r="C194" s="4">
        <v>1618.6</v>
      </c>
      <c r="D194" s="4">
        <v>1571.0</v>
      </c>
      <c r="E194" s="4">
        <v>1592.4</v>
      </c>
      <c r="F194" s="4">
        <v>1613.0</v>
      </c>
      <c r="G194" s="4">
        <v>1600.37</v>
      </c>
      <c r="H194" s="1" t="s">
        <v>1974</v>
      </c>
      <c r="I194" s="1" t="s">
        <v>1975</v>
      </c>
      <c r="J194" s="1" t="s">
        <v>1976</v>
      </c>
      <c r="K194" s="1">
        <f t="shared" si="2"/>
        <v>0.01293644813</v>
      </c>
      <c r="L194" s="7">
        <v>0.01602147006717492</v>
      </c>
      <c r="M194" s="8">
        <f t="shared" si="1"/>
        <v>11151167</v>
      </c>
    </row>
    <row r="195">
      <c r="A195" s="13">
        <v>45793.0</v>
      </c>
      <c r="B195" s="4">
        <v>1612.6</v>
      </c>
      <c r="C195" s="4">
        <v>1612.6</v>
      </c>
      <c r="D195" s="4">
        <v>1581.5</v>
      </c>
      <c r="E195" s="4">
        <v>1613.0</v>
      </c>
      <c r="F195" s="4">
        <v>1589.9</v>
      </c>
      <c r="G195" s="4">
        <v>1591.32</v>
      </c>
      <c r="H195" s="1" t="s">
        <v>1982</v>
      </c>
      <c r="I195" s="1" t="s">
        <v>1984</v>
      </c>
      <c r="J195" s="1" t="s">
        <v>1985</v>
      </c>
      <c r="K195" s="1">
        <f t="shared" si="2"/>
        <v>-0.01432114073</v>
      </c>
      <c r="L195" s="7">
        <v>-0.0016878074862042396</v>
      </c>
      <c r="M195" s="8">
        <f t="shared" si="1"/>
        <v>4576751</v>
      </c>
    </row>
    <row r="196">
      <c r="A196" s="13">
        <v>45796.0</v>
      </c>
      <c r="B196" s="4">
        <v>1576.5</v>
      </c>
      <c r="C196" s="4">
        <v>1585.0</v>
      </c>
      <c r="D196" s="4">
        <v>1555.7</v>
      </c>
      <c r="E196" s="4">
        <v>1589.9</v>
      </c>
      <c r="F196" s="4">
        <v>1559.8</v>
      </c>
      <c r="G196" s="4">
        <v>1565.44</v>
      </c>
      <c r="H196" s="1" t="s">
        <v>1992</v>
      </c>
      <c r="I196" s="1" t="s">
        <v>1993</v>
      </c>
      <c r="J196" s="1" t="s">
        <v>1995</v>
      </c>
      <c r="K196" s="1">
        <f t="shared" si="2"/>
        <v>-0.0189320083</v>
      </c>
      <c r="L196" s="7">
        <v>-0.0029716464560067845</v>
      </c>
      <c r="M196" s="8">
        <f t="shared" si="1"/>
        <v>8855798</v>
      </c>
    </row>
    <row r="197">
      <c r="A197" s="13">
        <v>45797.0</v>
      </c>
      <c r="B197" s="4">
        <v>1570.0</v>
      </c>
      <c r="C197" s="4">
        <v>1583.5</v>
      </c>
      <c r="D197" s="4">
        <v>1558.0</v>
      </c>
      <c r="E197" s="4">
        <v>1559.8</v>
      </c>
      <c r="F197" s="4">
        <v>1560.6</v>
      </c>
      <c r="G197" s="4">
        <v>1566.97</v>
      </c>
      <c r="H197" s="1" t="s">
        <v>2001</v>
      </c>
      <c r="I197" s="1" t="s">
        <v>2002</v>
      </c>
      <c r="J197" s="1" t="s">
        <v>2003</v>
      </c>
      <c r="K197" s="1">
        <f t="shared" si="2"/>
        <v>0.0005128862675</v>
      </c>
      <c r="L197" s="7">
        <v>-0.01048487800380427</v>
      </c>
      <c r="M197" s="8">
        <f t="shared" si="1"/>
        <v>7143998</v>
      </c>
    </row>
    <row r="198">
      <c r="A198" s="13">
        <v>45798.0</v>
      </c>
      <c r="B198" s="4">
        <v>1567.9</v>
      </c>
      <c r="C198" s="4">
        <v>1571.0</v>
      </c>
      <c r="D198" s="4">
        <v>1552.1</v>
      </c>
      <c r="E198" s="4">
        <v>1560.6</v>
      </c>
      <c r="F198" s="4">
        <v>1568.5</v>
      </c>
      <c r="G198" s="4">
        <v>1566.02</v>
      </c>
      <c r="H198" s="1" t="s">
        <v>2010</v>
      </c>
      <c r="I198" s="1" t="s">
        <v>2011</v>
      </c>
      <c r="J198" s="1" t="s">
        <v>2012</v>
      </c>
      <c r="K198" s="1">
        <f t="shared" si="2"/>
        <v>0.005062155581</v>
      </c>
      <c r="L198" s="7">
        <v>0.0052483602672186835</v>
      </c>
      <c r="M198" s="8">
        <f t="shared" si="1"/>
        <v>4157309</v>
      </c>
    </row>
    <row r="199">
      <c r="A199" s="13">
        <v>45799.0</v>
      </c>
      <c r="B199" s="4">
        <v>1555.5</v>
      </c>
      <c r="C199" s="4">
        <v>1560.8</v>
      </c>
      <c r="D199" s="4">
        <v>1540.0</v>
      </c>
      <c r="E199" s="4">
        <v>1568.5</v>
      </c>
      <c r="F199" s="4">
        <v>1547.5</v>
      </c>
      <c r="G199" s="4">
        <v>1548.79</v>
      </c>
      <c r="H199" s="1" t="s">
        <v>2022</v>
      </c>
      <c r="I199" s="1" t="s">
        <v>2023</v>
      </c>
      <c r="J199" s="1" t="s">
        <v>2024</v>
      </c>
      <c r="K199" s="1">
        <f t="shared" si="2"/>
        <v>-0.01338858782</v>
      </c>
      <c r="L199" s="7">
        <v>-0.00821127251551074</v>
      </c>
      <c r="M199" s="8">
        <f t="shared" si="1"/>
        <v>6158990</v>
      </c>
    </row>
    <row r="200">
      <c r="A200" s="13">
        <v>45800.0</v>
      </c>
      <c r="B200" s="4">
        <v>1550.0</v>
      </c>
      <c r="C200" s="4">
        <v>1587.2</v>
      </c>
      <c r="D200" s="4">
        <v>1550.0</v>
      </c>
      <c r="E200" s="4">
        <v>1547.5</v>
      </c>
      <c r="F200" s="4">
        <v>1564.8</v>
      </c>
      <c r="G200" s="4">
        <v>1573.82</v>
      </c>
      <c r="H200" s="1" t="s">
        <v>2033</v>
      </c>
      <c r="I200" s="1" t="s">
        <v>2034</v>
      </c>
      <c r="J200" s="1" t="s">
        <v>2035</v>
      </c>
      <c r="K200" s="1">
        <f t="shared" si="2"/>
        <v>0.01117932149</v>
      </c>
      <c r="L200" s="7">
        <v>0.009892440785543941</v>
      </c>
      <c r="M200" s="8">
        <f t="shared" si="1"/>
        <v>5038421</v>
      </c>
    </row>
    <row r="201">
      <c r="A201" s="13">
        <v>45803.0</v>
      </c>
      <c r="B201" s="4">
        <v>1566.6</v>
      </c>
      <c r="C201" s="4">
        <v>1583.8</v>
      </c>
      <c r="D201" s="4">
        <v>1562.7</v>
      </c>
      <c r="E201" s="4">
        <v>1564.8</v>
      </c>
      <c r="F201" s="4">
        <v>1580.5</v>
      </c>
      <c r="G201" s="4">
        <v>1577.54</v>
      </c>
      <c r="H201" s="1" t="s">
        <v>2040</v>
      </c>
      <c r="I201" s="1" t="s">
        <v>2043</v>
      </c>
      <c r="J201" s="11">
        <v>84853.0</v>
      </c>
      <c r="K201" s="1">
        <f t="shared" si="2"/>
        <v>0.01003323108</v>
      </c>
      <c r="L201" s="7">
        <v>0.005954979549875971</v>
      </c>
      <c r="M201" s="8">
        <f t="shared" si="1"/>
        <v>3170102</v>
      </c>
    </row>
    <row r="202">
      <c r="A202" s="13">
        <v>45804.0</v>
      </c>
      <c r="B202" s="4">
        <v>1579.9</v>
      </c>
      <c r="C202" s="4">
        <v>1582.9</v>
      </c>
      <c r="D202" s="4">
        <v>1556.4</v>
      </c>
      <c r="E202" s="4">
        <v>1580.5</v>
      </c>
      <c r="F202" s="4">
        <v>1570.1</v>
      </c>
      <c r="G202" s="4">
        <v>1567.8</v>
      </c>
      <c r="H202" s="1" t="s">
        <v>2055</v>
      </c>
      <c r="I202" s="1" t="s">
        <v>2057</v>
      </c>
      <c r="J202" s="1" t="s">
        <v>2058</v>
      </c>
      <c r="K202" s="1">
        <f t="shared" si="2"/>
        <v>-0.00658019614</v>
      </c>
      <c r="L202" s="7">
        <v>-0.0069976781068071155</v>
      </c>
      <c r="M202" s="8">
        <f t="shared" si="1"/>
        <v>7775714</v>
      </c>
    </row>
    <row r="203">
      <c r="A203" s="13">
        <v>45805.0</v>
      </c>
      <c r="B203" s="4">
        <v>1581.0</v>
      </c>
      <c r="C203" s="4">
        <v>1587.7</v>
      </c>
      <c r="D203" s="4">
        <v>1570.0</v>
      </c>
      <c r="E203" s="4">
        <v>1570.1</v>
      </c>
      <c r="F203" s="4">
        <v>1571.8</v>
      </c>
      <c r="G203" s="4">
        <v>1576.59</v>
      </c>
      <c r="H203" s="1" t="s">
        <v>2063</v>
      </c>
      <c r="I203" s="1" t="s">
        <v>2066</v>
      </c>
      <c r="J203" s="1" t="s">
        <v>2067</v>
      </c>
      <c r="K203" s="1">
        <f t="shared" si="2"/>
        <v>0.001082733584</v>
      </c>
      <c r="L203" s="7">
        <v>-0.0029706519725129095</v>
      </c>
      <c r="M203" s="8">
        <f t="shared" si="1"/>
        <v>3623370</v>
      </c>
    </row>
    <row r="204">
      <c r="A204" s="13">
        <v>45806.0</v>
      </c>
      <c r="B204" s="4">
        <v>1589.0</v>
      </c>
      <c r="C204" s="4">
        <v>1608.9</v>
      </c>
      <c r="D204" s="4">
        <v>1576.6</v>
      </c>
      <c r="E204" s="4">
        <v>1571.8</v>
      </c>
      <c r="F204" s="4">
        <v>1585.6</v>
      </c>
      <c r="G204" s="4">
        <v>1588.46</v>
      </c>
      <c r="H204" s="1" t="s">
        <v>2071</v>
      </c>
      <c r="I204" s="1" t="s">
        <v>2074</v>
      </c>
      <c r="J204" s="1" t="s">
        <v>2077</v>
      </c>
      <c r="K204" s="1">
        <f t="shared" si="2"/>
        <v>0.00877974297</v>
      </c>
      <c r="L204" s="7">
        <v>0.0032784633440325226</v>
      </c>
      <c r="M204" s="8">
        <f t="shared" si="1"/>
        <v>8609500</v>
      </c>
    </row>
    <row r="205">
      <c r="A205" s="13">
        <v>45807.0</v>
      </c>
      <c r="B205" s="4">
        <v>1571.0</v>
      </c>
      <c r="C205" s="4">
        <v>1572.0</v>
      </c>
      <c r="D205" s="4">
        <v>1555.1</v>
      </c>
      <c r="E205" s="4">
        <v>1585.6</v>
      </c>
      <c r="F205" s="4">
        <v>1562.7</v>
      </c>
      <c r="G205" s="4">
        <v>1563.06</v>
      </c>
      <c r="H205" s="1" t="s">
        <v>2084</v>
      </c>
      <c r="I205" s="1" t="s">
        <v>2086</v>
      </c>
      <c r="J205" s="1" t="s">
        <v>2087</v>
      </c>
      <c r="K205" s="1">
        <f t="shared" si="2"/>
        <v>-0.01444248234</v>
      </c>
      <c r="L205" s="7">
        <v>-0.0033382191869079725</v>
      </c>
      <c r="M205" s="8">
        <f t="shared" si="1"/>
        <v>13148092</v>
      </c>
    </row>
    <row r="206">
      <c r="A206" s="3">
        <v>45810.0</v>
      </c>
      <c r="B206" s="4">
        <v>1560.0</v>
      </c>
      <c r="C206" s="4">
        <v>1560.0</v>
      </c>
      <c r="D206" s="4">
        <v>1539.0</v>
      </c>
      <c r="E206" s="4">
        <v>1562.7</v>
      </c>
      <c r="F206" s="4">
        <v>1553.8</v>
      </c>
      <c r="G206" s="4">
        <v>1550.25</v>
      </c>
      <c r="H206" s="1" t="s">
        <v>2095</v>
      </c>
      <c r="I206" s="1" t="s">
        <v>2097</v>
      </c>
      <c r="J206" s="1" t="s">
        <v>2099</v>
      </c>
      <c r="K206" s="1">
        <f t="shared" si="2"/>
        <v>-0.005695271005</v>
      </c>
      <c r="L206" s="7">
        <v>-0.0013777388114276437</v>
      </c>
      <c r="M206" s="8">
        <f t="shared" si="1"/>
        <v>4374509</v>
      </c>
    </row>
    <row r="207">
      <c r="A207" s="3">
        <v>45811.0</v>
      </c>
      <c r="B207" s="4">
        <v>1559.0</v>
      </c>
      <c r="C207" s="4">
        <v>1567.3</v>
      </c>
      <c r="D207" s="4">
        <v>1535.6</v>
      </c>
      <c r="E207" s="4">
        <v>1553.8</v>
      </c>
      <c r="F207" s="4">
        <v>1543.0</v>
      </c>
      <c r="G207" s="4">
        <v>1546.37</v>
      </c>
      <c r="H207" s="1" t="s">
        <v>2106</v>
      </c>
      <c r="I207" s="1" t="s">
        <v>2107</v>
      </c>
      <c r="J207" s="1" t="s">
        <v>2108</v>
      </c>
      <c r="K207" s="1">
        <f t="shared" si="2"/>
        <v>-0.006950701506</v>
      </c>
      <c r="L207" s="7">
        <v>-0.007043849073092519</v>
      </c>
      <c r="M207" s="8">
        <f t="shared" si="1"/>
        <v>6853403</v>
      </c>
    </row>
    <row r="208">
      <c r="A208" s="3">
        <v>45812.0</v>
      </c>
      <c r="B208" s="4">
        <v>1543.0</v>
      </c>
      <c r="C208" s="4">
        <v>1557.3</v>
      </c>
      <c r="D208" s="4">
        <v>1541.4</v>
      </c>
      <c r="E208" s="4">
        <v>1543.0</v>
      </c>
      <c r="F208" s="4">
        <v>1551.2</v>
      </c>
      <c r="G208" s="4">
        <v>1550.49</v>
      </c>
      <c r="H208" s="1" t="s">
        <v>2117</v>
      </c>
      <c r="I208" s="1" t="s">
        <v>2118</v>
      </c>
      <c r="J208" s="1" t="s">
        <v>2119</v>
      </c>
      <c r="K208" s="1">
        <f t="shared" si="2"/>
        <v>0.005314322748</v>
      </c>
      <c r="L208" s="7">
        <v>0.003165936640521574</v>
      </c>
      <c r="M208" s="8">
        <f t="shared" si="1"/>
        <v>4548307</v>
      </c>
    </row>
    <row r="209">
      <c r="A209" s="3">
        <v>45813.0</v>
      </c>
      <c r="B209" s="4">
        <v>1547.9</v>
      </c>
      <c r="C209" s="4">
        <v>1567.7</v>
      </c>
      <c r="D209" s="4">
        <v>1541.6</v>
      </c>
      <c r="E209" s="4">
        <v>1551.2</v>
      </c>
      <c r="F209" s="4">
        <v>1554.3</v>
      </c>
      <c r="G209" s="4">
        <v>1554.78</v>
      </c>
      <c r="H209" s="1" t="s">
        <v>2128</v>
      </c>
      <c r="I209" s="1" t="s">
        <v>2129</v>
      </c>
      <c r="J209" s="1" t="s">
        <v>2131</v>
      </c>
      <c r="K209" s="1">
        <f t="shared" si="2"/>
        <v>0.001998452811</v>
      </c>
      <c r="L209" s="7">
        <v>0.005308648995540277</v>
      </c>
      <c r="M209" s="8">
        <f t="shared" si="1"/>
        <v>6948539</v>
      </c>
    </row>
    <row r="210">
      <c r="A210" s="3">
        <v>45814.0</v>
      </c>
      <c r="B210" s="4">
        <v>1554.7</v>
      </c>
      <c r="C210" s="4">
        <v>1568.9</v>
      </c>
      <c r="D210" s="4">
        <v>1543.1</v>
      </c>
      <c r="E210" s="4">
        <v>1554.3</v>
      </c>
      <c r="F210" s="4">
        <v>1563.8</v>
      </c>
      <c r="G210" s="4">
        <v>1557.14</v>
      </c>
      <c r="H210" s="1" t="s">
        <v>2135</v>
      </c>
      <c r="I210" s="1" t="s">
        <v>2137</v>
      </c>
      <c r="J210" s="11">
        <v>90826.0</v>
      </c>
      <c r="K210" s="1">
        <f t="shared" si="2"/>
        <v>0.006112076176</v>
      </c>
      <c r="L210" s="7">
        <v>0.010187508333030225</v>
      </c>
      <c r="M210" s="8">
        <f t="shared" si="1"/>
        <v>3960020</v>
      </c>
    </row>
    <row r="211">
      <c r="A211" s="3">
        <v>45817.0</v>
      </c>
      <c r="B211" s="4">
        <v>1578.0</v>
      </c>
      <c r="C211" s="4">
        <v>1588.0</v>
      </c>
      <c r="D211" s="4">
        <v>1571.0</v>
      </c>
      <c r="E211" s="4">
        <v>1563.8</v>
      </c>
      <c r="F211" s="4">
        <v>1572.9</v>
      </c>
      <c r="G211" s="4">
        <v>1577.22</v>
      </c>
      <c r="H211" s="1" t="s">
        <v>2143</v>
      </c>
      <c r="I211" s="1" t="s">
        <v>2145</v>
      </c>
      <c r="J211" s="1" t="s">
        <v>2147</v>
      </c>
      <c r="K211" s="1">
        <f t="shared" si="2"/>
        <v>0.00581915846</v>
      </c>
      <c r="L211" s="7">
        <v>0.004005511327618089</v>
      </c>
      <c r="M211" s="8">
        <f t="shared" si="1"/>
        <v>2903202</v>
      </c>
    </row>
    <row r="212">
      <c r="A212" s="9">
        <v>45818.0</v>
      </c>
      <c r="B212" s="4">
        <v>1584.0</v>
      </c>
      <c r="C212" s="4">
        <v>1607.5</v>
      </c>
      <c r="D212" s="4">
        <v>1577.5</v>
      </c>
      <c r="E212" s="4">
        <v>1572.9</v>
      </c>
      <c r="F212" s="4">
        <v>1596.0</v>
      </c>
      <c r="G212" s="4">
        <v>1595.07</v>
      </c>
      <c r="H212" s="1" t="s">
        <v>2155</v>
      </c>
      <c r="I212" s="1" t="s">
        <v>2156</v>
      </c>
      <c r="J212" s="1" t="s">
        <v>2157</v>
      </c>
      <c r="K212" s="1">
        <f t="shared" si="2"/>
        <v>0.01468624833</v>
      </c>
      <c r="L212" s="7">
        <v>4.1827336753851E-5</v>
      </c>
      <c r="M212" s="8">
        <f t="shared" si="1"/>
        <v>8591925</v>
      </c>
    </row>
    <row r="213">
      <c r="A213" s="9">
        <v>45819.0</v>
      </c>
      <c r="B213" s="4">
        <v>1590.1</v>
      </c>
      <c r="C213" s="4">
        <v>1634.6</v>
      </c>
      <c r="D213" s="4">
        <v>1590.1</v>
      </c>
      <c r="E213" s="4">
        <v>1596.0</v>
      </c>
      <c r="F213" s="4">
        <v>1631.1</v>
      </c>
      <c r="G213" s="4">
        <v>1617.71</v>
      </c>
      <c r="H213" s="1" t="s">
        <v>2165</v>
      </c>
      <c r="I213" s="1" t="s">
        <v>2167</v>
      </c>
      <c r="J213" s="1" t="s">
        <v>2169</v>
      </c>
      <c r="K213" s="1">
        <f t="shared" si="2"/>
        <v>0.0219924812</v>
      </c>
      <c r="L213" s="7">
        <v>0.001479829112600514</v>
      </c>
      <c r="M213" s="8">
        <f t="shared" si="1"/>
        <v>10597410</v>
      </c>
    </row>
    <row r="214">
      <c r="A214" s="9">
        <v>45820.0</v>
      </c>
      <c r="B214" s="4">
        <v>1617.0</v>
      </c>
      <c r="C214" s="4">
        <v>1628.0</v>
      </c>
      <c r="D214" s="4">
        <v>1598.1</v>
      </c>
      <c r="E214" s="4">
        <v>1631.1</v>
      </c>
      <c r="F214" s="4">
        <v>1608.6</v>
      </c>
      <c r="G214" s="4">
        <v>1612.28</v>
      </c>
      <c r="H214" s="1" t="s">
        <v>2173</v>
      </c>
      <c r="I214" s="1" t="s">
        <v>2174</v>
      </c>
      <c r="J214" s="1" t="s">
        <v>2175</v>
      </c>
      <c r="K214" s="1">
        <f t="shared" si="2"/>
        <v>-0.0137943719</v>
      </c>
      <c r="L214" s="7">
        <v>-0.010071038207896168</v>
      </c>
      <c r="M214" s="8">
        <f t="shared" si="1"/>
        <v>10483574</v>
      </c>
    </row>
    <row r="215">
      <c r="A215" s="9">
        <v>45821.0</v>
      </c>
      <c r="B215" s="4">
        <v>1576.0</v>
      </c>
      <c r="C215" s="4">
        <v>1609.0</v>
      </c>
      <c r="D215" s="4">
        <v>1570.2</v>
      </c>
      <c r="E215" s="4">
        <v>1608.6</v>
      </c>
      <c r="F215" s="4">
        <v>1602.0</v>
      </c>
      <c r="G215" s="4">
        <v>1598.18</v>
      </c>
      <c r="H215" s="1" t="s">
        <v>2182</v>
      </c>
      <c r="I215" s="1" t="s">
        <v>2183</v>
      </c>
      <c r="J215" s="1" t="s">
        <v>2184</v>
      </c>
      <c r="K215" s="1">
        <f t="shared" si="2"/>
        <v>-0.004102946662</v>
      </c>
      <c r="L215" s="7">
        <v>-0.00681447432920027</v>
      </c>
      <c r="M215" s="8">
        <f t="shared" si="1"/>
        <v>6968315</v>
      </c>
    </row>
    <row r="216">
      <c r="A216" s="9">
        <v>45824.0</v>
      </c>
      <c r="B216" s="4">
        <v>1600.0</v>
      </c>
      <c r="C216" s="4">
        <v>1634.8</v>
      </c>
      <c r="D216" s="4">
        <v>1597.1</v>
      </c>
      <c r="E216" s="4">
        <v>1602.0</v>
      </c>
      <c r="F216" s="4">
        <v>1623.8</v>
      </c>
      <c r="G216" s="4">
        <v>1621.63</v>
      </c>
      <c r="H216" s="1" t="s">
        <v>2194</v>
      </c>
      <c r="I216" s="1" t="s">
        <v>2195</v>
      </c>
      <c r="J216" s="1" t="s">
        <v>2196</v>
      </c>
      <c r="K216" s="1">
        <f t="shared" si="2"/>
        <v>0.01360799001</v>
      </c>
      <c r="L216" s="7">
        <v>0.00921977781913221</v>
      </c>
      <c r="M216" s="8">
        <f t="shared" si="1"/>
        <v>5591842</v>
      </c>
    </row>
    <row r="217">
      <c r="A217" s="9">
        <v>45825.0</v>
      </c>
      <c r="B217" s="4">
        <v>1620.7</v>
      </c>
      <c r="C217" s="4">
        <v>1647.4</v>
      </c>
      <c r="D217" s="4">
        <v>1615.6</v>
      </c>
      <c r="E217" s="4">
        <v>1623.8</v>
      </c>
      <c r="F217" s="4">
        <v>1639.9</v>
      </c>
      <c r="G217" s="4">
        <v>1637.98</v>
      </c>
      <c r="H217" s="1" t="s">
        <v>2203</v>
      </c>
      <c r="I217" s="1" t="s">
        <v>2204</v>
      </c>
      <c r="J217" s="1" t="s">
        <v>2205</v>
      </c>
      <c r="K217" s="1">
        <f t="shared" si="2"/>
        <v>0.009915014164</v>
      </c>
      <c r="L217" s="7">
        <v>-0.0037319864510050927</v>
      </c>
      <c r="M217" s="8">
        <f t="shared" si="1"/>
        <v>7622083</v>
      </c>
    </row>
    <row r="218">
      <c r="A218" s="9">
        <v>45826.0</v>
      </c>
      <c r="B218" s="4">
        <v>1621.0</v>
      </c>
      <c r="C218" s="4">
        <v>1644.7</v>
      </c>
      <c r="D218" s="4">
        <v>1621.0</v>
      </c>
      <c r="E218" s="4">
        <v>1639.9</v>
      </c>
      <c r="F218" s="4">
        <v>1632.9</v>
      </c>
      <c r="G218" s="4">
        <v>1631.66</v>
      </c>
      <c r="H218" s="1" t="s">
        <v>2212</v>
      </c>
      <c r="I218" s="1" t="s">
        <v>2219</v>
      </c>
      <c r="J218" s="1" t="s">
        <v>2220</v>
      </c>
      <c r="K218" s="1">
        <f t="shared" si="2"/>
        <v>-0.004268552961</v>
      </c>
      <c r="L218" s="7">
        <v>-0.0016637562667482992</v>
      </c>
      <c r="M218" s="8">
        <f t="shared" si="1"/>
        <v>5629707</v>
      </c>
    </row>
    <row r="219">
      <c r="A219" s="9">
        <v>45827.0</v>
      </c>
      <c r="B219" s="4">
        <v>1623.9</v>
      </c>
      <c r="C219" s="4">
        <v>1630.0</v>
      </c>
      <c r="D219" s="4">
        <v>1611.5</v>
      </c>
      <c r="E219" s="4">
        <v>1632.9</v>
      </c>
      <c r="F219" s="4">
        <v>1618.4</v>
      </c>
      <c r="G219" s="4">
        <v>1618.85</v>
      </c>
      <c r="H219" s="1" t="s">
        <v>2229</v>
      </c>
      <c r="I219" s="1" t="s">
        <v>2231</v>
      </c>
      <c r="J219" s="1" t="s">
        <v>2232</v>
      </c>
      <c r="K219" s="1">
        <f t="shared" si="2"/>
        <v>-0.008879906914</v>
      </c>
      <c r="L219" s="7">
        <v>-7.576963612438018E-4</v>
      </c>
      <c r="M219" s="8">
        <f t="shared" si="1"/>
        <v>5147760</v>
      </c>
    </row>
    <row r="220">
      <c r="A220" s="9">
        <v>45828.0</v>
      </c>
      <c r="B220" s="4">
        <v>1619.0</v>
      </c>
      <c r="C220" s="4">
        <v>1630.7</v>
      </c>
      <c r="D220" s="4">
        <v>1608.9</v>
      </c>
      <c r="E220" s="4">
        <v>1618.4</v>
      </c>
      <c r="F220" s="4">
        <v>1622.9</v>
      </c>
      <c r="G220" s="4">
        <v>1621.3</v>
      </c>
      <c r="H220" s="1" t="s">
        <v>2239</v>
      </c>
      <c r="I220" s="1" t="s">
        <v>2240</v>
      </c>
      <c r="J220" s="1" t="s">
        <v>2242</v>
      </c>
      <c r="K220" s="1">
        <f t="shared" si="2"/>
        <v>0.002780523974</v>
      </c>
      <c r="L220" s="7">
        <v>0.012872455204541618</v>
      </c>
      <c r="M220" s="8">
        <f t="shared" si="1"/>
        <v>9202821</v>
      </c>
    </row>
    <row r="221">
      <c r="A221" s="9">
        <v>45831.0</v>
      </c>
      <c r="B221" s="4">
        <v>1601.0</v>
      </c>
      <c r="C221" s="4">
        <v>1601.0</v>
      </c>
      <c r="D221" s="4">
        <v>1575.4</v>
      </c>
      <c r="E221" s="4">
        <v>1622.9</v>
      </c>
      <c r="F221" s="4">
        <v>1584.0</v>
      </c>
      <c r="G221" s="4">
        <v>1585.78</v>
      </c>
      <c r="H221" s="1" t="s">
        <v>2251</v>
      </c>
      <c r="I221" s="1" t="s">
        <v>2252</v>
      </c>
      <c r="J221" s="1" t="s">
        <v>2253</v>
      </c>
      <c r="K221" s="1">
        <f t="shared" si="2"/>
        <v>-0.02396943743</v>
      </c>
      <c r="L221" s="7">
        <v>-0.005594845574297956</v>
      </c>
      <c r="M221" s="8">
        <f t="shared" si="1"/>
        <v>7943676</v>
      </c>
    </row>
    <row r="222">
      <c r="A222" s="9">
        <v>45832.0</v>
      </c>
      <c r="B222" s="4">
        <v>1601.0</v>
      </c>
      <c r="C222" s="4">
        <v>1609.0</v>
      </c>
      <c r="D222" s="4">
        <v>1576.6</v>
      </c>
      <c r="E222" s="4">
        <v>1584.0</v>
      </c>
      <c r="F222" s="4">
        <v>1581.6</v>
      </c>
      <c r="G222" s="4">
        <v>1590.26</v>
      </c>
      <c r="H222" s="1" t="s">
        <v>2259</v>
      </c>
      <c r="I222" s="1" t="s">
        <v>2260</v>
      </c>
      <c r="J222" s="1" t="s">
        <v>2262</v>
      </c>
      <c r="K222" s="1">
        <f t="shared" si="2"/>
        <v>-0.001515151515</v>
      </c>
      <c r="L222" s="7">
        <v>0.0029012610173834224</v>
      </c>
      <c r="M222" s="8">
        <f t="shared" si="1"/>
        <v>8083992</v>
      </c>
    </row>
    <row r="223">
      <c r="A223" s="9">
        <v>45833.0</v>
      </c>
      <c r="B223" s="4">
        <v>1590.0</v>
      </c>
      <c r="C223" s="4">
        <v>1619.9</v>
      </c>
      <c r="D223" s="4">
        <v>1585.1</v>
      </c>
      <c r="E223" s="4">
        <v>1581.6</v>
      </c>
      <c r="F223" s="4">
        <v>1614.9</v>
      </c>
      <c r="G223" s="4">
        <v>1608.74</v>
      </c>
      <c r="H223" s="1" t="s">
        <v>2269</v>
      </c>
      <c r="I223" s="1" t="s">
        <v>2271</v>
      </c>
      <c r="J223" s="1" t="s">
        <v>2273</v>
      </c>
      <c r="K223" s="1">
        <f t="shared" si="2"/>
        <v>0.02105462822</v>
      </c>
      <c r="L223" s="7">
        <v>0.008001804798287895</v>
      </c>
      <c r="M223" s="8">
        <f t="shared" si="1"/>
        <v>7813533</v>
      </c>
    </row>
    <row r="224">
      <c r="A224" s="9">
        <v>45834.0</v>
      </c>
      <c r="B224" s="4">
        <v>1608.8</v>
      </c>
      <c r="C224" s="4">
        <v>1624.0</v>
      </c>
      <c r="D224" s="4">
        <v>1606.6</v>
      </c>
      <c r="E224" s="4">
        <v>1614.9</v>
      </c>
      <c r="F224" s="4">
        <v>1616.0</v>
      </c>
      <c r="G224" s="4">
        <v>1615.17</v>
      </c>
      <c r="H224" s="1" t="s">
        <v>2284</v>
      </c>
      <c r="I224" s="1" t="s">
        <v>2285</v>
      </c>
      <c r="J224" s="1" t="s">
        <v>2286</v>
      </c>
      <c r="K224" s="1">
        <f t="shared" si="2"/>
        <v>0.000681156728</v>
      </c>
      <c r="L224" s="7">
        <v>0.01205201081412967</v>
      </c>
      <c r="M224" s="8">
        <f t="shared" si="1"/>
        <v>6519233</v>
      </c>
    </row>
    <row r="225">
      <c r="A225" s="9">
        <v>45835.0</v>
      </c>
      <c r="B225" s="4">
        <v>1619.0</v>
      </c>
      <c r="C225" s="4">
        <v>1629.6</v>
      </c>
      <c r="D225" s="4">
        <v>1602.4</v>
      </c>
      <c r="E225" s="4">
        <v>1616.0</v>
      </c>
      <c r="F225" s="4">
        <v>1608.0</v>
      </c>
      <c r="G225" s="4">
        <v>1611.01</v>
      </c>
      <c r="H225" s="1" t="s">
        <v>2296</v>
      </c>
      <c r="I225" s="1" t="s">
        <v>2297</v>
      </c>
      <c r="J225" s="1" t="s">
        <v>2298</v>
      </c>
      <c r="K225" s="1">
        <f t="shared" si="2"/>
        <v>-0.00495049505</v>
      </c>
      <c r="L225" s="7">
        <v>0.003475674194684695</v>
      </c>
      <c r="M225" s="8">
        <f t="shared" si="1"/>
        <v>8912268</v>
      </c>
    </row>
    <row r="226">
      <c r="A226" s="9">
        <v>45838.0</v>
      </c>
      <c r="B226" s="4">
        <v>1615.0</v>
      </c>
      <c r="C226" s="4">
        <v>1615.0</v>
      </c>
      <c r="D226" s="4">
        <v>1594.1</v>
      </c>
      <c r="E226" s="4">
        <v>1608.0</v>
      </c>
      <c r="F226" s="4">
        <v>1601.8</v>
      </c>
      <c r="G226" s="4">
        <v>1603.36</v>
      </c>
      <c r="H226" s="1" t="s">
        <v>2305</v>
      </c>
      <c r="I226" s="1" t="s">
        <v>2306</v>
      </c>
      <c r="J226" s="1" t="s">
        <v>2307</v>
      </c>
      <c r="K226" s="1">
        <f t="shared" si="2"/>
        <v>-0.003855721393</v>
      </c>
      <c r="L226" s="7">
        <v>-0.004709842498186272</v>
      </c>
      <c r="M226" s="8">
        <f t="shared" si="1"/>
        <v>6294505</v>
      </c>
    </row>
    <row r="227">
      <c r="A227" s="3">
        <v>45839.0</v>
      </c>
      <c r="B227" s="4">
        <v>1609.0</v>
      </c>
      <c r="C227" s="4">
        <v>1617.7</v>
      </c>
      <c r="D227" s="4">
        <v>1600.5</v>
      </c>
      <c r="E227" s="4">
        <v>1601.8</v>
      </c>
      <c r="F227" s="4">
        <v>1606.8</v>
      </c>
      <c r="G227" s="4">
        <v>1607.18</v>
      </c>
      <c r="H227" s="1" t="s">
        <v>2316</v>
      </c>
      <c r="I227" s="1" t="s">
        <v>2318</v>
      </c>
      <c r="J227" s="1" t="s">
        <v>2319</v>
      </c>
      <c r="K227" s="1">
        <f t="shared" si="2"/>
        <v>0.003121488326</v>
      </c>
      <c r="L227" s="7">
        <v>9.699397069802348E-4</v>
      </c>
      <c r="M227" s="8">
        <f t="shared" si="1"/>
        <v>4178937</v>
      </c>
    </row>
    <row r="228">
      <c r="A228" s="3">
        <v>45840.0</v>
      </c>
      <c r="B228" s="4">
        <v>1618.0</v>
      </c>
      <c r="C228" s="4">
        <v>1649.0</v>
      </c>
      <c r="D228" s="4">
        <v>1603.4</v>
      </c>
      <c r="E228" s="4">
        <v>1606.8</v>
      </c>
      <c r="F228" s="4">
        <v>1610.5</v>
      </c>
      <c r="G228" s="4">
        <v>1622.6</v>
      </c>
      <c r="H228" s="1" t="s">
        <v>2326</v>
      </c>
      <c r="I228" s="1" t="s">
        <v>2329</v>
      </c>
      <c r="J228" s="1" t="s">
        <v>2331</v>
      </c>
      <c r="K228" s="1">
        <f t="shared" si="2"/>
        <v>0.002302713468</v>
      </c>
      <c r="L228" s="7">
        <v>-0.00346099335207377</v>
      </c>
      <c r="M228" s="8">
        <f t="shared" si="1"/>
        <v>8653641</v>
      </c>
    </row>
    <row r="229">
      <c r="A229" s="3">
        <v>45841.0</v>
      </c>
      <c r="B229" s="4">
        <v>1618.5</v>
      </c>
      <c r="C229" s="4">
        <v>1632.4</v>
      </c>
      <c r="D229" s="4">
        <v>1615.0</v>
      </c>
      <c r="E229" s="4">
        <v>1610.5</v>
      </c>
      <c r="F229" s="4">
        <v>1618.7</v>
      </c>
      <c r="G229" s="4">
        <v>1622.33</v>
      </c>
      <c r="H229" s="1" t="s">
        <v>2333</v>
      </c>
      <c r="I229" s="1" t="s">
        <v>2336</v>
      </c>
      <c r="J229" s="1" t="s">
        <v>2339</v>
      </c>
      <c r="K229" s="1">
        <f t="shared" si="2"/>
        <v>0.005091586464</v>
      </c>
      <c r="L229" s="7">
        <v>-0.0018897278948982132</v>
      </c>
      <c r="M229" s="8">
        <f t="shared" si="1"/>
        <v>5259695</v>
      </c>
    </row>
    <row r="230">
      <c r="A230" s="3">
        <v>45842.0</v>
      </c>
      <c r="B230" s="4">
        <v>1625.0</v>
      </c>
      <c r="C230" s="4">
        <v>1643.4</v>
      </c>
      <c r="D230" s="4">
        <v>1612.3</v>
      </c>
      <c r="E230" s="4">
        <v>1618.7</v>
      </c>
      <c r="F230" s="4">
        <v>1640.7</v>
      </c>
      <c r="G230" s="4">
        <v>1631.46</v>
      </c>
      <c r="H230" s="1" t="s">
        <v>2350</v>
      </c>
      <c r="I230" s="1" t="s">
        <v>2351</v>
      </c>
      <c r="J230" s="1" t="s">
        <v>2352</v>
      </c>
      <c r="K230" s="1">
        <f t="shared" si="2"/>
        <v>0.01359115339</v>
      </c>
      <c r="L230" s="7">
        <v>0.0021924559048702723</v>
      </c>
      <c r="M230" s="8">
        <f t="shared" si="1"/>
        <v>4411273</v>
      </c>
    </row>
    <row r="231">
      <c r="A231" s="3">
        <v>45845.0</v>
      </c>
      <c r="B231" s="4">
        <v>1640.0</v>
      </c>
      <c r="C231" s="4">
        <v>1644.0</v>
      </c>
      <c r="D231" s="4">
        <v>1623.0</v>
      </c>
      <c r="E231" s="4">
        <v>1640.7</v>
      </c>
      <c r="F231" s="4">
        <v>1627.0</v>
      </c>
      <c r="G231" s="4">
        <v>1630.54</v>
      </c>
      <c r="H231" s="1" t="s">
        <v>2356</v>
      </c>
      <c r="I231" s="1" t="s">
        <v>2361</v>
      </c>
      <c r="J231" s="1" t="s">
        <v>2363</v>
      </c>
      <c r="K231" s="1">
        <f t="shared" si="2"/>
        <v>-0.008350094472</v>
      </c>
      <c r="L231" s="7">
        <v>1.1782726522888827E-5</v>
      </c>
      <c r="M231" s="8">
        <f t="shared" si="1"/>
        <v>3294523</v>
      </c>
    </row>
    <row r="232">
      <c r="A232" s="3">
        <v>45846.0</v>
      </c>
      <c r="B232" s="4">
        <v>1628.0</v>
      </c>
      <c r="C232" s="4">
        <v>1646.2</v>
      </c>
      <c r="D232" s="4">
        <v>1621.5</v>
      </c>
      <c r="E232" s="4">
        <v>1627.0</v>
      </c>
      <c r="F232" s="4">
        <v>1638.7</v>
      </c>
      <c r="G232" s="4">
        <v>1635.98</v>
      </c>
      <c r="H232" s="1" t="s">
        <v>2369</v>
      </c>
      <c r="I232" s="1" t="s">
        <v>2372</v>
      </c>
      <c r="J232" s="1" t="s">
        <v>2374</v>
      </c>
      <c r="K232" s="1">
        <f t="shared" si="2"/>
        <v>0.007191149355</v>
      </c>
      <c r="L232" s="7">
        <v>0.002403647889149444</v>
      </c>
      <c r="M232" s="8">
        <f t="shared" si="1"/>
        <v>4590681</v>
      </c>
    </row>
    <row r="233">
      <c r="A233" s="3">
        <v>45847.0</v>
      </c>
      <c r="B233" s="4">
        <v>1637.8</v>
      </c>
      <c r="C233" s="4">
        <v>1638.0</v>
      </c>
      <c r="D233" s="4">
        <v>1623.6</v>
      </c>
      <c r="E233" s="4">
        <v>1638.7</v>
      </c>
      <c r="F233" s="4">
        <v>1633.7</v>
      </c>
      <c r="G233" s="4">
        <v>1630.89</v>
      </c>
      <c r="H233" s="1" t="s">
        <v>2378</v>
      </c>
      <c r="I233" s="1" t="s">
        <v>2380</v>
      </c>
      <c r="J233" s="1" t="s">
        <v>2382</v>
      </c>
      <c r="K233" s="1">
        <f t="shared" si="2"/>
        <v>-0.003051199121</v>
      </c>
      <c r="L233" s="7">
        <v>-0.0018180037222059538</v>
      </c>
      <c r="M233" s="8">
        <f t="shared" si="1"/>
        <v>4580828</v>
      </c>
    </row>
    <row r="234">
      <c r="A234" s="9">
        <v>45848.0</v>
      </c>
      <c r="B234" s="4">
        <v>1638.9</v>
      </c>
      <c r="C234" s="4">
        <v>1638.9</v>
      </c>
      <c r="D234" s="4">
        <v>1607.1</v>
      </c>
      <c r="E234" s="4">
        <v>1633.7</v>
      </c>
      <c r="F234" s="4">
        <v>1615.8</v>
      </c>
      <c r="G234" s="4">
        <v>1617.52</v>
      </c>
      <c r="H234" s="1" t="s">
        <v>2389</v>
      </c>
      <c r="I234" s="1" t="s">
        <v>2391</v>
      </c>
      <c r="J234" s="1" t="s">
        <v>2393</v>
      </c>
      <c r="K234" s="1">
        <f t="shared" si="2"/>
        <v>-0.010956724</v>
      </c>
      <c r="L234" s="7">
        <v>-0.004743661706462079</v>
      </c>
      <c r="M234" s="8">
        <f t="shared" si="1"/>
        <v>5330179</v>
      </c>
    </row>
    <row r="235">
      <c r="A235" s="9">
        <v>45849.0</v>
      </c>
      <c r="B235" s="4">
        <v>1579.1</v>
      </c>
      <c r="C235" s="4">
        <v>1607.1</v>
      </c>
      <c r="D235" s="4">
        <v>1563.0</v>
      </c>
      <c r="E235" s="4">
        <v>1615.8</v>
      </c>
      <c r="F235" s="4">
        <v>1594.9</v>
      </c>
      <c r="G235" s="4">
        <v>1590.33</v>
      </c>
      <c r="H235" s="1" t="s">
        <v>2404</v>
      </c>
      <c r="I235" s="1" t="s">
        <v>2405</v>
      </c>
      <c r="J235" s="1" t="s">
        <v>2406</v>
      </c>
      <c r="K235" s="1">
        <f t="shared" si="2"/>
        <v>-0.01293476915</v>
      </c>
      <c r="L235" s="7">
        <v>-0.008100886404196426</v>
      </c>
      <c r="M235" s="8">
        <f t="shared" si="1"/>
        <v>11391755</v>
      </c>
    </row>
    <row r="236">
      <c r="A236" s="9">
        <v>45852.0</v>
      </c>
      <c r="B236" s="4">
        <v>1591.8</v>
      </c>
      <c r="C236" s="4">
        <v>1591.8</v>
      </c>
      <c r="D236" s="4">
        <v>1559.8</v>
      </c>
      <c r="E236" s="4">
        <v>1594.9</v>
      </c>
      <c r="F236" s="4">
        <v>1570.3</v>
      </c>
      <c r="G236" s="4">
        <v>1569.39</v>
      </c>
      <c r="H236" s="1" t="s">
        <v>2419</v>
      </c>
      <c r="I236" s="1" t="s">
        <v>2420</v>
      </c>
      <c r="J236" s="1" t="s">
        <v>2421</v>
      </c>
      <c r="K236" s="1">
        <f t="shared" si="2"/>
        <v>-0.01542416452</v>
      </c>
      <c r="L236" s="7">
        <v>-0.0026859007111374135</v>
      </c>
      <c r="M236" s="8">
        <f t="shared" si="1"/>
        <v>9173426</v>
      </c>
    </row>
    <row r="237">
      <c r="A237" s="9">
        <v>45853.0</v>
      </c>
      <c r="B237" s="4">
        <v>1565.1</v>
      </c>
      <c r="C237" s="4">
        <v>1603.6</v>
      </c>
      <c r="D237" s="4">
        <v>1564.0</v>
      </c>
      <c r="E237" s="4">
        <v>1570.3</v>
      </c>
      <c r="F237" s="4">
        <v>1585.6</v>
      </c>
      <c r="G237" s="4">
        <v>1586.28</v>
      </c>
      <c r="H237" s="1" t="s">
        <v>2431</v>
      </c>
      <c r="I237" s="1" t="s">
        <v>2432</v>
      </c>
      <c r="J237" s="1" t="s">
        <v>2433</v>
      </c>
      <c r="K237" s="1">
        <f t="shared" si="2"/>
        <v>0.009743361141</v>
      </c>
      <c r="L237" s="7">
        <v>0.004525103359739737</v>
      </c>
      <c r="M237" s="8">
        <f t="shared" si="1"/>
        <v>7614807</v>
      </c>
    </row>
    <row r="238">
      <c r="A238" s="9">
        <v>45854.0</v>
      </c>
      <c r="B238" s="4">
        <v>1579.0</v>
      </c>
      <c r="C238" s="4">
        <v>1612.0</v>
      </c>
      <c r="D238" s="4">
        <v>1578.5</v>
      </c>
      <c r="E238" s="4">
        <v>1585.6</v>
      </c>
      <c r="F238" s="4">
        <v>1607.9</v>
      </c>
      <c r="G238" s="4">
        <v>1601.98</v>
      </c>
      <c r="H238" s="1" t="s">
        <v>2439</v>
      </c>
      <c r="I238" s="1" t="s">
        <v>2440</v>
      </c>
      <c r="J238" s="1" t="s">
        <v>2442</v>
      </c>
      <c r="K238" s="1">
        <f t="shared" si="2"/>
        <v>0.01406407669</v>
      </c>
      <c r="L238" s="7">
        <v>6.449487613014868E-4</v>
      </c>
      <c r="M238" s="8">
        <f t="shared" si="1"/>
        <v>6223491</v>
      </c>
    </row>
    <row r="239">
      <c r="A239" s="9">
        <v>45855.0</v>
      </c>
      <c r="B239" s="4">
        <v>1598.0</v>
      </c>
      <c r="C239" s="4">
        <v>1610.0</v>
      </c>
      <c r="D239" s="4">
        <v>1580.1</v>
      </c>
      <c r="E239" s="4">
        <v>1607.9</v>
      </c>
      <c r="F239" s="4">
        <v>1583.5</v>
      </c>
      <c r="G239" s="4">
        <v>1590.26</v>
      </c>
      <c r="H239" s="1" t="s">
        <v>2449</v>
      </c>
      <c r="I239" s="1" t="s">
        <v>2451</v>
      </c>
      <c r="J239" s="1" t="s">
        <v>2452</v>
      </c>
      <c r="K239" s="1">
        <f t="shared" si="2"/>
        <v>-0.01517507308</v>
      </c>
      <c r="L239" s="7">
        <v>-0.0039901555010401196</v>
      </c>
      <c r="M239" s="8">
        <f t="shared" si="1"/>
        <v>7374814</v>
      </c>
    </row>
    <row r="240">
      <c r="A240" s="9">
        <v>45856.0</v>
      </c>
      <c r="B240" s="4">
        <v>1592.1</v>
      </c>
      <c r="C240" s="4">
        <v>1599.3</v>
      </c>
      <c r="D240" s="4">
        <v>1580.0</v>
      </c>
      <c r="E240" s="4">
        <v>1583.5</v>
      </c>
      <c r="F240" s="4">
        <v>1586.1</v>
      </c>
      <c r="G240" s="4">
        <v>1586.74</v>
      </c>
      <c r="H240" s="1" t="s">
        <v>2461</v>
      </c>
      <c r="I240" s="1" t="s">
        <v>2462</v>
      </c>
      <c r="J240" s="1" t="s">
        <v>2463</v>
      </c>
      <c r="K240" s="1">
        <f t="shared" si="2"/>
        <v>0.001641932428</v>
      </c>
      <c r="L240" s="7">
        <v>-0.00569660453697414</v>
      </c>
      <c r="M240" s="8">
        <f t="shared" si="1"/>
        <v>5161833</v>
      </c>
    </row>
    <row r="241">
      <c r="A241" s="9">
        <v>45859.0</v>
      </c>
      <c r="B241" s="4">
        <v>1580.0</v>
      </c>
      <c r="C241" s="4">
        <v>1589.0</v>
      </c>
      <c r="D241" s="4">
        <v>1566.8</v>
      </c>
      <c r="E241" s="4">
        <v>1586.1</v>
      </c>
      <c r="F241" s="4">
        <v>1584.3</v>
      </c>
      <c r="G241" s="4">
        <v>1579.48</v>
      </c>
      <c r="H241" s="1" t="s">
        <v>2470</v>
      </c>
      <c r="I241" s="1" t="s">
        <v>2472</v>
      </c>
      <c r="J241" s="1" t="s">
        <v>2474</v>
      </c>
      <c r="K241" s="1">
        <f t="shared" si="2"/>
        <v>-0.001134859088</v>
      </c>
      <c r="L241" s="7">
        <v>0.00489819131382064</v>
      </c>
      <c r="M241" s="8">
        <f t="shared" si="1"/>
        <v>3682661</v>
      </c>
    </row>
    <row r="242">
      <c r="A242" s="9">
        <v>45860.0</v>
      </c>
      <c r="B242" s="4">
        <v>1565.0</v>
      </c>
      <c r="C242" s="4">
        <v>1585.8</v>
      </c>
      <c r="D242" s="4">
        <v>1565.0</v>
      </c>
      <c r="E242" s="4">
        <v>1584.3</v>
      </c>
      <c r="F242" s="4">
        <v>1570.9</v>
      </c>
      <c r="G242" s="4">
        <v>1574.26</v>
      </c>
      <c r="H242" s="1" t="s">
        <v>2482</v>
      </c>
      <c r="I242" s="1" t="s">
        <v>2483</v>
      </c>
      <c r="J242" s="1" t="s">
        <v>2484</v>
      </c>
      <c r="K242" s="1">
        <f t="shared" si="2"/>
        <v>-0.008457994067</v>
      </c>
      <c r="L242" s="7">
        <v>-0.0011876910568457346</v>
      </c>
      <c r="M242" s="8">
        <f t="shared" si="1"/>
        <v>8473741</v>
      </c>
    </row>
    <row r="243">
      <c r="A243" s="9">
        <v>45861.0</v>
      </c>
      <c r="B243" s="4">
        <v>1576.3</v>
      </c>
      <c r="C243" s="4">
        <v>1591.9</v>
      </c>
      <c r="D243" s="4">
        <v>1550.0</v>
      </c>
      <c r="E243" s="4">
        <v>1570.9</v>
      </c>
      <c r="F243" s="4">
        <v>1574.5</v>
      </c>
      <c r="G243" s="4">
        <v>1580.42</v>
      </c>
      <c r="H243" s="1" t="s">
        <v>2493</v>
      </c>
      <c r="I243" s="1" t="s">
        <v>2494</v>
      </c>
      <c r="J243" s="1" t="s">
        <v>2495</v>
      </c>
      <c r="K243" s="1">
        <f t="shared" si="2"/>
        <v>0.002291679929</v>
      </c>
      <c r="L243" s="7">
        <v>0.006344544689137261</v>
      </c>
      <c r="M243" s="8">
        <f t="shared" si="1"/>
        <v>8035026</v>
      </c>
    </row>
    <row r="244">
      <c r="A244" s="9">
        <v>45862.0</v>
      </c>
      <c r="B244" s="4">
        <v>1580.0</v>
      </c>
      <c r="C244" s="4">
        <v>1582.0</v>
      </c>
      <c r="D244" s="4">
        <v>1548.2</v>
      </c>
      <c r="E244" s="4">
        <v>1574.5</v>
      </c>
      <c r="F244" s="4">
        <v>1552.5</v>
      </c>
      <c r="G244" s="4">
        <v>1557.81</v>
      </c>
      <c r="H244" s="1" t="s">
        <v>2501</v>
      </c>
      <c r="I244" s="1" t="s">
        <v>2504</v>
      </c>
      <c r="J244" s="1" t="s">
        <v>2506</v>
      </c>
      <c r="K244" s="1">
        <f t="shared" si="2"/>
        <v>-0.01397268974</v>
      </c>
      <c r="L244" s="7">
        <v>-0.0062569637468825375</v>
      </c>
      <c r="M244" s="8">
        <f t="shared" si="1"/>
        <v>14169664</v>
      </c>
    </row>
    <row r="245">
      <c r="A245" s="9">
        <v>45863.0</v>
      </c>
      <c r="B245" s="4">
        <v>1543.4</v>
      </c>
      <c r="C245" s="4">
        <v>1549.5</v>
      </c>
      <c r="D245" s="4">
        <v>1511.3</v>
      </c>
      <c r="E245" s="4">
        <v>1552.5</v>
      </c>
      <c r="F245" s="4">
        <v>1515.7</v>
      </c>
      <c r="G245" s="4">
        <v>1523.67</v>
      </c>
      <c r="H245" s="1" t="s">
        <v>2508</v>
      </c>
      <c r="I245" s="1" t="s">
        <v>2509</v>
      </c>
      <c r="J245" s="1" t="s">
        <v>2510</v>
      </c>
      <c r="K245" s="1">
        <f t="shared" si="2"/>
        <v>-0.0237037037</v>
      </c>
      <c r="L245" s="7">
        <v>-0.008981689483323367</v>
      </c>
      <c r="M245" s="8">
        <f t="shared" si="1"/>
        <v>10851259</v>
      </c>
    </row>
    <row r="246">
      <c r="A246" s="9">
        <v>45866.0</v>
      </c>
      <c r="B246" s="4">
        <v>1513.9</v>
      </c>
      <c r="C246" s="4">
        <v>1519.3</v>
      </c>
      <c r="D246" s="4">
        <v>1482.5</v>
      </c>
      <c r="E246" s="4">
        <v>1515.7</v>
      </c>
      <c r="F246" s="4">
        <v>1516.0</v>
      </c>
      <c r="G246" s="4">
        <v>1508.3</v>
      </c>
      <c r="H246" s="1" t="s">
        <v>2520</v>
      </c>
      <c r="I246" s="1" t="s">
        <v>2521</v>
      </c>
      <c r="J246" s="1" t="s">
        <v>2522</v>
      </c>
      <c r="K246" s="1">
        <f t="shared" si="2"/>
        <v>0.0001979283499</v>
      </c>
      <c r="L246" s="7">
        <v>-0.006284978056931133</v>
      </c>
      <c r="M246" s="8">
        <f t="shared" si="1"/>
        <v>6439855</v>
      </c>
    </row>
    <row r="247">
      <c r="A247" s="9">
        <v>45867.0</v>
      </c>
      <c r="B247" s="4">
        <v>1512.9</v>
      </c>
      <c r="C247" s="4">
        <v>1517.2</v>
      </c>
      <c r="D247" s="4">
        <v>1496.1</v>
      </c>
      <c r="E247" s="4">
        <v>1516.0</v>
      </c>
      <c r="F247" s="4">
        <v>1513.7</v>
      </c>
      <c r="G247" s="4">
        <v>1509.14</v>
      </c>
      <c r="H247" s="1" t="s">
        <v>2531</v>
      </c>
      <c r="I247" s="1" t="s">
        <v>2532</v>
      </c>
      <c r="J247" s="1" t="s">
        <v>2533</v>
      </c>
      <c r="K247" s="1">
        <f t="shared" si="2"/>
        <v>-0.001517150396</v>
      </c>
      <c r="L247" s="7">
        <v>0.005680505978306993</v>
      </c>
      <c r="M247" s="8">
        <f t="shared" si="1"/>
        <v>7070448</v>
      </c>
    </row>
    <row r="248">
      <c r="A248" s="9">
        <v>45868.0</v>
      </c>
      <c r="B248" s="4">
        <v>1519.9</v>
      </c>
      <c r="C248" s="4">
        <v>1521.7</v>
      </c>
      <c r="D248" s="4">
        <v>1506.0</v>
      </c>
      <c r="E248" s="4">
        <v>1513.7</v>
      </c>
      <c r="F248" s="4">
        <v>1519.0</v>
      </c>
      <c r="G248" s="4">
        <v>1515.04</v>
      </c>
      <c r="H248" s="1" t="s">
        <v>2539</v>
      </c>
      <c r="I248" s="1" t="s">
        <v>2542</v>
      </c>
      <c r="J248" s="1" t="s">
        <v>2544</v>
      </c>
      <c r="K248" s="1">
        <f t="shared" si="2"/>
        <v>0.003501354297</v>
      </c>
      <c r="L248" s="7">
        <v>0.0013677878901418845</v>
      </c>
      <c r="M248" s="8">
        <f t="shared" si="1"/>
        <v>5719051</v>
      </c>
    </row>
    <row r="249">
      <c r="A249" s="9">
        <v>45869.0</v>
      </c>
      <c r="B249" s="4">
        <v>1509.7</v>
      </c>
      <c r="C249" s="4">
        <v>1527.1</v>
      </c>
      <c r="D249" s="4">
        <v>1497.0</v>
      </c>
      <c r="E249" s="4">
        <v>1519.0</v>
      </c>
      <c r="F249" s="4">
        <v>1509.0</v>
      </c>
      <c r="G249" s="4">
        <v>1510.45</v>
      </c>
      <c r="H249" s="1" t="s">
        <v>2547</v>
      </c>
      <c r="I249" s="1" t="s">
        <v>2549</v>
      </c>
      <c r="J249" s="1" t="s">
        <v>2552</v>
      </c>
      <c r="K249" s="1">
        <f t="shared" si="2"/>
        <v>-0.006583278473</v>
      </c>
      <c r="L249" s="7">
        <v>-0.003488224726966984</v>
      </c>
      <c r="M249" s="8">
        <f t="shared" si="1"/>
        <v>6851407</v>
      </c>
    </row>
    <row r="250">
      <c r="A250" s="3">
        <v>45870.0</v>
      </c>
      <c r="B250" s="4">
        <v>1493.9</v>
      </c>
      <c r="C250" s="4">
        <v>1498.7</v>
      </c>
      <c r="D250" s="4">
        <v>1465.5</v>
      </c>
      <c r="E250" s="4">
        <v>1509.0</v>
      </c>
      <c r="F250" s="4">
        <v>1469.6</v>
      </c>
      <c r="G250" s="4">
        <v>1479.8</v>
      </c>
      <c r="H250" s="1" t="s">
        <v>2559</v>
      </c>
      <c r="I250" s="1" t="s">
        <v>2561</v>
      </c>
      <c r="J250" s="1" t="s">
        <v>2562</v>
      </c>
      <c r="K250" s="1">
        <f t="shared" si="2"/>
        <v>-0.02611000663</v>
      </c>
      <c r="L250" s="7">
        <v>-0.008195943613522903</v>
      </c>
      <c r="M250" s="8">
        <f t="shared" si="1"/>
        <v>8702978</v>
      </c>
    </row>
    <row r="251">
      <c r="A251" s="3">
        <v>45873.0</v>
      </c>
      <c r="B251" s="4">
        <v>1461.5</v>
      </c>
      <c r="C251" s="4">
        <v>1482.8</v>
      </c>
      <c r="D251" s="4">
        <v>1451.0</v>
      </c>
      <c r="E251" s="4">
        <v>1469.6</v>
      </c>
      <c r="F251" s="4">
        <v>1480.5</v>
      </c>
      <c r="G251" s="4">
        <v>1469.55</v>
      </c>
      <c r="H251" s="1" t="s">
        <v>2567</v>
      </c>
      <c r="I251" s="1" t="s">
        <v>2568</v>
      </c>
      <c r="J251" s="1" t="s">
        <v>2569</v>
      </c>
      <c r="K251" s="1">
        <f t="shared" si="2"/>
        <v>0.007416984213</v>
      </c>
      <c r="L251" s="7">
        <v>0.006407399039704359</v>
      </c>
      <c r="M251" s="8">
        <f t="shared" si="1"/>
        <v>8610216</v>
      </c>
    </row>
    <row r="252">
      <c r="A252" s="3">
        <v>45874.0</v>
      </c>
      <c r="B252" s="4">
        <v>1478.7</v>
      </c>
      <c r="C252" s="4">
        <v>1478.7</v>
      </c>
      <c r="D252" s="4">
        <v>1455.0</v>
      </c>
      <c r="E252" s="4">
        <v>1480.5</v>
      </c>
      <c r="F252" s="4">
        <v>1460.3</v>
      </c>
      <c r="G252" s="4">
        <v>1461.05</v>
      </c>
      <c r="H252" s="1" t="s">
        <v>2579</v>
      </c>
      <c r="I252" s="1" t="s">
        <v>2580</v>
      </c>
      <c r="J252" s="1" t="s">
        <v>2581</v>
      </c>
      <c r="K252" s="1">
        <f t="shared" si="2"/>
        <v>-0.01364403918</v>
      </c>
      <c r="L252" s="7">
        <v>-0.002960835667553194</v>
      </c>
      <c r="M252" s="8">
        <f t="shared" si="1"/>
        <v>10213323</v>
      </c>
    </row>
    <row r="253">
      <c r="A253" s="3">
        <v>45875.0</v>
      </c>
      <c r="B253" s="4">
        <v>1452.0</v>
      </c>
      <c r="C253" s="4">
        <v>1456.1</v>
      </c>
      <c r="D253" s="4">
        <v>1430.3</v>
      </c>
      <c r="E253" s="4">
        <v>1460.3</v>
      </c>
      <c r="F253" s="4">
        <v>1436.7</v>
      </c>
      <c r="G253" s="4">
        <v>1440.41</v>
      </c>
      <c r="H253" s="1" t="s">
        <v>2589</v>
      </c>
      <c r="I253" s="1" t="s">
        <v>2591</v>
      </c>
      <c r="J253" s="1" t="s">
        <v>2593</v>
      </c>
      <c r="K253" s="1">
        <f t="shared" si="2"/>
        <v>-0.0161610628</v>
      </c>
      <c r="L253" s="7">
        <v>-0.0030568509364267723</v>
      </c>
      <c r="M253" s="8">
        <f t="shared" si="1"/>
        <v>10566934</v>
      </c>
    </row>
    <row r="254">
      <c r="A254" s="3">
        <v>45876.0</v>
      </c>
      <c r="B254" s="4">
        <v>1430.0</v>
      </c>
      <c r="C254" s="4">
        <v>1442.0</v>
      </c>
      <c r="D254" s="4">
        <v>1414.2</v>
      </c>
      <c r="E254" s="4">
        <v>1436.7</v>
      </c>
      <c r="F254" s="4">
        <v>1436.9</v>
      </c>
      <c r="G254" s="4">
        <v>1428.81</v>
      </c>
      <c r="H254" s="1" t="s">
        <v>2603</v>
      </c>
      <c r="I254" s="1" t="s">
        <v>2604</v>
      </c>
      <c r="J254" s="1" t="s">
        <v>2605</v>
      </c>
      <c r="K254" s="1">
        <f t="shared" si="2"/>
        <v>0.000139207907</v>
      </c>
      <c r="L254" s="7">
        <v>8.932132073475729E-4</v>
      </c>
      <c r="M254" s="8">
        <f t="shared" si="1"/>
        <v>9892020</v>
      </c>
    </row>
    <row r="255">
      <c r="A255" s="3">
        <v>45877.0</v>
      </c>
      <c r="B255" s="4">
        <v>1425.0</v>
      </c>
      <c r="C255" s="4">
        <v>1433.2</v>
      </c>
      <c r="D255" s="4">
        <v>1417.1</v>
      </c>
      <c r="E255" s="4">
        <v>1436.9</v>
      </c>
      <c r="F255" s="4">
        <v>1423.1</v>
      </c>
      <c r="G255" s="4">
        <v>1424.44</v>
      </c>
      <c r="H255" s="1" t="s">
        <v>2613</v>
      </c>
      <c r="I255" s="1" t="s">
        <v>2615</v>
      </c>
      <c r="J255" s="1" t="s">
        <v>2616</v>
      </c>
      <c r="K255" s="1">
        <f t="shared" si="2"/>
        <v>-0.00960400863</v>
      </c>
      <c r="L255" s="7">
        <v>-0.009466928767307167</v>
      </c>
      <c r="M255" s="8">
        <f t="shared" si="1"/>
        <v>10048009</v>
      </c>
    </row>
    <row r="256">
      <c r="A256" s="9">
        <v>45880.0</v>
      </c>
      <c r="B256" s="4">
        <v>1419.9</v>
      </c>
      <c r="C256" s="4">
        <v>1433.4</v>
      </c>
      <c r="D256" s="4">
        <v>1414.0</v>
      </c>
      <c r="E256" s="4">
        <v>1423.1</v>
      </c>
      <c r="F256" s="4">
        <v>1428.2</v>
      </c>
      <c r="G256" s="4">
        <v>1425.61</v>
      </c>
      <c r="H256" s="1" t="s">
        <v>2622</v>
      </c>
      <c r="I256" s="1" t="s">
        <v>2624</v>
      </c>
      <c r="J256" s="1" t="s">
        <v>2626</v>
      </c>
      <c r="K256" s="1">
        <f t="shared" si="2"/>
        <v>0.003583725669</v>
      </c>
      <c r="L256" s="7">
        <v>0.009101804763722484</v>
      </c>
      <c r="M256" s="8">
        <f t="shared" si="1"/>
        <v>6625368</v>
      </c>
    </row>
    <row r="257">
      <c r="A257" s="9">
        <v>45881.0</v>
      </c>
      <c r="B257" s="4">
        <v>1428.2</v>
      </c>
      <c r="C257" s="4">
        <v>1441.0</v>
      </c>
      <c r="D257" s="4">
        <v>1421.0</v>
      </c>
      <c r="E257" s="4">
        <v>1428.2</v>
      </c>
      <c r="F257" s="4">
        <v>1424.1</v>
      </c>
      <c r="G257" s="4">
        <v>1431.09</v>
      </c>
      <c r="H257" s="1" t="s">
        <v>2633</v>
      </c>
      <c r="I257" s="1" t="s">
        <v>2634</v>
      </c>
      <c r="J257" s="1" t="s">
        <v>2635</v>
      </c>
      <c r="K257" s="1">
        <f t="shared" si="2"/>
        <v>-0.002870746394</v>
      </c>
      <c r="L257" s="7">
        <v>-0.003971926028216246</v>
      </c>
      <c r="M257" s="8">
        <f t="shared" si="1"/>
        <v>9899184</v>
      </c>
    </row>
    <row r="258">
      <c r="A258" s="9">
        <v>45882.0</v>
      </c>
      <c r="B258" s="4">
        <v>1425.0</v>
      </c>
      <c r="C258" s="4">
        <v>1434.0</v>
      </c>
      <c r="D258" s="4">
        <v>1422.4</v>
      </c>
      <c r="E258" s="4">
        <v>1424.1</v>
      </c>
      <c r="F258" s="4">
        <v>1426.6</v>
      </c>
      <c r="G258" s="4">
        <v>1427.16</v>
      </c>
      <c r="H258" s="1" t="s">
        <v>2644</v>
      </c>
      <c r="I258" s="1" t="s">
        <v>2646</v>
      </c>
      <c r="J258" s="1" t="s">
        <v>2647</v>
      </c>
      <c r="K258" s="1">
        <f t="shared" si="2"/>
        <v>0.001755494698</v>
      </c>
      <c r="L258" s="7">
        <v>0.005388485506831966</v>
      </c>
      <c r="M258" s="8">
        <f t="shared" si="1"/>
        <v>10318063</v>
      </c>
    </row>
    <row r="259">
      <c r="A259" s="9">
        <v>45883.0</v>
      </c>
      <c r="B259" s="4">
        <v>1426.2</v>
      </c>
      <c r="C259" s="4">
        <v>1470.0</v>
      </c>
      <c r="D259" s="4">
        <v>1426.2</v>
      </c>
      <c r="E259" s="4">
        <v>1426.6</v>
      </c>
      <c r="F259" s="4">
        <v>1447.7</v>
      </c>
      <c r="G259" s="4">
        <v>1451.87</v>
      </c>
      <c r="H259" s="1" t="s">
        <v>2648</v>
      </c>
      <c r="I259" s="1" t="s">
        <v>2649</v>
      </c>
      <c r="J259" s="1" t="s">
        <v>2651</v>
      </c>
      <c r="K259" s="1">
        <f t="shared" si="2"/>
        <v>0.01479041077</v>
      </c>
      <c r="L259" s="7">
        <v>4.853905566150499E-4</v>
      </c>
      <c r="M259" s="8">
        <f t="shared" si="1"/>
        <v>12902347</v>
      </c>
    </row>
    <row r="260">
      <c r="A260" s="9">
        <v>45887.0</v>
      </c>
      <c r="B260" s="4">
        <v>1464.7</v>
      </c>
      <c r="C260" s="4">
        <v>1464.7</v>
      </c>
      <c r="D260" s="4">
        <v>1429.6</v>
      </c>
      <c r="E260" s="4">
        <v>1447.7</v>
      </c>
      <c r="F260" s="4">
        <v>1435.8</v>
      </c>
      <c r="G260" s="4">
        <v>1438.72</v>
      </c>
      <c r="H260" s="1" t="s">
        <v>2660</v>
      </c>
      <c r="I260" s="1" t="s">
        <v>2661</v>
      </c>
      <c r="J260" s="1" t="s">
        <v>2662</v>
      </c>
      <c r="K260" s="1">
        <f t="shared" si="2"/>
        <v>-0.008219935069</v>
      </c>
      <c r="L260" s="7">
        <v>0.009973083028504443</v>
      </c>
      <c r="M260" s="8">
        <f t="shared" si="1"/>
        <v>7254561</v>
      </c>
    </row>
    <row r="261">
      <c r="A261" s="9">
        <v>45888.0</v>
      </c>
      <c r="B261" s="4">
        <v>1432.7</v>
      </c>
      <c r="C261" s="4">
        <v>1449.4</v>
      </c>
      <c r="D261" s="4">
        <v>1432.7</v>
      </c>
      <c r="E261" s="4">
        <v>1435.8</v>
      </c>
      <c r="F261" s="4">
        <v>1440.0</v>
      </c>
      <c r="G261" s="4">
        <v>1442.34</v>
      </c>
      <c r="H261" s="1" t="s">
        <v>2667</v>
      </c>
      <c r="I261" s="1" t="s">
        <v>2668</v>
      </c>
      <c r="J261" s="1" t="s">
        <v>2669</v>
      </c>
      <c r="K261" s="1">
        <f t="shared" si="2"/>
        <v>0.002925198496</v>
      </c>
      <c r="L261" s="7">
        <v>0.0041685174428537555</v>
      </c>
      <c r="M261" s="8">
        <f t="shared" si="1"/>
        <v>3986094</v>
      </c>
    </row>
    <row r="262">
      <c r="A262" s="9">
        <v>45889.0</v>
      </c>
      <c r="B262" s="4">
        <v>1440.7</v>
      </c>
      <c r="C262" s="4">
        <v>1499.0</v>
      </c>
      <c r="D262" s="4">
        <v>1440.7</v>
      </c>
      <c r="E262" s="4">
        <v>1440.0</v>
      </c>
      <c r="F262" s="4">
        <v>1496.2</v>
      </c>
      <c r="G262" s="4">
        <v>1482.74</v>
      </c>
      <c r="H262" s="1" t="s">
        <v>2675</v>
      </c>
      <c r="I262" s="1" t="s">
        <v>2676</v>
      </c>
      <c r="J262" s="1" t="s">
        <v>2677</v>
      </c>
      <c r="K262" s="1">
        <f t="shared" si="2"/>
        <v>0.03902777778</v>
      </c>
      <c r="L262" s="7">
        <v>0.0027981657803138756</v>
      </c>
      <c r="M262" s="8">
        <f t="shared" si="1"/>
        <v>10413061</v>
      </c>
    </row>
    <row r="263">
      <c r="A263" s="9">
        <v>45890.0</v>
      </c>
      <c r="B263" s="4">
        <v>1508.0</v>
      </c>
      <c r="C263" s="4">
        <v>1508.0</v>
      </c>
      <c r="D263" s="4">
        <v>1484.3</v>
      </c>
      <c r="E263" s="4">
        <v>1496.2</v>
      </c>
      <c r="F263" s="4">
        <v>1496.4</v>
      </c>
      <c r="G263" s="4">
        <v>1497.17</v>
      </c>
      <c r="H263" s="1" t="s">
        <v>2682</v>
      </c>
      <c r="I263" s="1" t="s">
        <v>2684</v>
      </c>
      <c r="J263" s="1" t="s">
        <v>2686</v>
      </c>
      <c r="K263" s="1">
        <f t="shared" si="2"/>
        <v>0.000133671969</v>
      </c>
      <c r="L263" s="7">
        <v>0.0013253202025504721</v>
      </c>
      <c r="M263" s="8">
        <f t="shared" si="1"/>
        <v>6565539</v>
      </c>
    </row>
    <row r="264">
      <c r="A264" s="9">
        <v>45891.0</v>
      </c>
      <c r="B264" s="4">
        <v>1498.1</v>
      </c>
      <c r="C264" s="4">
        <v>1504.3</v>
      </c>
      <c r="D264" s="4">
        <v>1486.1</v>
      </c>
      <c r="E264" s="4">
        <v>1496.4</v>
      </c>
      <c r="F264" s="4">
        <v>1487.5</v>
      </c>
      <c r="G264" s="4">
        <v>1492.1</v>
      </c>
      <c r="H264" s="1" t="s">
        <v>2693</v>
      </c>
      <c r="I264" s="1" t="s">
        <v>2695</v>
      </c>
      <c r="J264" s="1" t="s">
        <v>2697</v>
      </c>
      <c r="K264" s="1">
        <f t="shared" si="2"/>
        <v>-0.005947607592</v>
      </c>
      <c r="L264" s="7">
        <v>-0.008517466487267712</v>
      </c>
      <c r="M264" s="8">
        <f t="shared" si="1"/>
        <v>5543397</v>
      </c>
    </row>
    <row r="265">
      <c r="A265" s="9">
        <v>45894.0</v>
      </c>
      <c r="B265" s="4">
        <v>1506.7</v>
      </c>
      <c r="C265" s="4">
        <v>1539.0</v>
      </c>
      <c r="D265" s="4">
        <v>1506.7</v>
      </c>
      <c r="E265" s="4">
        <v>1487.5</v>
      </c>
      <c r="F265" s="4">
        <v>1532.1</v>
      </c>
      <c r="G265" s="4">
        <v>1529.98</v>
      </c>
      <c r="H265" s="1" t="s">
        <v>2702</v>
      </c>
      <c r="I265" s="1" t="s">
        <v>2703</v>
      </c>
      <c r="J265" s="1" t="s">
        <v>2704</v>
      </c>
      <c r="K265" s="1">
        <f t="shared" si="2"/>
        <v>0.02998319328</v>
      </c>
      <c r="L265" s="7">
        <v>0.003926401582623369</v>
      </c>
      <c r="M265" s="8">
        <f t="shared" si="1"/>
        <v>10694531</v>
      </c>
    </row>
    <row r="266">
      <c r="A266" s="9">
        <v>45895.0</v>
      </c>
      <c r="B266" s="4">
        <v>1523.0</v>
      </c>
      <c r="C266" s="4">
        <v>1538.4</v>
      </c>
      <c r="D266" s="4">
        <v>1518.6</v>
      </c>
      <c r="E266" s="4">
        <v>1532.1</v>
      </c>
      <c r="F266" s="4">
        <v>1529.6</v>
      </c>
      <c r="G266" s="4">
        <v>1528.71</v>
      </c>
      <c r="H266" s="1" t="s">
        <v>2711</v>
      </c>
      <c r="I266" s="1" t="s">
        <v>2713</v>
      </c>
      <c r="J266" s="1" t="s">
        <v>2716</v>
      </c>
      <c r="K266" s="1">
        <f t="shared" si="2"/>
        <v>-0.001631747275</v>
      </c>
      <c r="L266" s="7">
        <v>-0.010241211162399524</v>
      </c>
      <c r="M266" s="8">
        <f t="shared" si="1"/>
        <v>15994798</v>
      </c>
    </row>
    <row r="267">
      <c r="A267" s="9">
        <v>45897.0</v>
      </c>
      <c r="B267" s="4">
        <v>1529.6</v>
      </c>
      <c r="C267" s="4">
        <v>1529.6</v>
      </c>
      <c r="D267" s="4">
        <v>1498.0</v>
      </c>
      <c r="E267" s="4">
        <v>1529.6</v>
      </c>
      <c r="F267" s="4">
        <v>1500.1</v>
      </c>
      <c r="G267" s="4">
        <v>1505.61</v>
      </c>
      <c r="H267" s="1" t="s">
        <v>2720</v>
      </c>
      <c r="I267" s="1" t="s">
        <v>2721</v>
      </c>
      <c r="J267" s="1" t="s">
        <v>2722</v>
      </c>
      <c r="K267" s="1">
        <f t="shared" si="2"/>
        <v>-0.01928608787</v>
      </c>
      <c r="L267" s="7">
        <v>-0.008544414566982416</v>
      </c>
      <c r="M267" s="8">
        <f t="shared" si="1"/>
        <v>5443364</v>
      </c>
    </row>
    <row r="268">
      <c r="A268" s="9">
        <v>45898.0</v>
      </c>
      <c r="B268" s="4">
        <v>1501.9</v>
      </c>
      <c r="C268" s="4">
        <v>1501.9</v>
      </c>
      <c r="D268" s="4">
        <v>1467.7</v>
      </c>
      <c r="E268" s="4">
        <v>1500.1</v>
      </c>
      <c r="F268" s="4">
        <v>1469.6</v>
      </c>
      <c r="G268" s="4">
        <v>1479.78</v>
      </c>
      <c r="H268" s="1" t="s">
        <v>2728</v>
      </c>
      <c r="I268" s="1" t="s">
        <v>2729</v>
      </c>
      <c r="J268" s="1" t="s">
        <v>2730</v>
      </c>
      <c r="K268" s="1">
        <f t="shared" si="2"/>
        <v>-0.02033197787</v>
      </c>
      <c r="L268" s="7">
        <v>-0.0030223379549323866</v>
      </c>
      <c r="M268" s="8">
        <f t="shared" si="1"/>
        <v>8169075</v>
      </c>
    </row>
    <row r="269">
      <c r="A269" s="3">
        <v>45901.0</v>
      </c>
      <c r="B269" s="4">
        <v>1476.7</v>
      </c>
      <c r="C269" s="4">
        <v>1503.4</v>
      </c>
      <c r="D269" s="4">
        <v>1476.2</v>
      </c>
      <c r="E269" s="4">
        <v>1469.6</v>
      </c>
      <c r="F269" s="4">
        <v>1499.4</v>
      </c>
      <c r="G269" s="4">
        <v>1497.49</v>
      </c>
      <c r="H269" s="1" t="s">
        <v>2738</v>
      </c>
      <c r="I269" s="1" t="s">
        <v>2740</v>
      </c>
      <c r="J269" s="1" t="s">
        <v>2741</v>
      </c>
      <c r="K269" s="1">
        <f t="shared" si="2"/>
        <v>0.02027762657</v>
      </c>
      <c r="L269" s="7">
        <v>0.008114022069976306</v>
      </c>
      <c r="M269" s="8">
        <f t="shared" si="1"/>
        <v>4546057</v>
      </c>
    </row>
    <row r="270">
      <c r="A270" s="3">
        <v>45902.0</v>
      </c>
      <c r="B270" s="4">
        <v>1499.4</v>
      </c>
      <c r="C270" s="4">
        <v>1512.8</v>
      </c>
      <c r="D270" s="4">
        <v>1486.3</v>
      </c>
      <c r="E270" s="4">
        <v>1499.4</v>
      </c>
      <c r="F270" s="4">
        <v>1498.7</v>
      </c>
      <c r="G270" s="4">
        <v>1501.52</v>
      </c>
      <c r="H270" s="1" t="s">
        <v>2748</v>
      </c>
      <c r="I270" s="1" t="s">
        <v>2749</v>
      </c>
      <c r="J270" s="1" t="s">
        <v>2750</v>
      </c>
      <c r="K270" s="1">
        <f t="shared" si="2"/>
        <v>-0.000466853408</v>
      </c>
      <c r="L270" s="7">
        <v>-0.001845681531611133</v>
      </c>
      <c r="M270" s="8">
        <f t="shared" si="1"/>
        <v>5218763</v>
      </c>
    </row>
    <row r="271">
      <c r="A271" s="3">
        <v>45903.0</v>
      </c>
      <c r="B271" s="4">
        <v>1500.0</v>
      </c>
      <c r="C271" s="4">
        <v>1501.9</v>
      </c>
      <c r="D271" s="4">
        <v>1473.0</v>
      </c>
      <c r="E271" s="4">
        <v>1498.7</v>
      </c>
      <c r="F271" s="4">
        <v>1479.1</v>
      </c>
      <c r="G271" s="4">
        <v>1479.49</v>
      </c>
      <c r="H271" s="1" t="s">
        <v>2761</v>
      </c>
      <c r="I271" s="1" t="s">
        <v>2763</v>
      </c>
      <c r="J271" s="1" t="s">
        <v>2765</v>
      </c>
      <c r="K271" s="1">
        <f t="shared" si="2"/>
        <v>-0.01307800093</v>
      </c>
      <c r="L271" s="7">
        <v>0.005510667382707641</v>
      </c>
      <c r="M271" s="8">
        <f t="shared" si="1"/>
        <v>4623483</v>
      </c>
    </row>
    <row r="272">
      <c r="A272" s="3">
        <v>45904.0</v>
      </c>
      <c r="B272" s="4">
        <v>1484.0</v>
      </c>
      <c r="C272" s="4">
        <v>1484.0</v>
      </c>
      <c r="D272" s="4">
        <v>1460.1</v>
      </c>
      <c r="E272" s="4">
        <v>1479.1</v>
      </c>
      <c r="F272" s="4">
        <v>1463.0</v>
      </c>
      <c r="G272" s="4">
        <v>1469.07</v>
      </c>
      <c r="H272" s="1" t="s">
        <v>2774</v>
      </c>
      <c r="I272" s="1" t="s">
        <v>2775</v>
      </c>
      <c r="J272" s="1" t="s">
        <v>2777</v>
      </c>
      <c r="K272" s="1">
        <f t="shared" si="2"/>
        <v>-0.01088499763</v>
      </c>
      <c r="L272" s="7">
        <v>7.788776474253542E-4</v>
      </c>
      <c r="M272" s="8">
        <f t="shared" si="1"/>
        <v>5787724</v>
      </c>
    </row>
    <row r="273">
      <c r="A273" s="3">
        <v>45905.0</v>
      </c>
      <c r="B273" s="4">
        <v>1470.0</v>
      </c>
      <c r="C273" s="4">
        <v>1472.7</v>
      </c>
      <c r="D273" s="4">
        <v>1433.0</v>
      </c>
      <c r="E273" s="4">
        <v>1463.0</v>
      </c>
      <c r="F273" s="4">
        <v>1444.6</v>
      </c>
      <c r="G273" s="4">
        <v>1445.24</v>
      </c>
      <c r="H273" s="1" t="s">
        <v>2781</v>
      </c>
      <c r="I273" s="1" t="s">
        <v>2782</v>
      </c>
      <c r="J273" s="1" t="s">
        <v>2783</v>
      </c>
      <c r="K273" s="1">
        <f t="shared" si="2"/>
        <v>-0.01257689679</v>
      </c>
      <c r="L273" s="7">
        <v>2.708789009594259E-4</v>
      </c>
      <c r="M273" s="8">
        <f t="shared" si="1"/>
        <v>5466487</v>
      </c>
    </row>
    <row r="274">
      <c r="A274" s="3">
        <v>45908.0</v>
      </c>
      <c r="B274" s="4">
        <v>1451.0</v>
      </c>
      <c r="C274" s="4">
        <v>1458.0</v>
      </c>
      <c r="D274" s="4">
        <v>1428.3</v>
      </c>
      <c r="E274" s="4">
        <v>1444.6</v>
      </c>
      <c r="F274" s="4">
        <v>1432.9</v>
      </c>
      <c r="G274" s="4">
        <v>1436.94</v>
      </c>
      <c r="H274" s="1" t="s">
        <v>2791</v>
      </c>
      <c r="I274" s="1" t="s">
        <v>2793</v>
      </c>
      <c r="J274" s="1" t="s">
        <v>2795</v>
      </c>
      <c r="K274" s="1">
        <f t="shared" si="2"/>
        <v>-0.008099127786</v>
      </c>
      <c r="L274" s="7">
        <v>0.0012994624307829698</v>
      </c>
      <c r="M274" s="8">
        <f t="shared" si="1"/>
        <v>3811567</v>
      </c>
    </row>
    <row r="275">
      <c r="A275" s="3">
        <v>45909.0</v>
      </c>
      <c r="B275" s="4">
        <v>1481.0</v>
      </c>
      <c r="C275" s="4">
        <v>1507.2</v>
      </c>
      <c r="D275" s="4">
        <v>1472.5</v>
      </c>
      <c r="E275" s="4">
        <v>1432.9</v>
      </c>
      <c r="F275" s="4">
        <v>1504.3</v>
      </c>
      <c r="G275" s="4">
        <v>1495.04</v>
      </c>
      <c r="H275" s="1" t="s">
        <v>2798</v>
      </c>
      <c r="I275" s="1" t="s">
        <v>2801</v>
      </c>
      <c r="J275" s="1" t="s">
        <v>2804</v>
      </c>
      <c r="K275" s="1">
        <f t="shared" si="2"/>
        <v>0.04982901808</v>
      </c>
      <c r="L275" s="7">
        <v>0.0038529617751475722</v>
      </c>
      <c r="M275" s="8">
        <f t="shared" si="1"/>
        <v>13072640</v>
      </c>
    </row>
    <row r="276">
      <c r="A276" s="9">
        <v>45910.0</v>
      </c>
      <c r="B276" s="4">
        <v>1510.1</v>
      </c>
      <c r="C276" s="4">
        <v>1534.9</v>
      </c>
      <c r="D276" s="4">
        <v>1509.3</v>
      </c>
      <c r="E276" s="4">
        <v>1504.3</v>
      </c>
      <c r="F276" s="4">
        <v>1532.6</v>
      </c>
      <c r="G276" s="4">
        <v>1528.49</v>
      </c>
      <c r="H276" s="1" t="s">
        <v>2811</v>
      </c>
      <c r="I276" s="1" t="s">
        <v>2812</v>
      </c>
      <c r="J276" s="1" t="s">
        <v>2813</v>
      </c>
      <c r="K276" s="1">
        <f t="shared" si="2"/>
        <v>0.01881273682</v>
      </c>
      <c r="L276" s="7">
        <v>0.004202086164882623</v>
      </c>
      <c r="M276" s="8">
        <f t="shared" si="1"/>
        <v>7281071</v>
      </c>
    </row>
    <row r="277">
      <c r="A277" s="9">
        <v>45911.0</v>
      </c>
      <c r="B277" s="4">
        <v>1523.9</v>
      </c>
      <c r="C277" s="4">
        <v>1527.5</v>
      </c>
      <c r="D277" s="4">
        <v>1506.5</v>
      </c>
      <c r="E277" s="4">
        <v>1532.6</v>
      </c>
      <c r="F277" s="4">
        <v>1509.7</v>
      </c>
      <c r="G277" s="4">
        <v>1512.35</v>
      </c>
      <c r="H277" s="1" t="s">
        <v>2820</v>
      </c>
      <c r="I277" s="1" t="s">
        <v>2821</v>
      </c>
      <c r="J277" s="1" t="s">
        <v>2822</v>
      </c>
      <c r="K277" s="1">
        <f t="shared" si="2"/>
        <v>-0.01494192875</v>
      </c>
      <c r="L277" s="7">
        <v>0.0012973959980940074</v>
      </c>
      <c r="M277" s="8">
        <f t="shared" si="1"/>
        <v>8003662</v>
      </c>
    </row>
    <row r="278">
      <c r="A278" s="9">
        <v>45912.0</v>
      </c>
      <c r="B278" s="4">
        <v>1537.0</v>
      </c>
      <c r="C278" s="4">
        <v>1542.9</v>
      </c>
      <c r="D278" s="4">
        <v>1521.1</v>
      </c>
      <c r="E278" s="4">
        <v>1509.7</v>
      </c>
      <c r="F278" s="4">
        <v>1525.6</v>
      </c>
      <c r="G278" s="4">
        <v>1529.87</v>
      </c>
      <c r="H278" s="1" t="s">
        <v>2826</v>
      </c>
      <c r="I278" s="1" t="s">
        <v>2827</v>
      </c>
      <c r="J278" s="1" t="s">
        <v>2828</v>
      </c>
      <c r="K278" s="1">
        <f t="shared" si="2"/>
        <v>0.01053189375</v>
      </c>
      <c r="L278" s="7">
        <v>0.0043390454100097975</v>
      </c>
      <c r="M278" s="8">
        <f t="shared" si="1"/>
        <v>12856963</v>
      </c>
    </row>
    <row r="279">
      <c r="A279" s="9">
        <v>45915.0</v>
      </c>
      <c r="B279" s="4">
        <v>1525.6</v>
      </c>
      <c r="C279" s="4">
        <v>1527.5</v>
      </c>
      <c r="D279" s="4">
        <v>1501.2</v>
      </c>
      <c r="E279" s="4">
        <v>1525.6</v>
      </c>
      <c r="F279" s="4">
        <v>1508.4</v>
      </c>
      <c r="G279" s="4">
        <v>1509.78</v>
      </c>
      <c r="H279" s="1" t="s">
        <v>2835</v>
      </c>
      <c r="I279" s="1" t="s">
        <v>2837</v>
      </c>
      <c r="J279" s="1" t="s">
        <v>2838</v>
      </c>
      <c r="K279" s="1">
        <f t="shared" si="2"/>
        <v>-0.01127425275</v>
      </c>
      <c r="L279" s="7">
        <v>-0.0017838655729871494</v>
      </c>
      <c r="M279" s="8">
        <f t="shared" si="1"/>
        <v>6167414</v>
      </c>
    </row>
    <row r="280">
      <c r="A280" s="9">
        <v>45916.0</v>
      </c>
      <c r="B280" s="4">
        <v>1508.4</v>
      </c>
      <c r="C280" s="4">
        <v>1514.0</v>
      </c>
      <c r="D280" s="4">
        <v>1503.5</v>
      </c>
      <c r="E280" s="4">
        <v>1508.4</v>
      </c>
      <c r="F280" s="4">
        <v>1511.3</v>
      </c>
      <c r="G280" s="4">
        <v>1507.82</v>
      </c>
      <c r="H280" s="1" t="s">
        <v>2847</v>
      </c>
      <c r="I280" s="1" t="s">
        <v>2848</v>
      </c>
      <c r="J280" s="1" t="s">
        <v>2849</v>
      </c>
      <c r="K280" s="1">
        <f t="shared" si="2"/>
        <v>0.001922566958</v>
      </c>
      <c r="L280" s="7">
        <v>0.006777240598024581</v>
      </c>
      <c r="M280" s="8">
        <f t="shared" si="1"/>
        <v>8923112</v>
      </c>
    </row>
    <row r="281">
      <c r="A281" s="9">
        <v>45917.0</v>
      </c>
      <c r="B281" s="4">
        <v>1516.9</v>
      </c>
      <c r="C281" s="4">
        <v>1526.7</v>
      </c>
      <c r="D281" s="4">
        <v>1514.0</v>
      </c>
      <c r="E281" s="4">
        <v>1511.3</v>
      </c>
      <c r="F281" s="4">
        <v>1522.4</v>
      </c>
      <c r="G281" s="4">
        <v>1521.42</v>
      </c>
      <c r="H281" s="1" t="s">
        <v>2853</v>
      </c>
      <c r="I281" s="1" t="s">
        <v>2855</v>
      </c>
      <c r="J281" s="1" t="s">
        <v>2857</v>
      </c>
      <c r="K281" s="1">
        <f t="shared" si="2"/>
        <v>0.007344670152</v>
      </c>
      <c r="L281" s="7">
        <v>0.0036114599965926465</v>
      </c>
      <c r="M281" s="8">
        <f t="shared" si="1"/>
        <v>4795698</v>
      </c>
    </row>
    <row r="282">
      <c r="A282" s="9">
        <v>45918.0</v>
      </c>
      <c r="B282" s="4">
        <v>1550.0</v>
      </c>
      <c r="C282" s="4">
        <v>1555.0</v>
      </c>
      <c r="D282" s="4">
        <v>1538.5</v>
      </c>
      <c r="E282" s="4">
        <v>1522.4</v>
      </c>
      <c r="F282" s="4">
        <v>1540.6</v>
      </c>
      <c r="G282" s="4">
        <v>1545.13</v>
      </c>
      <c r="H282" s="1" t="s">
        <v>2862</v>
      </c>
      <c r="I282" s="1" t="s">
        <v>2863</v>
      </c>
      <c r="J282" s="1" t="s">
        <v>2864</v>
      </c>
      <c r="K282" s="1">
        <f t="shared" si="2"/>
        <v>0.0119548082</v>
      </c>
      <c r="L282" s="7">
        <v>0.003685316962919772</v>
      </c>
      <c r="M282" s="8">
        <f t="shared" si="1"/>
        <v>9331945</v>
      </c>
    </row>
    <row r="283">
      <c r="A283" s="9">
        <v>45919.0</v>
      </c>
      <c r="B283" s="4">
        <v>1544.6</v>
      </c>
      <c r="C283" s="4">
        <v>1551.3</v>
      </c>
      <c r="D283" s="4">
        <v>1520.1</v>
      </c>
      <c r="E283" s="4">
        <v>1540.6</v>
      </c>
      <c r="F283" s="4">
        <v>1540.2</v>
      </c>
      <c r="G283" s="4">
        <v>1536.05</v>
      </c>
      <c r="H283" s="1" t="s">
        <v>2869</v>
      </c>
      <c r="I283" s="1" t="s">
        <v>2872</v>
      </c>
      <c r="J283" s="1" t="s">
        <v>2873</v>
      </c>
      <c r="K283" s="1">
        <f t="shared" si="2"/>
        <v>-0.0002596391016</v>
      </c>
      <c r="L283" s="7">
        <v>-0.0037976525747730173</v>
      </c>
      <c r="M283" s="8">
        <f t="shared" si="1"/>
        <v>12988129</v>
      </c>
    </row>
    <row r="284">
      <c r="A284" s="9">
        <v>45922.0</v>
      </c>
      <c r="B284" s="4">
        <v>1482.7</v>
      </c>
      <c r="C284" s="4">
        <v>1514.7</v>
      </c>
      <c r="D284" s="4">
        <v>1482.0</v>
      </c>
      <c r="E284" s="4">
        <v>1540.2</v>
      </c>
      <c r="F284" s="4">
        <v>1499.5</v>
      </c>
      <c r="G284" s="4">
        <v>1499.71</v>
      </c>
      <c r="H284" s="1" t="s">
        <v>2880</v>
      </c>
      <c r="I284" s="1" t="s">
        <v>2881</v>
      </c>
      <c r="J284" s="1" t="s">
        <v>2882</v>
      </c>
      <c r="K284" s="1">
        <f t="shared" si="2"/>
        <v>-0.02642513959</v>
      </c>
      <c r="L284" s="7">
        <v>-0.004923589600841816</v>
      </c>
      <c r="M284" s="8">
        <f t="shared" si="1"/>
        <v>15655204</v>
      </c>
    </row>
    <row r="285">
      <c r="A285" s="9">
        <v>45923.0</v>
      </c>
      <c r="B285" s="4">
        <v>1493.0</v>
      </c>
      <c r="C285" s="4">
        <v>1513.0</v>
      </c>
      <c r="D285" s="4">
        <v>1493.0</v>
      </c>
      <c r="E285" s="4">
        <v>1499.5</v>
      </c>
      <c r="F285" s="4">
        <v>1497.5</v>
      </c>
      <c r="G285" s="4">
        <v>1500.6</v>
      </c>
      <c r="H285" s="1" t="s">
        <v>2892</v>
      </c>
      <c r="I285" s="1" t="s">
        <v>2893</v>
      </c>
      <c r="J285" s="1" t="s">
        <v>2894</v>
      </c>
      <c r="K285" s="1">
        <f t="shared" si="2"/>
        <v>-0.001333777926</v>
      </c>
      <c r="L285" s="7">
        <v>-0.0013034498766979488</v>
      </c>
      <c r="M285" s="8">
        <f t="shared" si="1"/>
        <v>9832164</v>
      </c>
    </row>
    <row r="286">
      <c r="A286" s="9">
        <v>45924.0</v>
      </c>
      <c r="B286" s="4">
        <v>1487.2</v>
      </c>
      <c r="C286" s="4">
        <v>1496.7</v>
      </c>
      <c r="D286" s="4">
        <v>1482.7</v>
      </c>
      <c r="E286" s="4">
        <v>1497.5</v>
      </c>
      <c r="F286" s="4">
        <v>1494.6</v>
      </c>
      <c r="G286" s="4">
        <v>1490.99</v>
      </c>
      <c r="H286" s="1" t="s">
        <v>2899</v>
      </c>
      <c r="I286" s="1" t="s">
        <v>2901</v>
      </c>
      <c r="J286" s="1" t="s">
        <v>2904</v>
      </c>
      <c r="K286" s="1">
        <f t="shared" si="2"/>
        <v>-0.001936560935</v>
      </c>
      <c r="L286" s="7">
        <v>-0.004473668527384276</v>
      </c>
      <c r="M286" s="8">
        <f t="shared" si="1"/>
        <v>4937004</v>
      </c>
    </row>
    <row r="287">
      <c r="A287" s="9">
        <v>45925.0</v>
      </c>
      <c r="B287" s="4">
        <v>1489.0</v>
      </c>
      <c r="C287" s="4">
        <v>1502.7</v>
      </c>
      <c r="D287" s="4">
        <v>1476.5</v>
      </c>
      <c r="E287" s="4">
        <v>1494.6</v>
      </c>
      <c r="F287" s="4">
        <v>1484.8</v>
      </c>
      <c r="G287" s="4">
        <v>1487.92</v>
      </c>
      <c r="H287" s="1" t="s">
        <v>2907</v>
      </c>
      <c r="I287" s="1" t="s">
        <v>2908</v>
      </c>
      <c r="J287" s="1" t="s">
        <v>2909</v>
      </c>
      <c r="K287" s="1">
        <f t="shared" si="2"/>
        <v>-0.006556938311</v>
      </c>
      <c r="L287" s="7">
        <v>-0.006626917136597221</v>
      </c>
      <c r="M287" s="8">
        <f t="shared" si="1"/>
        <v>9491867</v>
      </c>
    </row>
    <row r="288">
      <c r="A288" s="9">
        <v>45926.0</v>
      </c>
      <c r="B288" s="4">
        <v>1475.0</v>
      </c>
      <c r="C288" s="4">
        <v>1478.7</v>
      </c>
      <c r="D288" s="4">
        <v>1441.2</v>
      </c>
      <c r="E288" s="4">
        <v>1484.8</v>
      </c>
      <c r="F288" s="4">
        <v>1448.9</v>
      </c>
      <c r="G288" s="4">
        <v>1457.7</v>
      </c>
      <c r="H288" s="1" t="s">
        <v>2919</v>
      </c>
      <c r="I288" s="1" t="s">
        <v>2920</v>
      </c>
      <c r="J288" s="1" t="s">
        <v>2921</v>
      </c>
      <c r="K288" s="1">
        <f t="shared" si="2"/>
        <v>-0.02417834052</v>
      </c>
      <c r="L288" s="7">
        <v>-0.009487422084822247</v>
      </c>
      <c r="M288" s="8">
        <f t="shared" si="1"/>
        <v>8597058</v>
      </c>
    </row>
    <row r="289">
      <c r="A289" s="9">
        <v>45929.0</v>
      </c>
      <c r="B289" s="4">
        <v>1460.0</v>
      </c>
      <c r="C289" s="4">
        <v>1465.0</v>
      </c>
      <c r="D289" s="4">
        <v>1436.5</v>
      </c>
      <c r="E289" s="4">
        <v>1448.9</v>
      </c>
      <c r="F289" s="4">
        <v>1441.8</v>
      </c>
      <c r="G289" s="4">
        <v>1447.06</v>
      </c>
      <c r="H289" s="1" t="s">
        <v>2928</v>
      </c>
      <c r="I289" s="1" t="s">
        <v>2929</v>
      </c>
      <c r="J289" s="1" t="s">
        <v>2931</v>
      </c>
      <c r="K289" s="1">
        <f t="shared" si="2"/>
        <v>-0.00490026917</v>
      </c>
      <c r="L289" s="7">
        <v>-8.03092310999496E-4</v>
      </c>
      <c r="M289" s="8">
        <f t="shared" si="1"/>
        <v>10513117</v>
      </c>
    </row>
    <row r="290">
      <c r="A290" s="9">
        <v>45930.0</v>
      </c>
      <c r="B290" s="4">
        <v>1443.0</v>
      </c>
      <c r="C290" s="4">
        <v>1452.2</v>
      </c>
      <c r="D290" s="4">
        <v>1438.1</v>
      </c>
      <c r="E290" s="4">
        <v>1441.8</v>
      </c>
      <c r="F290" s="4">
        <v>1441.8</v>
      </c>
      <c r="G290" s="4">
        <v>1443.52</v>
      </c>
      <c r="H290" s="1" t="s">
        <v>2937</v>
      </c>
      <c r="I290" s="1" t="s">
        <v>2938</v>
      </c>
      <c r="J290" s="1" t="s">
        <v>2939</v>
      </c>
      <c r="K290" s="1">
        <f t="shared" si="2"/>
        <v>0</v>
      </c>
      <c r="L290" s="7">
        <v>-9.661090566636321E-4</v>
      </c>
      <c r="M290" s="8">
        <f t="shared" si="1"/>
        <v>7556305</v>
      </c>
    </row>
    <row r="291">
      <c r="A291" s="3">
        <v>45931.0</v>
      </c>
      <c r="B291" s="4">
        <v>1446.0</v>
      </c>
      <c r="C291" s="4">
        <v>1449.5</v>
      </c>
      <c r="D291" s="4">
        <v>1427.4</v>
      </c>
      <c r="E291" s="4">
        <v>1441.8</v>
      </c>
      <c r="F291" s="4">
        <v>1445.8</v>
      </c>
      <c r="G291" s="4">
        <v>1439.54</v>
      </c>
      <c r="H291" s="1" t="s">
        <v>2949</v>
      </c>
      <c r="I291" s="1" t="s">
        <v>2950</v>
      </c>
      <c r="J291" s="1" t="s">
        <v>2951</v>
      </c>
      <c r="K291" s="1">
        <f t="shared" si="2"/>
        <v>0.00277430989</v>
      </c>
      <c r="L291" s="7">
        <v>0.009150342731531737</v>
      </c>
      <c r="M291" s="8">
        <f t="shared" si="1"/>
        <v>6250692</v>
      </c>
    </row>
    <row r="292">
      <c r="A292" s="3">
        <v>45933.0</v>
      </c>
      <c r="B292" s="4">
        <v>1439.0</v>
      </c>
      <c r="C292" s="4">
        <v>1448.3</v>
      </c>
      <c r="D292" s="4">
        <v>1433.2</v>
      </c>
      <c r="E292" s="4">
        <v>1445.8</v>
      </c>
      <c r="F292" s="4">
        <v>1446.6</v>
      </c>
      <c r="G292" s="4">
        <v>1442.27</v>
      </c>
      <c r="H292" s="1" t="s">
        <v>2956</v>
      </c>
      <c r="I292" s="1" t="s">
        <v>2958</v>
      </c>
      <c r="J292" s="1" t="s">
        <v>2959</v>
      </c>
      <c r="K292" s="1">
        <f t="shared" si="2"/>
        <v>0.0005533268779</v>
      </c>
      <c r="L292" s="7">
        <v>0.002333278306350009</v>
      </c>
      <c r="M292" s="8">
        <f t="shared" si="1"/>
        <v>6877533</v>
      </c>
    </row>
    <row r="293">
      <c r="A293" s="3">
        <v>45936.0</v>
      </c>
      <c r="B293" s="4">
        <v>1446.6</v>
      </c>
      <c r="C293" s="4">
        <v>1478.8</v>
      </c>
      <c r="D293" s="4">
        <v>1442.3</v>
      </c>
      <c r="E293" s="4">
        <v>1446.6</v>
      </c>
      <c r="F293" s="4">
        <v>1476.0</v>
      </c>
      <c r="G293" s="4">
        <v>1465.66</v>
      </c>
      <c r="H293" s="1" t="s">
        <v>2966</v>
      </c>
      <c r="I293" s="1" t="s">
        <v>2969</v>
      </c>
      <c r="J293" s="1" t="s">
        <v>2970</v>
      </c>
      <c r="K293" s="1">
        <f t="shared" si="2"/>
        <v>0.02032351721</v>
      </c>
      <c r="L293" s="7">
        <v>0.007367163099912689</v>
      </c>
      <c r="M293" s="8">
        <f t="shared" si="1"/>
        <v>4630590</v>
      </c>
    </row>
    <row r="294">
      <c r="A294" s="3">
        <v>45937.0</v>
      </c>
      <c r="B294" s="4">
        <v>1477.7</v>
      </c>
      <c r="C294" s="4">
        <v>1482.9</v>
      </c>
      <c r="D294" s="4">
        <v>1454.0</v>
      </c>
      <c r="E294" s="4">
        <v>1476.0</v>
      </c>
      <c r="F294" s="4">
        <v>1458.5</v>
      </c>
      <c r="G294" s="4">
        <v>1463.53</v>
      </c>
      <c r="H294" s="1" t="s">
        <v>2977</v>
      </c>
      <c r="I294" s="1" t="s">
        <v>2978</v>
      </c>
      <c r="J294" s="1" t="s">
        <v>2979</v>
      </c>
      <c r="K294" s="1">
        <f t="shared" si="2"/>
        <v>-0.01185636856</v>
      </c>
      <c r="L294" s="7">
        <v>0.0012222038348887482</v>
      </c>
      <c r="M294" s="8">
        <f t="shared" si="1"/>
        <v>5570320</v>
      </c>
    </row>
    <row r="295">
      <c r="A295" s="3">
        <v>45938.0</v>
      </c>
      <c r="B295" s="4">
        <v>1457.0</v>
      </c>
      <c r="C295" s="4">
        <v>1498.0</v>
      </c>
      <c r="D295" s="4">
        <v>1455.0</v>
      </c>
      <c r="E295" s="4">
        <v>1458.5</v>
      </c>
      <c r="F295" s="4">
        <v>1495.0</v>
      </c>
      <c r="G295" s="4">
        <v>1489.22</v>
      </c>
      <c r="H295" s="1" t="s">
        <v>2989</v>
      </c>
      <c r="I295" s="1" t="s">
        <v>2990</v>
      </c>
      <c r="J295" s="1" t="s">
        <v>2991</v>
      </c>
      <c r="K295" s="1">
        <f t="shared" si="2"/>
        <v>0.02502571135</v>
      </c>
      <c r="L295" s="7">
        <v>-0.0024752770996044264</v>
      </c>
      <c r="M295" s="8">
        <f t="shared" si="1"/>
        <v>4657192</v>
      </c>
    </row>
    <row r="296">
      <c r="A296" s="3">
        <v>45939.0</v>
      </c>
      <c r="B296" s="4">
        <v>1502.0</v>
      </c>
      <c r="C296" s="4">
        <v>1514.0</v>
      </c>
      <c r="D296" s="4">
        <v>1487.0</v>
      </c>
      <c r="E296" s="4">
        <v>1495.0</v>
      </c>
      <c r="F296" s="4">
        <v>1509.3</v>
      </c>
      <c r="G296" s="4">
        <v>1504.17</v>
      </c>
      <c r="H296" s="1" t="s">
        <v>3001</v>
      </c>
      <c r="I296" s="1" t="s">
        <v>3002</v>
      </c>
      <c r="J296" s="1" t="s">
        <v>3003</v>
      </c>
      <c r="K296" s="1">
        <f t="shared" si="2"/>
        <v>0.009565217391</v>
      </c>
      <c r="L296" s="7">
        <v>0.005416002060196789</v>
      </c>
      <c r="M296" s="8">
        <f t="shared" si="1"/>
        <v>7028753</v>
      </c>
    </row>
    <row r="297">
      <c r="A297" s="9">
        <v>45940.0</v>
      </c>
      <c r="B297" s="4">
        <v>1510.0</v>
      </c>
      <c r="C297" s="4">
        <v>1521.7</v>
      </c>
      <c r="D297" s="4">
        <v>1498.8</v>
      </c>
      <c r="E297" s="4">
        <v>1509.3</v>
      </c>
      <c r="F297" s="4">
        <v>1514.9</v>
      </c>
      <c r="G297" s="4">
        <v>1513.91</v>
      </c>
      <c r="H297" s="1" t="s">
        <v>3007</v>
      </c>
      <c r="I297" s="1" t="s">
        <v>3009</v>
      </c>
      <c r="J297" s="1" t="s">
        <v>3011</v>
      </c>
      <c r="K297" s="1">
        <f t="shared" si="2"/>
        <v>0.003710329292</v>
      </c>
      <c r="L297" s="7">
        <v>0.004112096831838839</v>
      </c>
      <c r="M297" s="8">
        <f t="shared" si="1"/>
        <v>3738353</v>
      </c>
    </row>
    <row r="298">
      <c r="A298" s="9">
        <v>45943.0</v>
      </c>
      <c r="B298" s="4">
        <v>1497.0</v>
      </c>
      <c r="C298" s="4">
        <v>1504.7</v>
      </c>
      <c r="D298" s="4">
        <v>1483.4</v>
      </c>
      <c r="E298" s="4">
        <v>1514.9</v>
      </c>
      <c r="F298" s="4">
        <v>1493.2</v>
      </c>
      <c r="G298" s="4">
        <v>1492.35</v>
      </c>
      <c r="H298" s="1" t="s">
        <v>3018</v>
      </c>
      <c r="I298" s="1" t="s">
        <v>3019</v>
      </c>
      <c r="J298" s="1" t="s">
        <v>3020</v>
      </c>
      <c r="K298" s="1">
        <f t="shared" si="2"/>
        <v>-0.01432437785</v>
      </c>
      <c r="L298" s="7">
        <v>-0.002293818357270119</v>
      </c>
      <c r="M298" s="8">
        <f t="shared" si="1"/>
        <v>5859355</v>
      </c>
    </row>
    <row r="299">
      <c r="A299" s="9">
        <v>45944.0</v>
      </c>
      <c r="B299" s="4">
        <v>1499.0</v>
      </c>
      <c r="C299" s="4">
        <v>1514.4</v>
      </c>
      <c r="D299" s="4">
        <v>1486.5</v>
      </c>
      <c r="E299" s="4">
        <v>1493.2</v>
      </c>
      <c r="F299" s="4">
        <v>1489.9</v>
      </c>
      <c r="G299" s="4">
        <v>1494.67</v>
      </c>
      <c r="H299" s="1" t="s">
        <v>3029</v>
      </c>
      <c r="I299" s="1" t="s">
        <v>3030</v>
      </c>
      <c r="J299" s="1" t="s">
        <v>3031</v>
      </c>
      <c r="K299" s="1">
        <f t="shared" si="2"/>
        <v>-0.002210018752</v>
      </c>
      <c r="L299" s="7">
        <v>-0.003244494566412982</v>
      </c>
      <c r="M299" s="8">
        <f t="shared" si="1"/>
        <v>5600789</v>
      </c>
    </row>
    <row r="300">
      <c r="A300" s="9">
        <v>45945.0</v>
      </c>
      <c r="B300" s="4">
        <v>1483.9</v>
      </c>
      <c r="C300" s="4">
        <v>1488.6</v>
      </c>
      <c r="D300" s="4">
        <v>1467.5</v>
      </c>
      <c r="E300" s="4">
        <v>1489.9</v>
      </c>
      <c r="F300" s="4">
        <v>1474.4</v>
      </c>
      <c r="G300" s="4">
        <v>1475.22</v>
      </c>
      <c r="H300" s="1" t="s">
        <v>3040</v>
      </c>
      <c r="I300" s="1" t="s">
        <v>3041</v>
      </c>
      <c r="J300" s="1" t="s">
        <v>3042</v>
      </c>
      <c r="K300" s="1">
        <f t="shared" si="2"/>
        <v>-0.01040338278</v>
      </c>
      <c r="L300" s="7">
        <v>0.007080789803344506</v>
      </c>
      <c r="M300" s="8">
        <f t="shared" si="1"/>
        <v>6986098</v>
      </c>
    </row>
    <row r="301">
      <c r="A301" s="9">
        <v>45946.0</v>
      </c>
      <c r="B301" s="4">
        <v>1473.9</v>
      </c>
      <c r="C301" s="4">
        <v>1474.5</v>
      </c>
      <c r="D301" s="4">
        <v>1460.5</v>
      </c>
      <c r="E301" s="4">
        <v>1474.4</v>
      </c>
      <c r="F301" s="4">
        <v>1471.5</v>
      </c>
      <c r="G301" s="4">
        <v>1468.35</v>
      </c>
      <c r="H301" s="1" t="s">
        <v>3052</v>
      </c>
      <c r="I301" s="1" t="s">
        <v>3053</v>
      </c>
      <c r="J301" s="1" t="s">
        <v>3054</v>
      </c>
      <c r="K301" s="1">
        <f t="shared" si="2"/>
        <v>-0.001966901791</v>
      </c>
      <c r="L301" s="7">
        <v>0.01033622853036008</v>
      </c>
      <c r="M301" s="8">
        <f t="shared" si="1"/>
        <v>8005748</v>
      </c>
    </row>
    <row r="302">
      <c r="A302" s="9">
        <v>45947.0</v>
      </c>
      <c r="B302" s="4">
        <v>1454.9</v>
      </c>
      <c r="C302" s="4">
        <v>1458.4</v>
      </c>
      <c r="D302" s="4">
        <v>1434.0</v>
      </c>
      <c r="E302" s="4">
        <v>1471.5</v>
      </c>
      <c r="F302" s="4">
        <v>1441.1</v>
      </c>
      <c r="G302" s="4">
        <v>1444.15</v>
      </c>
      <c r="H302" s="1" t="s">
        <v>3060</v>
      </c>
      <c r="I302" s="1" t="s">
        <v>3061</v>
      </c>
      <c r="J302" s="1" t="s">
        <v>3063</v>
      </c>
      <c r="K302" s="1">
        <f t="shared" si="2"/>
        <v>-0.0206591913</v>
      </c>
      <c r="L302" s="7">
        <v>0.004868029688922908</v>
      </c>
      <c r="M302" s="8">
        <f t="shared" si="1"/>
        <v>16959378</v>
      </c>
    </row>
    <row r="303">
      <c r="A303" s="9">
        <v>45950.0</v>
      </c>
      <c r="B303" s="4">
        <v>1453.7</v>
      </c>
      <c r="C303" s="4">
        <v>1467.0</v>
      </c>
      <c r="D303" s="4">
        <v>1450.0</v>
      </c>
      <c r="E303" s="4">
        <v>1441.1</v>
      </c>
      <c r="F303" s="4">
        <v>1460.9</v>
      </c>
      <c r="G303" s="4">
        <v>1460.15</v>
      </c>
      <c r="H303" s="1" t="s">
        <v>3069</v>
      </c>
      <c r="I303" s="1" t="s">
        <v>3070</v>
      </c>
      <c r="J303" s="1" t="s">
        <v>3072</v>
      </c>
      <c r="K303" s="1">
        <f t="shared" si="2"/>
        <v>0.01373950455</v>
      </c>
      <c r="L303" s="7">
        <v>0.0051847832640020425</v>
      </c>
      <c r="M303" s="8">
        <f t="shared" si="1"/>
        <v>6994246</v>
      </c>
    </row>
    <row r="304">
      <c r="A304" s="9">
        <v>45951.0</v>
      </c>
      <c r="B304" s="4">
        <v>1478.0</v>
      </c>
      <c r="C304" s="4">
        <v>1486.0</v>
      </c>
      <c r="D304" s="4">
        <v>1470.0</v>
      </c>
      <c r="E304" s="4">
        <v>1460.9</v>
      </c>
      <c r="F304" s="4">
        <v>1472.4</v>
      </c>
      <c r="G304" s="4">
        <v>1476.04</v>
      </c>
      <c r="H304" s="1" t="s">
        <v>3075</v>
      </c>
      <c r="I304" s="1" t="s">
        <v>3076</v>
      </c>
      <c r="J304" s="11">
        <v>42723.0</v>
      </c>
      <c r="K304" s="1">
        <f t="shared" si="2"/>
        <v>0.007871859812</v>
      </c>
      <c r="L304" s="7">
        <v>9.847870712353984E-4</v>
      </c>
      <c r="M304" s="8">
        <f t="shared" si="1"/>
        <v>1698704</v>
      </c>
    </row>
    <row r="305">
      <c r="A305" s="9">
        <v>45953.0</v>
      </c>
      <c r="B305" s="4">
        <v>1510.0</v>
      </c>
      <c r="C305" s="4">
        <v>1546.0</v>
      </c>
      <c r="D305" s="4">
        <v>1506.0</v>
      </c>
      <c r="E305" s="4">
        <v>1472.4</v>
      </c>
      <c r="F305" s="4">
        <v>1528.5</v>
      </c>
      <c r="G305" s="4">
        <v>1530.64</v>
      </c>
      <c r="H305" s="1" t="s">
        <v>3083</v>
      </c>
      <c r="I305" s="1" t="s">
        <v>3085</v>
      </c>
      <c r="J305" s="1" t="s">
        <v>3086</v>
      </c>
      <c r="K305" s="1">
        <f t="shared" si="2"/>
        <v>0.03810105949</v>
      </c>
      <c r="L305" s="7">
        <v>8.813774228216027E-4</v>
      </c>
      <c r="M305" s="8">
        <f t="shared" si="1"/>
        <v>20358624</v>
      </c>
    </row>
    <row r="306">
      <c r="A306" s="9">
        <v>45954.0</v>
      </c>
      <c r="B306" s="4">
        <v>1539.5</v>
      </c>
      <c r="C306" s="4">
        <v>1543.0</v>
      </c>
      <c r="D306" s="4">
        <v>1518.0</v>
      </c>
      <c r="E306" s="4">
        <v>1528.5</v>
      </c>
      <c r="F306" s="4">
        <v>1525.4</v>
      </c>
      <c r="G306" s="4">
        <v>1525.75</v>
      </c>
      <c r="H306" s="1" t="s">
        <v>3089</v>
      </c>
      <c r="I306" s="1" t="s">
        <v>3090</v>
      </c>
      <c r="J306" s="1" t="s">
        <v>3091</v>
      </c>
      <c r="K306" s="1">
        <f t="shared" si="2"/>
        <v>-0.002028132156</v>
      </c>
      <c r="L306" s="7">
        <v>-0.003717450582046548</v>
      </c>
      <c r="M306" s="8">
        <f t="shared" si="1"/>
        <v>8652257</v>
      </c>
    </row>
    <row r="307">
      <c r="A307" s="9">
        <v>45957.0</v>
      </c>
      <c r="B307" s="4">
        <v>1510.0</v>
      </c>
      <c r="C307" s="4">
        <v>1515.3</v>
      </c>
      <c r="D307" s="4">
        <v>1498.1</v>
      </c>
      <c r="E307" s="4">
        <v>1525.4</v>
      </c>
      <c r="F307" s="4">
        <v>1504.5</v>
      </c>
      <c r="G307" s="4">
        <v>1506.5</v>
      </c>
      <c r="H307" s="1" t="s">
        <v>3095</v>
      </c>
      <c r="I307" s="1" t="s">
        <v>3096</v>
      </c>
      <c r="J307" s="1" t="s">
        <v>3097</v>
      </c>
      <c r="K307" s="1">
        <f t="shared" si="2"/>
        <v>-0.01370132424</v>
      </c>
      <c r="L307" s="7">
        <v>0.0066252764570083065</v>
      </c>
      <c r="M307" s="8">
        <f t="shared" si="1"/>
        <v>7273211</v>
      </c>
    </row>
    <row r="308">
      <c r="A308" s="9">
        <v>45958.0</v>
      </c>
      <c r="B308" s="4">
        <v>1499.7</v>
      </c>
      <c r="C308" s="4">
        <v>1506.5</v>
      </c>
      <c r="D308" s="4">
        <v>1490.5</v>
      </c>
      <c r="E308" s="4">
        <v>1504.5</v>
      </c>
      <c r="F308" s="4">
        <v>1500.2</v>
      </c>
      <c r="G308" s="4">
        <v>1497.66</v>
      </c>
      <c r="H308" s="1" t="s">
        <v>3106</v>
      </c>
      <c r="I308" s="1" t="s">
        <v>3108</v>
      </c>
      <c r="J308" s="1" t="s">
        <v>3109</v>
      </c>
      <c r="K308" s="1">
        <f t="shared" si="2"/>
        <v>-0.002858092389</v>
      </c>
      <c r="L308" s="7">
        <v>-0.0011495780066663411</v>
      </c>
      <c r="M308" s="8">
        <f t="shared" si="1"/>
        <v>8211019</v>
      </c>
    </row>
    <row r="309">
      <c r="A309" s="9">
        <v>45959.0</v>
      </c>
      <c r="B309" s="4">
        <v>1500.2</v>
      </c>
      <c r="C309" s="4">
        <v>1520.2</v>
      </c>
      <c r="D309" s="4">
        <v>1496.9</v>
      </c>
      <c r="E309" s="4">
        <v>1500.2</v>
      </c>
      <c r="F309" s="4">
        <v>1510.4</v>
      </c>
      <c r="G309" s="4">
        <v>1510.57</v>
      </c>
      <c r="H309" s="1" t="s">
        <v>3113</v>
      </c>
      <c r="I309" s="1" t="s">
        <v>3114</v>
      </c>
      <c r="J309" s="1" t="s">
        <v>3116</v>
      </c>
      <c r="K309" s="1">
        <f t="shared" si="2"/>
        <v>0.006799093454</v>
      </c>
      <c r="L309" s="7">
        <v>0.004538058774994052</v>
      </c>
      <c r="M309" s="8">
        <f t="shared" si="1"/>
        <v>4884976</v>
      </c>
    </row>
    <row r="310">
      <c r="A310" s="9">
        <v>45960.0</v>
      </c>
      <c r="B310" s="4">
        <v>1507.0</v>
      </c>
      <c r="C310" s="4">
        <v>1508.2</v>
      </c>
      <c r="D310" s="4">
        <v>1489.1</v>
      </c>
      <c r="E310" s="4">
        <v>1510.4</v>
      </c>
      <c r="F310" s="4">
        <v>1493.8</v>
      </c>
      <c r="G310" s="4">
        <v>1494.92</v>
      </c>
      <c r="H310" s="1" t="s">
        <v>3125</v>
      </c>
      <c r="I310" s="1" t="s">
        <v>3126</v>
      </c>
      <c r="J310" s="1" t="s">
        <v>3127</v>
      </c>
      <c r="K310" s="1">
        <f t="shared" si="2"/>
        <v>-0.0109904661</v>
      </c>
      <c r="L310" s="7">
        <v>-0.006757145763206388</v>
      </c>
      <c r="M310" s="8">
        <f t="shared" si="1"/>
        <v>5608867</v>
      </c>
    </row>
    <row r="311">
      <c r="A311" s="9">
        <v>45961.0</v>
      </c>
      <c r="B311" s="4">
        <v>1490.0</v>
      </c>
      <c r="C311" s="4">
        <v>1497.1</v>
      </c>
      <c r="D311" s="4">
        <v>1480.7</v>
      </c>
      <c r="E311" s="4">
        <v>1493.8</v>
      </c>
      <c r="F311" s="4">
        <v>1482.3</v>
      </c>
      <c r="G311" s="4">
        <v>1485.71</v>
      </c>
      <c r="H311" s="1" t="s">
        <v>3135</v>
      </c>
      <c r="I311" s="1" t="s">
        <v>3138</v>
      </c>
      <c r="J311" s="1" t="s">
        <v>3139</v>
      </c>
      <c r="K311" s="1">
        <f t="shared" si="2"/>
        <v>-0.00769848708</v>
      </c>
      <c r="L311" s="7">
        <v>-0.006018660746545792</v>
      </c>
      <c r="M311" s="8">
        <f t="shared" si="1"/>
        <v>4819814</v>
      </c>
    </row>
    <row r="312">
      <c r="A312" s="3">
        <v>45964.0</v>
      </c>
      <c r="B312" s="4">
        <v>1482.3</v>
      </c>
      <c r="C312" s="4">
        <v>1491.4</v>
      </c>
      <c r="D312" s="4">
        <v>1474.2</v>
      </c>
      <c r="E312" s="4">
        <v>1482.3</v>
      </c>
      <c r="F312" s="4">
        <v>1485.5</v>
      </c>
      <c r="G312" s="4">
        <v>1482.11</v>
      </c>
      <c r="H312" s="1" t="s">
        <v>3143</v>
      </c>
      <c r="I312" s="1" t="s">
        <v>3144</v>
      </c>
      <c r="J312" s="1" t="s">
        <v>3145</v>
      </c>
      <c r="K312" s="1">
        <f t="shared" si="2"/>
        <v>0.002158807259</v>
      </c>
      <c r="L312" s="7">
        <v>0.0016036793263380518</v>
      </c>
      <c r="M312" s="8">
        <f t="shared" si="1"/>
        <v>5470600</v>
      </c>
    </row>
    <row r="313">
      <c r="A313" s="3">
        <v>45965.0</v>
      </c>
      <c r="B313" s="4">
        <v>1479.7</v>
      </c>
      <c r="C313" s="4">
        <v>1481.9</v>
      </c>
      <c r="D313" s="4">
        <v>1462.9</v>
      </c>
      <c r="E313" s="4">
        <v>1485.5</v>
      </c>
      <c r="F313" s="4">
        <v>1467.9</v>
      </c>
      <c r="G313" s="4">
        <v>1470.61</v>
      </c>
      <c r="H313" s="1" t="s">
        <v>3155</v>
      </c>
      <c r="I313" s="1" t="s">
        <v>3156</v>
      </c>
      <c r="J313" s="1" t="s">
        <v>3157</v>
      </c>
      <c r="K313" s="1">
        <f t="shared" si="2"/>
        <v>-0.01184786267</v>
      </c>
      <c r="L313" s="7">
        <v>-0.006431617006328645</v>
      </c>
      <c r="M313" s="8">
        <f t="shared" si="1"/>
        <v>8691330</v>
      </c>
    </row>
    <row r="314">
      <c r="A314" s="3">
        <v>45967.0</v>
      </c>
      <c r="B314" s="4">
        <v>1478.6</v>
      </c>
      <c r="C314" s="4">
        <v>1483.0</v>
      </c>
      <c r="D314" s="4">
        <v>1461.9</v>
      </c>
      <c r="E314" s="4">
        <v>1467.9</v>
      </c>
      <c r="F314" s="4">
        <v>1466.7</v>
      </c>
      <c r="G314" s="4">
        <v>1471.99</v>
      </c>
      <c r="H314" s="1" t="s">
        <v>3167</v>
      </c>
      <c r="I314" s="1" t="s">
        <v>3168</v>
      </c>
      <c r="J314" s="1" t="s">
        <v>3169</v>
      </c>
      <c r="K314" s="1">
        <f t="shared" si="2"/>
        <v>-0.0008174943797</v>
      </c>
      <c r="L314" s="7">
        <v>-0.003435862276419934</v>
      </c>
      <c r="M314" s="8">
        <f t="shared" si="1"/>
        <v>7944752</v>
      </c>
    </row>
    <row r="315">
      <c r="A315" s="3">
        <v>45968.0</v>
      </c>
      <c r="B315" s="4">
        <v>1470.0</v>
      </c>
      <c r="C315" s="4">
        <v>1480.9</v>
      </c>
      <c r="D315" s="4">
        <v>1449.1</v>
      </c>
      <c r="E315" s="4">
        <v>1466.7</v>
      </c>
      <c r="F315" s="4">
        <v>1476.8</v>
      </c>
      <c r="G315" s="4">
        <v>1466.5</v>
      </c>
      <c r="H315" s="1" t="s">
        <v>3175</v>
      </c>
      <c r="I315" s="1" t="s">
        <v>3178</v>
      </c>
      <c r="J315" s="1" t="s">
        <v>3180</v>
      </c>
      <c r="K315" s="1">
        <f t="shared" si="2"/>
        <v>0.006886207132</v>
      </c>
      <c r="L315" s="7">
        <v>-6.820934781671856E-4</v>
      </c>
      <c r="M315" s="8">
        <f t="shared" si="1"/>
        <v>8765759</v>
      </c>
    </row>
    <row r="316">
      <c r="A316" s="9">
        <v>45971.0</v>
      </c>
      <c r="B316" s="4">
        <v>1490.1</v>
      </c>
      <c r="C316" s="4">
        <v>1520.0</v>
      </c>
      <c r="D316" s="4">
        <v>1490.0</v>
      </c>
      <c r="E316" s="4">
        <v>1476.8</v>
      </c>
      <c r="F316" s="4">
        <v>1513.5</v>
      </c>
      <c r="G316" s="4">
        <v>1510.83</v>
      </c>
      <c r="H316" s="1" t="s">
        <v>3185</v>
      </c>
      <c r="I316" s="1" t="s">
        <v>3186</v>
      </c>
      <c r="J316" s="1" t="s">
        <v>3188</v>
      </c>
      <c r="K316" s="1">
        <f t="shared" si="2"/>
        <v>0.02485102925</v>
      </c>
      <c r="L316" s="7">
        <v>0.003218618955527719</v>
      </c>
      <c r="M316" s="8">
        <f t="shared" si="1"/>
        <v>9787975</v>
      </c>
    </row>
    <row r="317">
      <c r="A317" s="9">
        <v>45972.0</v>
      </c>
      <c r="B317" s="4">
        <v>1525.0</v>
      </c>
      <c r="C317" s="4">
        <v>1533.4</v>
      </c>
      <c r="D317" s="4">
        <v>1511.1</v>
      </c>
      <c r="E317" s="4">
        <v>1513.5</v>
      </c>
      <c r="F317" s="4">
        <v>1530.3</v>
      </c>
      <c r="G317" s="4">
        <v>1523.87</v>
      </c>
      <c r="H317" s="1" t="s">
        <v>3195</v>
      </c>
      <c r="I317" s="1" t="s">
        <v>3196</v>
      </c>
      <c r="J317" s="1" t="s">
        <v>3197</v>
      </c>
      <c r="K317" s="1">
        <f t="shared" si="2"/>
        <v>0.01110009911</v>
      </c>
      <c r="L317" s="7">
        <v>0.004715662372650808</v>
      </c>
      <c r="M317" s="8">
        <f t="shared" si="1"/>
        <v>13692989</v>
      </c>
    </row>
    <row r="318">
      <c r="A318" s="9">
        <v>45973.0</v>
      </c>
      <c r="B318" s="4">
        <v>1540.0</v>
      </c>
      <c r="C318" s="4">
        <v>1559.2</v>
      </c>
      <c r="D318" s="4">
        <v>1538.1</v>
      </c>
      <c r="E318" s="4">
        <v>1530.3</v>
      </c>
      <c r="F318" s="4">
        <v>1551.7</v>
      </c>
      <c r="G318" s="4">
        <v>1551.22</v>
      </c>
      <c r="H318" s="1" t="s">
        <v>3205</v>
      </c>
      <c r="I318" s="1" t="s">
        <v>3207</v>
      </c>
      <c r="J318" s="1" t="s">
        <v>3208</v>
      </c>
      <c r="K318" s="1">
        <f t="shared" si="2"/>
        <v>0.01398418611</v>
      </c>
      <c r="L318" s="7">
        <v>0.007038348002233845</v>
      </c>
      <c r="M318" s="8">
        <f t="shared" si="1"/>
        <v>14635417</v>
      </c>
    </row>
    <row r="319">
      <c r="A319" s="9">
        <v>45974.0</v>
      </c>
      <c r="B319" s="4">
        <v>1557.1</v>
      </c>
      <c r="C319" s="4">
        <v>1557.5</v>
      </c>
      <c r="D319" s="4">
        <v>1530.3</v>
      </c>
      <c r="E319" s="4">
        <v>1551.7</v>
      </c>
      <c r="F319" s="4">
        <v>1541.8</v>
      </c>
      <c r="G319" s="4">
        <v>1546.18</v>
      </c>
      <c r="H319" s="1" t="s">
        <v>3215</v>
      </c>
      <c r="I319" s="1" t="s">
        <v>3217</v>
      </c>
      <c r="J319" s="1" t="s">
        <v>3218</v>
      </c>
      <c r="K319" s="1">
        <f t="shared" si="2"/>
        <v>-0.006380099246</v>
      </c>
      <c r="L319" s="7">
        <v>1.2946459626377477E-4</v>
      </c>
      <c r="M319" s="8">
        <f t="shared" si="1"/>
        <v>19655689</v>
      </c>
    </row>
    <row r="320">
      <c r="A320" s="9">
        <v>45975.0</v>
      </c>
      <c r="B320" s="4">
        <v>1520.0</v>
      </c>
      <c r="C320" s="4">
        <v>1530.0</v>
      </c>
      <c r="D320" s="4">
        <v>1488.8</v>
      </c>
      <c r="E320" s="4">
        <v>1541.8</v>
      </c>
      <c r="F320" s="4">
        <v>1502.8</v>
      </c>
      <c r="G320" s="4">
        <v>1502.86</v>
      </c>
      <c r="H320" s="1" t="s">
        <v>3225</v>
      </c>
      <c r="I320" s="1" t="s">
        <v>3226</v>
      </c>
      <c r="J320" s="1" t="s">
        <v>3228</v>
      </c>
      <c r="K320" s="1">
        <f t="shared" si="2"/>
        <v>-0.02529510961</v>
      </c>
      <c r="L320" s="7">
        <v>0.001194011395273717</v>
      </c>
      <c r="M320" s="8">
        <f t="shared" si="1"/>
        <v>9739549</v>
      </c>
    </row>
    <row r="321">
      <c r="A321" s="9">
        <v>45978.0</v>
      </c>
      <c r="B321" s="4">
        <v>1496.0</v>
      </c>
      <c r="C321" s="4">
        <v>1510.2</v>
      </c>
      <c r="D321" s="4">
        <v>1492.5</v>
      </c>
      <c r="E321" s="4">
        <v>1502.8</v>
      </c>
      <c r="F321" s="4">
        <v>1507.6</v>
      </c>
      <c r="G321" s="4">
        <v>1502.37</v>
      </c>
      <c r="H321" s="1" t="s">
        <v>3233</v>
      </c>
      <c r="I321" s="1" t="s">
        <v>3236</v>
      </c>
      <c r="J321" s="1" t="s">
        <v>3238</v>
      </c>
      <c r="K321" s="1">
        <f t="shared" si="2"/>
        <v>0.003194037796</v>
      </c>
      <c r="L321" s="7">
        <v>0.003990729465979474</v>
      </c>
      <c r="M321" s="8">
        <f t="shared" si="1"/>
        <v>7910354</v>
      </c>
    </row>
    <row r="322">
      <c r="A322" s="9">
        <v>45979.0</v>
      </c>
      <c r="B322" s="4">
        <v>1506.0</v>
      </c>
      <c r="C322" s="4">
        <v>1506.0</v>
      </c>
      <c r="D322" s="4">
        <v>1483.2</v>
      </c>
      <c r="E322" s="4">
        <v>1507.6</v>
      </c>
      <c r="F322" s="4">
        <v>1486.4</v>
      </c>
      <c r="G322" s="4">
        <v>1489.33</v>
      </c>
      <c r="H322" s="1" t="s">
        <v>3242</v>
      </c>
      <c r="I322" s="1" t="s">
        <v>3243</v>
      </c>
      <c r="J322" s="1" t="s">
        <v>3245</v>
      </c>
      <c r="K322" s="1">
        <f t="shared" si="2"/>
        <v>-0.01406208543</v>
      </c>
      <c r="L322" s="7">
        <v>-0.003974866847726905</v>
      </c>
      <c r="M322" s="8">
        <f t="shared" si="1"/>
        <v>7525119</v>
      </c>
    </row>
    <row r="323">
      <c r="A323" s="9">
        <v>45980.0</v>
      </c>
      <c r="B323" s="4">
        <v>1490.5</v>
      </c>
      <c r="C323" s="4">
        <v>1543.0</v>
      </c>
      <c r="D323" s="4">
        <v>1490.5</v>
      </c>
      <c r="E323" s="4">
        <v>1486.4</v>
      </c>
      <c r="F323" s="4">
        <v>1541.1</v>
      </c>
      <c r="G323" s="4">
        <v>1531.48</v>
      </c>
      <c r="H323" s="1" t="s">
        <v>3253</v>
      </c>
      <c r="I323" s="1" t="s">
        <v>3254</v>
      </c>
      <c r="J323" s="1" t="s">
        <v>3255</v>
      </c>
      <c r="K323" s="1">
        <f t="shared" si="2"/>
        <v>0.03680032293</v>
      </c>
      <c r="L323" s="7">
        <v>0.005503655917298584</v>
      </c>
      <c r="M323" s="8">
        <f t="shared" si="1"/>
        <v>10981126</v>
      </c>
    </row>
    <row r="324">
      <c r="A324" s="9">
        <v>45981.0</v>
      </c>
      <c r="B324" s="4">
        <v>1555.0</v>
      </c>
      <c r="C324" s="4">
        <v>1555.0</v>
      </c>
      <c r="D324" s="4">
        <v>1534.0</v>
      </c>
      <c r="E324" s="4">
        <v>1541.1</v>
      </c>
      <c r="F324" s="4">
        <v>1536.5</v>
      </c>
      <c r="G324" s="4">
        <v>1539.6</v>
      </c>
      <c r="H324" s="1" t="s">
        <v>3263</v>
      </c>
      <c r="I324" s="1" t="s">
        <v>3264</v>
      </c>
      <c r="J324" s="1" t="s">
        <v>3266</v>
      </c>
      <c r="K324" s="1">
        <f t="shared" si="2"/>
        <v>-0.002984880929</v>
      </c>
      <c r="L324" s="7">
        <v>0.00535454166850589</v>
      </c>
      <c r="M324" s="8">
        <f t="shared" si="1"/>
        <v>7387584</v>
      </c>
    </row>
    <row r="325">
      <c r="A325" s="9">
        <v>45982.0</v>
      </c>
      <c r="B325" s="4">
        <v>1531.0</v>
      </c>
      <c r="C325" s="4">
        <v>1551.5</v>
      </c>
      <c r="D325" s="4">
        <v>1526.3</v>
      </c>
      <c r="E325" s="4">
        <v>1536.5</v>
      </c>
      <c r="F325" s="4">
        <v>1545.0</v>
      </c>
      <c r="G325" s="4">
        <v>1543.83</v>
      </c>
      <c r="H325" s="1" t="s">
        <v>3273</v>
      </c>
      <c r="I325" s="1" t="s">
        <v>3274</v>
      </c>
      <c r="J325" s="1" t="s">
        <v>3275</v>
      </c>
      <c r="K325" s="1">
        <f t="shared" si="2"/>
        <v>0.005532053368</v>
      </c>
      <c r="L325" s="7">
        <v>-0.004734242893385995</v>
      </c>
      <c r="M325" s="8">
        <f t="shared" si="1"/>
        <v>9186302</v>
      </c>
    </row>
    <row r="326">
      <c r="A326" s="9">
        <v>45985.0</v>
      </c>
      <c r="B326" s="4">
        <v>1563.6</v>
      </c>
      <c r="C326" s="4">
        <v>1585.0</v>
      </c>
      <c r="D326" s="4">
        <v>1541.0</v>
      </c>
      <c r="E326" s="4">
        <v>1545.0</v>
      </c>
      <c r="F326" s="4">
        <v>1548.0</v>
      </c>
      <c r="G326" s="4">
        <v>1558.71</v>
      </c>
      <c r="H326" s="1" t="s">
        <v>3285</v>
      </c>
      <c r="I326" s="1" t="s">
        <v>3286</v>
      </c>
      <c r="J326" s="1" t="s">
        <v>3287</v>
      </c>
      <c r="K326" s="1">
        <f t="shared" si="2"/>
        <v>0.001941747573</v>
      </c>
      <c r="L326" s="7">
        <v>-0.004167921390662607</v>
      </c>
      <c r="M326" s="8">
        <f t="shared" si="1"/>
        <v>19270381</v>
      </c>
    </row>
    <row r="327">
      <c r="A327" s="9">
        <v>45986.0</v>
      </c>
      <c r="B327" s="4">
        <v>1549.0</v>
      </c>
      <c r="C327" s="4">
        <v>1550.6</v>
      </c>
      <c r="D327" s="4">
        <v>1525.9</v>
      </c>
      <c r="E327" s="4">
        <v>1548.0</v>
      </c>
      <c r="F327" s="4">
        <v>1530.6</v>
      </c>
      <c r="G327" s="4">
        <v>1532.04</v>
      </c>
      <c r="H327" s="1" t="s">
        <v>3290</v>
      </c>
      <c r="I327" s="1" t="s">
        <v>3292</v>
      </c>
      <c r="J327" s="1" t="s">
        <v>3294</v>
      </c>
      <c r="K327" s="1">
        <f t="shared" si="2"/>
        <v>-0.01124031008</v>
      </c>
      <c r="L327" s="7">
        <v>-0.0028775592750245856</v>
      </c>
      <c r="M327" s="8">
        <f t="shared" si="1"/>
        <v>8107952</v>
      </c>
    </row>
    <row r="328">
      <c r="A328" s="9">
        <v>45987.0</v>
      </c>
      <c r="B328" s="4">
        <v>1532.1</v>
      </c>
      <c r="C328" s="4">
        <v>1560.3</v>
      </c>
      <c r="D328" s="4">
        <v>1532.1</v>
      </c>
      <c r="E328" s="4">
        <v>1530.6</v>
      </c>
      <c r="F328" s="4">
        <v>1557.9</v>
      </c>
      <c r="G328" s="4">
        <v>1550.71</v>
      </c>
      <c r="H328" s="1" t="s">
        <v>3303</v>
      </c>
      <c r="I328" s="1" t="s">
        <v>3305</v>
      </c>
      <c r="J328" s="1" t="s">
        <v>3307</v>
      </c>
      <c r="K328" s="1">
        <f t="shared" si="2"/>
        <v>0.01783614269</v>
      </c>
      <c r="L328" s="7">
        <v>0.012381783904067252</v>
      </c>
      <c r="M328" s="8">
        <f t="shared" si="1"/>
        <v>7575038</v>
      </c>
    </row>
    <row r="329">
      <c r="A329" s="9">
        <v>45988.0</v>
      </c>
      <c r="B329" s="4">
        <v>1564.0</v>
      </c>
      <c r="C329" s="4">
        <v>1574.3</v>
      </c>
      <c r="D329" s="4">
        <v>1552.2</v>
      </c>
      <c r="E329" s="4">
        <v>1557.9</v>
      </c>
      <c r="F329" s="4">
        <v>1566.4</v>
      </c>
      <c r="G329" s="4">
        <v>1563.46</v>
      </c>
      <c r="H329" s="1" t="s">
        <v>3314</v>
      </c>
      <c r="I329" s="1" t="s">
        <v>3315</v>
      </c>
      <c r="J329" s="1" t="s">
        <v>3317</v>
      </c>
      <c r="K329" s="1">
        <f t="shared" si="2"/>
        <v>0.005456062648</v>
      </c>
      <c r="L329" s="7">
        <v>3.9114224985022116E-4</v>
      </c>
      <c r="M329" s="8">
        <f t="shared" si="1"/>
        <v>7552252</v>
      </c>
    </row>
    <row r="330">
      <c r="A330" s="9">
        <v>45989.0</v>
      </c>
      <c r="B330" s="4">
        <v>1565.0</v>
      </c>
      <c r="C330" s="4">
        <v>1568.4</v>
      </c>
      <c r="D330" s="4">
        <v>1557.0</v>
      </c>
      <c r="E330" s="4">
        <v>1566.4</v>
      </c>
      <c r="F330" s="4">
        <v>1560.1</v>
      </c>
      <c r="G330" s="4">
        <v>1561.93</v>
      </c>
      <c r="H330" s="1" t="s">
        <v>3323</v>
      </c>
      <c r="I330" s="1" t="s">
        <v>3324</v>
      </c>
      <c r="J330" s="1" t="s">
        <v>3325</v>
      </c>
      <c r="K330" s="1">
        <f t="shared" si="2"/>
        <v>-0.004021961185</v>
      </c>
      <c r="L330" s="7">
        <v>-4.806307706684981E-4</v>
      </c>
      <c r="M330" s="8">
        <f t="shared" si="1"/>
        <v>4453221</v>
      </c>
    </row>
    <row r="331">
      <c r="A331" s="3">
        <v>45992.0</v>
      </c>
      <c r="B331" s="4">
        <v>1562.5</v>
      </c>
      <c r="C331" s="4">
        <v>1574.0</v>
      </c>
      <c r="D331" s="4">
        <v>1556.0</v>
      </c>
      <c r="E331" s="4">
        <v>1560.1</v>
      </c>
      <c r="F331" s="4">
        <v>1564.0</v>
      </c>
      <c r="G331" s="4">
        <v>1564.42</v>
      </c>
      <c r="H331" s="1" t="s">
        <v>3333</v>
      </c>
      <c r="I331" s="1" t="s">
        <v>3335</v>
      </c>
      <c r="J331" s="1" t="s">
        <v>3337</v>
      </c>
      <c r="K331" s="1">
        <f t="shared" si="2"/>
        <v>0.002499839754</v>
      </c>
      <c r="L331" s="7">
        <v>-0.001038051059136499</v>
      </c>
      <c r="M331" s="8">
        <f t="shared" si="1"/>
        <v>5341800</v>
      </c>
    </row>
    <row r="332">
      <c r="A332" s="3">
        <v>45993.0</v>
      </c>
      <c r="B332" s="4">
        <v>1567.0</v>
      </c>
      <c r="C332" s="4">
        <v>1579.9</v>
      </c>
      <c r="D332" s="4">
        <v>1556.1</v>
      </c>
      <c r="E332" s="4">
        <v>1564.0</v>
      </c>
      <c r="F332" s="4">
        <v>1561.0</v>
      </c>
      <c r="G332" s="4">
        <v>1564.22</v>
      </c>
      <c r="H332" s="1" t="s">
        <v>3342</v>
      </c>
      <c r="I332" s="1" t="s">
        <v>3344</v>
      </c>
      <c r="J332" s="1" t="s">
        <v>3345</v>
      </c>
      <c r="K332" s="1">
        <f t="shared" si="2"/>
        <v>-0.001918158568</v>
      </c>
      <c r="L332" s="7">
        <v>-0.005484083550614568</v>
      </c>
      <c r="M332" s="8">
        <f t="shared" si="1"/>
        <v>6335969</v>
      </c>
    </row>
    <row r="333">
      <c r="A333" s="3">
        <v>45994.0</v>
      </c>
      <c r="B333" s="4">
        <v>1555.1</v>
      </c>
      <c r="C333" s="4">
        <v>1586.0</v>
      </c>
      <c r="D333" s="4">
        <v>1554.1</v>
      </c>
      <c r="E333" s="4">
        <v>1561.0</v>
      </c>
      <c r="F333" s="4">
        <v>1578.7</v>
      </c>
      <c r="G333" s="4">
        <v>1574.15</v>
      </c>
      <c r="H333" s="1" t="s">
        <v>3349</v>
      </c>
      <c r="I333" s="1" t="s">
        <v>3351</v>
      </c>
      <c r="J333" s="1" t="s">
        <v>3352</v>
      </c>
      <c r="K333" s="1">
        <f t="shared" si="2"/>
        <v>0.01133888533</v>
      </c>
      <c r="L333" s="7">
        <v>-0.00177472514808586</v>
      </c>
      <c r="M333" s="8">
        <f t="shared" si="1"/>
        <v>12895312</v>
      </c>
    </row>
    <row r="334">
      <c r="A334" s="3">
        <v>45995.0</v>
      </c>
      <c r="B334" s="4">
        <v>1568.0</v>
      </c>
      <c r="C334" s="4">
        <v>1599.0</v>
      </c>
      <c r="D334" s="4">
        <v>1568.0</v>
      </c>
      <c r="E334" s="4">
        <v>1578.7</v>
      </c>
      <c r="F334" s="4">
        <v>1597.6</v>
      </c>
      <c r="G334" s="4">
        <v>1591.52</v>
      </c>
      <c r="H334" s="1" t="s">
        <v>3358</v>
      </c>
      <c r="I334" s="1" t="s">
        <v>3360</v>
      </c>
      <c r="J334" s="1" t="s">
        <v>3361</v>
      </c>
      <c r="K334" s="1">
        <f t="shared" si="2"/>
        <v>0.01197187559</v>
      </c>
      <c r="L334" s="7">
        <v>0.0018375278996382667</v>
      </c>
      <c r="M334" s="8">
        <f t="shared" si="1"/>
        <v>12609619</v>
      </c>
    </row>
    <row r="335">
      <c r="A335" s="3">
        <v>45996.0</v>
      </c>
      <c r="B335" s="4">
        <v>1610.0</v>
      </c>
      <c r="C335" s="4">
        <v>1631.8</v>
      </c>
      <c r="D335" s="4">
        <v>1600.0</v>
      </c>
      <c r="E335" s="4">
        <v>1597.6</v>
      </c>
      <c r="F335" s="4">
        <v>1616.2</v>
      </c>
      <c r="G335" s="4">
        <v>1617.78</v>
      </c>
      <c r="H335" s="1" t="s">
        <v>3368</v>
      </c>
      <c r="I335" s="1" t="s">
        <v>3369</v>
      </c>
      <c r="J335" s="1" t="s">
        <v>3370</v>
      </c>
      <c r="K335" s="1">
        <f t="shared" si="2"/>
        <v>0.0116424637</v>
      </c>
      <c r="L335" s="7">
        <v>0.005865463100782666</v>
      </c>
      <c r="M335" s="8">
        <f t="shared" si="1"/>
        <v>10344725</v>
      </c>
    </row>
    <row r="336">
      <c r="A336" s="3">
        <v>45999.0</v>
      </c>
      <c r="B336" s="4">
        <v>1617.1</v>
      </c>
      <c r="C336" s="4">
        <v>1630.0</v>
      </c>
      <c r="D336" s="4">
        <v>1600.2</v>
      </c>
      <c r="E336" s="4">
        <v>1616.2</v>
      </c>
      <c r="F336" s="4">
        <v>1610.8</v>
      </c>
      <c r="G336" s="4">
        <v>1616.8</v>
      </c>
      <c r="H336" s="1" t="s">
        <v>3379</v>
      </c>
      <c r="I336" s="1" t="s">
        <v>3380</v>
      </c>
      <c r="J336" s="1" t="s">
        <v>3381</v>
      </c>
      <c r="K336" s="1">
        <f t="shared" si="2"/>
        <v>-0.003341170647</v>
      </c>
      <c r="L336" s="7">
        <v>-0.0086265988707901</v>
      </c>
      <c r="M336" s="8">
        <f t="shared" si="1"/>
        <v>7550413</v>
      </c>
    </row>
    <row r="337">
      <c r="A337" s="3">
        <v>46000.0</v>
      </c>
      <c r="B337" s="4">
        <v>1601.2</v>
      </c>
      <c r="C337" s="4">
        <v>1606.9</v>
      </c>
      <c r="D337" s="4">
        <v>1582.4</v>
      </c>
      <c r="E337" s="4">
        <v>1610.8</v>
      </c>
      <c r="F337" s="4">
        <v>1599.0</v>
      </c>
      <c r="G337" s="4">
        <v>1596.28</v>
      </c>
      <c r="H337" s="1" t="s">
        <v>3387</v>
      </c>
      <c r="I337" s="1" t="s">
        <v>3390</v>
      </c>
      <c r="J337" s="1" t="s">
        <v>3392</v>
      </c>
      <c r="K337" s="1">
        <f t="shared" si="2"/>
        <v>-0.00732555252</v>
      </c>
      <c r="L337" s="7">
        <v>-0.0046570662023723616</v>
      </c>
      <c r="M337" s="8">
        <f t="shared" si="1"/>
        <v>6957599</v>
      </c>
    </row>
    <row r="338">
      <c r="A338" s="9">
        <v>46001.0</v>
      </c>
      <c r="B338" s="4">
        <v>1608.0</v>
      </c>
      <c r="C338" s="4">
        <v>1608.0</v>
      </c>
      <c r="D338" s="4">
        <v>1582.8</v>
      </c>
      <c r="E338" s="4">
        <v>1599.0</v>
      </c>
      <c r="F338" s="4">
        <v>1584.8</v>
      </c>
      <c r="G338" s="4">
        <v>1590.84</v>
      </c>
      <c r="H338" s="1" t="s">
        <v>3393</v>
      </c>
      <c r="I338" s="1" t="s">
        <v>3395</v>
      </c>
      <c r="J338" s="1" t="s">
        <v>3396</v>
      </c>
      <c r="K338" s="1">
        <f t="shared" si="2"/>
        <v>-0.008880550344</v>
      </c>
      <c r="L338" s="7">
        <v>-0.003159872521493188</v>
      </c>
      <c r="M338" s="8">
        <f t="shared" si="1"/>
        <v>5116140</v>
      </c>
    </row>
    <row r="339">
      <c r="A339" s="9">
        <v>46002.0</v>
      </c>
      <c r="B339" s="4">
        <v>1598.0</v>
      </c>
      <c r="C339" s="4">
        <v>1607.4</v>
      </c>
      <c r="D339" s="4">
        <v>1580.5</v>
      </c>
      <c r="E339" s="4">
        <v>1584.8</v>
      </c>
      <c r="F339" s="4">
        <v>1598.0</v>
      </c>
      <c r="G339" s="4">
        <v>1592.84</v>
      </c>
      <c r="H339" s="1" t="s">
        <v>3405</v>
      </c>
      <c r="I339" s="1" t="s">
        <v>3406</v>
      </c>
      <c r="J339" s="1" t="s">
        <v>3407</v>
      </c>
      <c r="K339" s="1">
        <f t="shared" si="2"/>
        <v>0.008329126704</v>
      </c>
      <c r="L339" s="7">
        <v>0.0054565571861169065</v>
      </c>
      <c r="M339" s="8">
        <f t="shared" si="1"/>
        <v>5159319</v>
      </c>
    </row>
    <row r="340">
      <c r="A340" s="9">
        <v>46003.0</v>
      </c>
      <c r="B340" s="4">
        <v>1601.4</v>
      </c>
      <c r="C340" s="4">
        <v>1601.8</v>
      </c>
      <c r="D340" s="4">
        <v>1582.6</v>
      </c>
      <c r="E340" s="4">
        <v>1598.0</v>
      </c>
      <c r="F340" s="4">
        <v>1598.2</v>
      </c>
      <c r="G340" s="4">
        <v>1593.93</v>
      </c>
      <c r="H340" s="1" t="s">
        <v>3414</v>
      </c>
      <c r="I340" s="1" t="s">
        <v>3415</v>
      </c>
      <c r="J340" s="1" t="s">
        <v>3417</v>
      </c>
      <c r="K340" s="1">
        <f t="shared" si="2"/>
        <v>0.0001251564456</v>
      </c>
      <c r="L340" s="7">
        <v>0.005730050524064145</v>
      </c>
      <c r="M340" s="8">
        <f t="shared" si="1"/>
        <v>4633912</v>
      </c>
    </row>
    <row r="341">
      <c r="A341" s="9">
        <v>46006.0</v>
      </c>
      <c r="B341" s="4">
        <v>1585.0</v>
      </c>
      <c r="C341" s="4">
        <v>1610.8</v>
      </c>
      <c r="D341" s="4">
        <v>1585.0</v>
      </c>
      <c r="E341" s="4">
        <v>1598.2</v>
      </c>
      <c r="F341" s="4">
        <v>1606.8</v>
      </c>
      <c r="G341" s="4">
        <v>1603.88</v>
      </c>
      <c r="H341" s="1" t="s">
        <v>3426</v>
      </c>
      <c r="I341" s="1" t="s">
        <v>3427</v>
      </c>
      <c r="J341" s="1" t="s">
        <v>3428</v>
      </c>
      <c r="K341" s="1">
        <f t="shared" si="2"/>
        <v>0.005381053685</v>
      </c>
      <c r="L341" s="7">
        <v>-7.544069459188679E-4</v>
      </c>
      <c r="M341" s="8">
        <f t="shared" si="1"/>
        <v>4190558</v>
      </c>
    </row>
    <row r="342">
      <c r="A342" s="9">
        <v>46007.0</v>
      </c>
      <c r="B342" s="4">
        <v>1600.0</v>
      </c>
      <c r="C342" s="4">
        <v>1603.0</v>
      </c>
      <c r="D342" s="4">
        <v>1585.6</v>
      </c>
      <c r="E342" s="4">
        <v>1606.8</v>
      </c>
      <c r="F342" s="4">
        <v>1592.9</v>
      </c>
      <c r="G342" s="4">
        <v>1591.77</v>
      </c>
      <c r="H342" s="1" t="s">
        <v>3435</v>
      </c>
      <c r="I342" s="1" t="s">
        <v>3436</v>
      </c>
      <c r="J342" s="1" t="s">
        <v>3437</v>
      </c>
      <c r="K342" s="1">
        <f t="shared" si="2"/>
        <v>-0.008650734379</v>
      </c>
      <c r="L342" s="7">
        <v>-0.006424024005563417</v>
      </c>
      <c r="M342" s="8">
        <f t="shared" si="1"/>
        <v>5499258</v>
      </c>
    </row>
    <row r="343">
      <c r="A343" s="9">
        <v>46008.0</v>
      </c>
      <c r="B343" s="4">
        <v>1587.2</v>
      </c>
      <c r="C343" s="4">
        <v>1606.9</v>
      </c>
      <c r="D343" s="4">
        <v>1586.0</v>
      </c>
      <c r="E343" s="4">
        <v>1592.9</v>
      </c>
      <c r="F343" s="4">
        <v>1602.0</v>
      </c>
      <c r="G343" s="4">
        <v>1600.21</v>
      </c>
      <c r="H343" s="1" t="s">
        <v>3442</v>
      </c>
      <c r="I343" s="1" t="s">
        <v>3445</v>
      </c>
      <c r="J343" s="1" t="s">
        <v>3448</v>
      </c>
      <c r="K343" s="1">
        <f t="shared" si="2"/>
        <v>0.005712850775</v>
      </c>
      <c r="L343" s="7">
        <v>-0.0016067223251263248</v>
      </c>
      <c r="M343" s="8">
        <f t="shared" si="1"/>
        <v>4817628</v>
      </c>
    </row>
    <row r="344">
      <c r="A344" s="9">
        <v>46009.0</v>
      </c>
      <c r="B344" s="4">
        <v>1610.5</v>
      </c>
      <c r="C344" s="4">
        <v>1630.0</v>
      </c>
      <c r="D344" s="4">
        <v>1606.7</v>
      </c>
      <c r="E344" s="4">
        <v>1602.0</v>
      </c>
      <c r="F344" s="4">
        <v>1626.8</v>
      </c>
      <c r="G344" s="4">
        <v>1623.68</v>
      </c>
      <c r="H344" s="1" t="s">
        <v>3453</v>
      </c>
      <c r="I344" s="1" t="s">
        <v>3454</v>
      </c>
      <c r="J344" s="1" t="s">
        <v>3456</v>
      </c>
      <c r="K344" s="1">
        <f t="shared" si="2"/>
        <v>0.01548064919</v>
      </c>
      <c r="L344" s="7">
        <v>-1.1619552608492731E-4</v>
      </c>
      <c r="M344" s="8">
        <f t="shared" si="1"/>
        <v>6577293</v>
      </c>
    </row>
    <row r="345">
      <c r="A345" s="9">
        <v>46010.0</v>
      </c>
      <c r="B345" s="4">
        <v>1650.0</v>
      </c>
      <c r="C345" s="4">
        <v>1654.9</v>
      </c>
      <c r="D345" s="4">
        <v>1629.8</v>
      </c>
      <c r="E345" s="4">
        <v>1626.8</v>
      </c>
      <c r="F345" s="4">
        <v>1638.7</v>
      </c>
      <c r="G345" s="4">
        <v>1640.02</v>
      </c>
      <c r="H345" s="1" t="s">
        <v>3464</v>
      </c>
      <c r="I345" s="1" t="s">
        <v>3465</v>
      </c>
      <c r="J345" s="1" t="s">
        <v>3466</v>
      </c>
      <c r="K345" s="1">
        <f t="shared" si="2"/>
        <v>0.007314974182</v>
      </c>
      <c r="L345" s="7">
        <v>0.005843377344275143</v>
      </c>
      <c r="M345" s="8">
        <f t="shared" si="1"/>
        <v>13149023</v>
      </c>
    </row>
    <row r="346">
      <c r="A346" s="9">
        <v>46013.0</v>
      </c>
      <c r="B346" s="4">
        <v>1664.0</v>
      </c>
      <c r="C346" s="4">
        <v>1693.2</v>
      </c>
      <c r="D346" s="4">
        <v>1664.0</v>
      </c>
      <c r="E346" s="4">
        <v>1638.7</v>
      </c>
      <c r="F346" s="4">
        <v>1689.6</v>
      </c>
      <c r="G346" s="4">
        <v>1682.86</v>
      </c>
      <c r="H346" s="1" t="s">
        <v>3473</v>
      </c>
      <c r="I346" s="1" t="s">
        <v>3476</v>
      </c>
      <c r="J346" s="1" t="s">
        <v>3478</v>
      </c>
      <c r="K346" s="1">
        <f t="shared" si="2"/>
        <v>0.03106120705</v>
      </c>
      <c r="L346" s="7">
        <v>0.007933329225460594</v>
      </c>
      <c r="M346" s="8">
        <f t="shared" si="1"/>
        <v>23098923</v>
      </c>
    </row>
    <row r="347">
      <c r="A347" s="9">
        <v>46014.0</v>
      </c>
      <c r="B347" s="4">
        <v>1679.0</v>
      </c>
      <c r="C347" s="4">
        <v>1679.0</v>
      </c>
      <c r="D347" s="4">
        <v>1656.4</v>
      </c>
      <c r="E347" s="4">
        <v>1689.6</v>
      </c>
      <c r="F347" s="4">
        <v>1668.3</v>
      </c>
      <c r="G347" s="4">
        <v>1666.35</v>
      </c>
      <c r="H347" s="1" t="s">
        <v>3482</v>
      </c>
      <c r="I347" s="1" t="s">
        <v>3484</v>
      </c>
      <c r="J347" s="1" t="s">
        <v>3486</v>
      </c>
      <c r="K347" s="1">
        <f t="shared" si="2"/>
        <v>-0.01260653409</v>
      </c>
      <c r="L347" s="7">
        <v>1.8148889670034082E-4</v>
      </c>
      <c r="M347" s="8">
        <f t="shared" si="1"/>
        <v>6593060</v>
      </c>
    </row>
    <row r="348">
      <c r="A348" s="9">
        <v>46015.0</v>
      </c>
      <c r="B348" s="4">
        <v>1661.0</v>
      </c>
      <c r="C348" s="4">
        <v>1667.6</v>
      </c>
      <c r="D348" s="4">
        <v>1652.5</v>
      </c>
      <c r="E348" s="4">
        <v>1668.3</v>
      </c>
      <c r="F348" s="4">
        <v>1663.4</v>
      </c>
      <c r="G348" s="4">
        <v>1660.54</v>
      </c>
      <c r="H348" s="1" t="s">
        <v>3494</v>
      </c>
      <c r="I348" s="1" t="s">
        <v>3495</v>
      </c>
      <c r="J348" s="1" t="s">
        <v>3496</v>
      </c>
      <c r="K348" s="1">
        <f t="shared" si="2"/>
        <v>-0.002937121621</v>
      </c>
      <c r="L348" s="7">
        <v>-0.0013389540114184665</v>
      </c>
      <c r="M348" s="8">
        <f t="shared" si="1"/>
        <v>4271167</v>
      </c>
    </row>
    <row r="349">
      <c r="A349" s="9">
        <v>46017.0</v>
      </c>
      <c r="B349" s="4">
        <v>1663.4</v>
      </c>
      <c r="C349" s="4">
        <v>1668.8</v>
      </c>
      <c r="D349" s="4">
        <v>1651.7</v>
      </c>
      <c r="E349" s="4">
        <v>1663.4</v>
      </c>
      <c r="F349" s="4">
        <v>1656.1</v>
      </c>
      <c r="G349" s="4">
        <v>1657.89</v>
      </c>
      <c r="H349" s="1" t="s">
        <v>3504</v>
      </c>
      <c r="I349" s="1" t="s">
        <v>3506</v>
      </c>
      <c r="J349" s="11">
        <v>97220.0</v>
      </c>
      <c r="K349" s="1">
        <f t="shared" si="2"/>
        <v>-0.004388601659</v>
      </c>
      <c r="L349" s="7">
        <v>-0.003817596903079679</v>
      </c>
      <c r="M349" s="8">
        <f t="shared" si="1"/>
        <v>2006491</v>
      </c>
    </row>
    <row r="350">
      <c r="A350" s="9">
        <v>46020.0</v>
      </c>
      <c r="B350" s="4">
        <v>1658.0</v>
      </c>
      <c r="C350" s="4">
        <v>1673.1</v>
      </c>
      <c r="D350" s="4">
        <v>1637.1</v>
      </c>
      <c r="E350" s="4">
        <v>1656.1</v>
      </c>
      <c r="F350" s="4">
        <v>1644.7</v>
      </c>
      <c r="G350" s="4">
        <v>1647.3</v>
      </c>
      <c r="H350" s="1" t="s">
        <v>3514</v>
      </c>
      <c r="I350" s="1" t="s">
        <v>3515</v>
      </c>
      <c r="J350" s="1" t="s">
        <v>3516</v>
      </c>
      <c r="K350" s="1">
        <f t="shared" si="2"/>
        <v>-0.006883642292</v>
      </c>
      <c r="L350" s="7">
        <v>-0.003847586426698131</v>
      </c>
      <c r="M350" s="8">
        <f t="shared" si="1"/>
        <v>4062817</v>
      </c>
    </row>
    <row r="351">
      <c r="A351" s="9">
        <v>46021.0</v>
      </c>
      <c r="B351" s="4">
        <v>1647.0</v>
      </c>
      <c r="C351" s="4">
        <v>1647.9</v>
      </c>
      <c r="D351" s="4">
        <v>1616.8</v>
      </c>
      <c r="E351" s="4">
        <v>1644.7</v>
      </c>
      <c r="F351" s="4">
        <v>1621.6</v>
      </c>
      <c r="G351" s="4">
        <v>1625.72</v>
      </c>
      <c r="H351" s="1" t="s">
        <v>3526</v>
      </c>
      <c r="I351" s="1" t="s">
        <v>3527</v>
      </c>
      <c r="J351" s="1" t="s">
        <v>3528</v>
      </c>
      <c r="K351" s="1">
        <f t="shared" si="2"/>
        <v>-0.01404511461</v>
      </c>
      <c r="L351" s="7">
        <v>-1.252789866664611E-4</v>
      </c>
      <c r="M351" s="8">
        <f t="shared" si="1"/>
        <v>9395937</v>
      </c>
    </row>
    <row r="352">
      <c r="A352" s="9">
        <v>46022.0</v>
      </c>
      <c r="B352" s="4">
        <v>1621.0</v>
      </c>
      <c r="C352" s="4">
        <v>1628.6</v>
      </c>
      <c r="D352" s="4">
        <v>1609.2</v>
      </c>
      <c r="E352" s="4">
        <v>1621.6</v>
      </c>
      <c r="F352" s="4">
        <v>1615.4</v>
      </c>
      <c r="G352" s="4">
        <v>1616.58</v>
      </c>
      <c r="H352" s="1" t="s">
        <v>3536</v>
      </c>
      <c r="I352" s="1" t="s">
        <v>3537</v>
      </c>
      <c r="J352" s="1" t="s">
        <v>3539</v>
      </c>
      <c r="K352" s="1">
        <f t="shared" si="2"/>
        <v>-0.003823384312</v>
      </c>
      <c r="L352" s="7">
        <v>0.007353834113694324</v>
      </c>
      <c r="M352" s="8">
        <f t="shared" si="1"/>
        <v>6538656</v>
      </c>
    </row>
    <row r="353">
      <c r="A353" s="3">
        <v>46023.0</v>
      </c>
      <c r="B353" s="4">
        <v>1615.4</v>
      </c>
      <c r="C353" s="4">
        <v>1639.6</v>
      </c>
      <c r="D353" s="4">
        <v>1614.1</v>
      </c>
      <c r="E353" s="4">
        <v>1615.4</v>
      </c>
      <c r="F353" s="4">
        <v>1629.8</v>
      </c>
      <c r="G353" s="4">
        <v>1630.77</v>
      </c>
      <c r="H353" s="1" t="s">
        <v>3544</v>
      </c>
      <c r="I353" s="1" t="s">
        <v>3545</v>
      </c>
      <c r="J353" s="11">
        <v>96560.0</v>
      </c>
      <c r="K353" s="1">
        <f t="shared" si="2"/>
        <v>0.008914200817</v>
      </c>
      <c r="L353" s="7">
        <v>6.486896087196409E-4</v>
      </c>
      <c r="M353" s="8">
        <f t="shared" si="1"/>
        <v>3658165</v>
      </c>
    </row>
    <row r="354">
      <c r="A354" s="3">
        <v>46024.0</v>
      </c>
      <c r="B354" s="4">
        <v>1635.9</v>
      </c>
      <c r="C354" s="4">
        <v>1643.5</v>
      </c>
      <c r="D354" s="4">
        <v>1627.5</v>
      </c>
      <c r="E354" s="4">
        <v>1629.8</v>
      </c>
      <c r="F354" s="4">
        <v>1640.4</v>
      </c>
      <c r="G354" s="4">
        <v>1638.65</v>
      </c>
      <c r="H354" s="1" t="s">
        <v>3554</v>
      </c>
      <c r="I354" s="1" t="s">
        <v>3556</v>
      </c>
      <c r="J354" s="11">
        <v>86514.0</v>
      </c>
      <c r="K354" s="1">
        <f t="shared" si="2"/>
        <v>0.006503865505</v>
      </c>
      <c r="L354" s="7">
        <v>0.006960765378223896</v>
      </c>
      <c r="M354" s="8">
        <f t="shared" si="1"/>
        <v>2524526</v>
      </c>
    </row>
    <row r="355">
      <c r="A355" s="3">
        <v>46027.0</v>
      </c>
      <c r="B355" s="4">
        <v>1637.0</v>
      </c>
      <c r="C355" s="4">
        <v>1637.0</v>
      </c>
      <c r="D355" s="4">
        <v>1583.1</v>
      </c>
      <c r="E355" s="4">
        <v>1640.4</v>
      </c>
      <c r="F355" s="4">
        <v>1606.4</v>
      </c>
      <c r="G355" s="4">
        <v>1602.81</v>
      </c>
      <c r="H355" s="1" t="s">
        <v>3563</v>
      </c>
      <c r="I355" s="1" t="s">
        <v>3565</v>
      </c>
      <c r="J355" s="1" t="s">
        <v>3567</v>
      </c>
      <c r="K355" s="1">
        <f t="shared" si="2"/>
        <v>-0.02072665204</v>
      </c>
      <c r="L355" s="7">
        <v>-0.0029720588486642826</v>
      </c>
      <c r="M355" s="8">
        <f t="shared" si="1"/>
        <v>5917885</v>
      </c>
    </row>
    <row r="356">
      <c r="A356" s="3">
        <v>46028.0</v>
      </c>
      <c r="B356" s="4">
        <v>1600.1</v>
      </c>
      <c r="C356" s="4">
        <v>1619.9</v>
      </c>
      <c r="D356" s="4">
        <v>1599.0</v>
      </c>
      <c r="E356" s="4">
        <v>1606.4</v>
      </c>
      <c r="F356" s="4">
        <v>1612.2</v>
      </c>
      <c r="G356" s="4">
        <v>1612.25</v>
      </c>
      <c r="H356" s="1" t="s">
        <v>3572</v>
      </c>
      <c r="I356" s="1" t="s">
        <v>3573</v>
      </c>
      <c r="J356" s="1" t="s">
        <v>3575</v>
      </c>
      <c r="K356" s="1">
        <f t="shared" si="2"/>
        <v>0.003610557769</v>
      </c>
      <c r="L356" s="7">
        <v>-0.002727587875186133</v>
      </c>
      <c r="M356" s="8">
        <f t="shared" si="1"/>
        <v>4466729</v>
      </c>
    </row>
    <row r="357">
      <c r="A357" s="3">
        <v>46029.0</v>
      </c>
      <c r="B357" s="4">
        <v>1615.0</v>
      </c>
      <c r="C357" s="4">
        <v>1642.0</v>
      </c>
      <c r="D357" s="4">
        <v>1615.0</v>
      </c>
      <c r="E357" s="4">
        <v>1612.2</v>
      </c>
      <c r="F357" s="4">
        <v>1639.0</v>
      </c>
      <c r="G357" s="4">
        <v>1633.23</v>
      </c>
      <c r="H357" s="1" t="s">
        <v>3584</v>
      </c>
      <c r="I357" s="1" t="s">
        <v>3585</v>
      </c>
      <c r="J357" s="1" t="s">
        <v>3586</v>
      </c>
      <c r="K357" s="1">
        <f t="shared" si="2"/>
        <v>0.01662324774</v>
      </c>
      <c r="L357" s="7">
        <v>-0.0014496518161711898</v>
      </c>
      <c r="M357" s="8">
        <f t="shared" si="1"/>
        <v>4508079</v>
      </c>
    </row>
    <row r="358">
      <c r="A358" s="3">
        <v>46030.0</v>
      </c>
      <c r="B358" s="4">
        <v>1638.9</v>
      </c>
      <c r="C358" s="4">
        <v>1644.3</v>
      </c>
      <c r="D358" s="4">
        <v>1608.6</v>
      </c>
      <c r="E358" s="4">
        <v>1639.0</v>
      </c>
      <c r="F358" s="4">
        <v>1613.3</v>
      </c>
      <c r="G358" s="4">
        <v>1619.65</v>
      </c>
      <c r="H358" s="1" t="s">
        <v>3592</v>
      </c>
      <c r="I358" s="1" t="s">
        <v>3595</v>
      </c>
      <c r="J358" s="1" t="s">
        <v>3596</v>
      </c>
      <c r="K358" s="1">
        <f t="shared" si="2"/>
        <v>-0.01568029286</v>
      </c>
      <c r="L358" s="7">
        <v>-0.01009534921530566</v>
      </c>
      <c r="M358" s="8">
        <f t="shared" si="1"/>
        <v>3942131</v>
      </c>
    </row>
    <row r="359">
      <c r="A359" s="3">
        <v>46031.0</v>
      </c>
      <c r="B359" s="4">
        <v>1610.0</v>
      </c>
      <c r="C359" s="4">
        <v>1631.3</v>
      </c>
      <c r="D359" s="4">
        <v>1607.0</v>
      </c>
      <c r="E359" s="4">
        <v>1613.3</v>
      </c>
      <c r="F359" s="4">
        <v>1614.1</v>
      </c>
      <c r="G359" s="4">
        <v>1616.35</v>
      </c>
      <c r="H359" s="1" t="s">
        <v>3601</v>
      </c>
      <c r="I359" s="1" t="s">
        <v>3602</v>
      </c>
      <c r="J359" s="1" t="s">
        <v>3604</v>
      </c>
      <c r="K359" s="1">
        <f t="shared" si="2"/>
        <v>0.000495878014</v>
      </c>
      <c r="L359" s="7">
        <v>-0.007479658459201923</v>
      </c>
      <c r="M359" s="8">
        <f t="shared" si="1"/>
        <v>6816681</v>
      </c>
    </row>
    <row r="360">
      <c r="A360" s="9">
        <v>46034.0</v>
      </c>
      <c r="B360" s="4">
        <v>1610.1</v>
      </c>
      <c r="C360" s="4">
        <v>1613.3</v>
      </c>
      <c r="D360" s="4">
        <v>1592.6</v>
      </c>
      <c r="E360" s="4">
        <v>1614.1</v>
      </c>
      <c r="F360" s="4">
        <v>1595.9</v>
      </c>
      <c r="G360" s="4">
        <v>1599.67</v>
      </c>
      <c r="H360" s="1" t="s">
        <v>3613</v>
      </c>
      <c r="I360" s="1" t="s">
        <v>3614</v>
      </c>
      <c r="J360" s="1" t="s">
        <v>3615</v>
      </c>
      <c r="K360" s="1">
        <f t="shared" si="2"/>
        <v>-0.01127563348</v>
      </c>
      <c r="L360" s="7">
        <v>0.0041641845090000405</v>
      </c>
      <c r="M360" s="8">
        <f t="shared" si="1"/>
        <v>6985362</v>
      </c>
    </row>
    <row r="361">
      <c r="A361" s="9">
        <v>46035.0</v>
      </c>
      <c r="B361" s="4">
        <v>1618.0</v>
      </c>
      <c r="C361" s="4">
        <v>1618.0</v>
      </c>
      <c r="D361" s="4">
        <v>1586.4</v>
      </c>
      <c r="E361" s="4">
        <v>1595.9</v>
      </c>
      <c r="F361" s="4">
        <v>1599.0</v>
      </c>
      <c r="G361" s="4">
        <v>1595.24</v>
      </c>
      <c r="H361" s="1" t="s">
        <v>3622</v>
      </c>
      <c r="I361" s="1" t="s">
        <v>3623</v>
      </c>
      <c r="J361" s="1" t="s">
        <v>3624</v>
      </c>
      <c r="K361" s="1">
        <f t="shared" si="2"/>
        <v>0.001942477599</v>
      </c>
      <c r="L361" s="7">
        <v>-0.002246973177848246</v>
      </c>
      <c r="M361" s="8">
        <f t="shared" si="1"/>
        <v>8080618</v>
      </c>
    </row>
    <row r="362">
      <c r="A362" s="9">
        <v>46036.0</v>
      </c>
      <c r="B362" s="4">
        <v>1588.0</v>
      </c>
      <c r="C362" s="4">
        <v>1617.0</v>
      </c>
      <c r="D362" s="4">
        <v>1583.1</v>
      </c>
      <c r="E362" s="4">
        <v>1599.0</v>
      </c>
      <c r="F362" s="4">
        <v>1599.8</v>
      </c>
      <c r="G362" s="4">
        <v>1598.47</v>
      </c>
      <c r="H362" s="1" t="s">
        <v>3634</v>
      </c>
      <c r="I362" s="1" t="s">
        <v>3635</v>
      </c>
      <c r="J362" s="1" t="s">
        <v>3636</v>
      </c>
      <c r="K362" s="1">
        <f t="shared" si="2"/>
        <v>0.0005003126954</v>
      </c>
      <c r="L362" s="7">
        <v>-0.002592072997749938</v>
      </c>
      <c r="M362" s="8">
        <f t="shared" si="1"/>
        <v>7557157</v>
      </c>
    </row>
    <row r="363">
      <c r="A363" s="9">
        <v>46038.0</v>
      </c>
      <c r="B363" s="4">
        <v>1663.7</v>
      </c>
      <c r="C363" s="4">
        <v>1694.0</v>
      </c>
      <c r="D363" s="4">
        <v>1653.4</v>
      </c>
      <c r="E363" s="4">
        <v>1599.8</v>
      </c>
      <c r="F363" s="4">
        <v>1689.8</v>
      </c>
      <c r="G363" s="4">
        <v>1679.42</v>
      </c>
      <c r="H363" s="1" t="s">
        <v>3645</v>
      </c>
      <c r="I363" s="1" t="s">
        <v>3647</v>
      </c>
      <c r="J363" s="1" t="s">
        <v>3648</v>
      </c>
      <c r="K363" s="1">
        <f t="shared" si="2"/>
        <v>0.05625703213</v>
      </c>
      <c r="L363" s="7">
        <v>0.0011201764229162772</v>
      </c>
      <c r="M363" s="8">
        <f t="shared" si="1"/>
        <v>19335957</v>
      </c>
    </row>
    <row r="364">
      <c r="A364" s="9">
        <v>46041.0</v>
      </c>
      <c r="B364" s="4">
        <v>1685.0</v>
      </c>
      <c r="C364" s="4">
        <v>1685.0</v>
      </c>
      <c r="D364" s="4">
        <v>1666.5</v>
      </c>
      <c r="E364" s="4">
        <v>1689.8</v>
      </c>
      <c r="F364" s="4">
        <v>1681.2</v>
      </c>
      <c r="G364" s="4">
        <v>1678.98</v>
      </c>
      <c r="H364" s="1" t="s">
        <v>3655</v>
      </c>
      <c r="I364" s="1" t="s">
        <v>3656</v>
      </c>
      <c r="J364" s="1" t="s">
        <v>3657</v>
      </c>
      <c r="K364" s="1">
        <f t="shared" si="2"/>
        <v>-0.005089359688</v>
      </c>
      <c r="L364" s="7">
        <v>-0.004236339895735777</v>
      </c>
      <c r="M364" s="8">
        <f t="shared" si="1"/>
        <v>5104958</v>
      </c>
    </row>
    <row r="365">
      <c r="A365" s="9">
        <v>46042.0</v>
      </c>
      <c r="B365" s="4">
        <v>1673.0</v>
      </c>
      <c r="C365" s="4">
        <v>1680.2</v>
      </c>
      <c r="D365" s="4">
        <v>1652.9</v>
      </c>
      <c r="E365" s="4">
        <v>1681.2</v>
      </c>
      <c r="F365" s="4">
        <v>1658.9</v>
      </c>
      <c r="G365" s="4">
        <v>1664.2</v>
      </c>
      <c r="H365" s="1" t="s">
        <v>3667</v>
      </c>
      <c r="I365" s="1" t="s">
        <v>3670</v>
      </c>
      <c r="J365" s="1" t="s">
        <v>3672</v>
      </c>
      <c r="K365" s="1">
        <f t="shared" si="2"/>
        <v>-0.013264335</v>
      </c>
      <c r="L365" s="7">
        <v>-0.013796877137441129</v>
      </c>
      <c r="M365" s="8">
        <f t="shared" si="1"/>
        <v>6406503</v>
      </c>
    </row>
    <row r="366">
      <c r="A366" s="9">
        <v>46043.0</v>
      </c>
      <c r="B366" s="4">
        <v>1651.0</v>
      </c>
      <c r="C366" s="4">
        <v>1657.0</v>
      </c>
      <c r="D366" s="4">
        <v>1631.2</v>
      </c>
      <c r="E366" s="4">
        <v>1658.9</v>
      </c>
      <c r="F366" s="4">
        <v>1654.4</v>
      </c>
      <c r="G366" s="4">
        <v>1648.33</v>
      </c>
      <c r="H366" s="1" t="s">
        <v>3679</v>
      </c>
      <c r="I366" s="1" t="s">
        <v>3681</v>
      </c>
      <c r="J366" s="1" t="s">
        <v>3683</v>
      </c>
      <c r="K366" s="1">
        <f t="shared" si="2"/>
        <v>-0.002712640907</v>
      </c>
      <c r="L366" s="7">
        <v>-0.002972357079163777</v>
      </c>
      <c r="M366" s="8">
        <f t="shared" si="1"/>
        <v>6224582</v>
      </c>
    </row>
    <row r="367">
      <c r="A367" s="9">
        <v>46044.0</v>
      </c>
      <c r="B367" s="4">
        <v>1666.0</v>
      </c>
      <c r="C367" s="4">
        <v>1671.2</v>
      </c>
      <c r="D367" s="4">
        <v>1653.8</v>
      </c>
      <c r="E367" s="4">
        <v>1654.4</v>
      </c>
      <c r="F367" s="4">
        <v>1663.5</v>
      </c>
      <c r="G367" s="4">
        <v>1661.08</v>
      </c>
      <c r="H367" s="1" t="s">
        <v>3687</v>
      </c>
      <c r="I367" s="1" t="s">
        <v>3689</v>
      </c>
      <c r="J367" s="1" t="s">
        <v>3691</v>
      </c>
      <c r="K367" s="1">
        <f t="shared" si="2"/>
        <v>0.005500483559</v>
      </c>
      <c r="L367" s="7">
        <v>0.005262844082281683</v>
      </c>
      <c r="M367" s="8">
        <f t="shared" si="1"/>
        <v>6228892</v>
      </c>
    </row>
    <row r="368">
      <c r="A368" s="9">
        <v>46045.0</v>
      </c>
      <c r="B368" s="4">
        <v>1667.2</v>
      </c>
      <c r="C368" s="4">
        <v>1675.7</v>
      </c>
      <c r="D368" s="4">
        <v>1662.2</v>
      </c>
      <c r="E368" s="4">
        <v>1663.5</v>
      </c>
      <c r="F368" s="4">
        <v>1670.8</v>
      </c>
      <c r="G368" s="4">
        <v>1668.83</v>
      </c>
      <c r="H368" s="1" t="s">
        <v>3696</v>
      </c>
      <c r="I368" s="1" t="s">
        <v>3697</v>
      </c>
      <c r="J368" s="1" t="s">
        <v>3699</v>
      </c>
      <c r="K368" s="1">
        <f t="shared" si="2"/>
        <v>0.004388337842</v>
      </c>
      <c r="L368" s="7">
        <v>-0.009539381334050351</v>
      </c>
      <c r="M368" s="8">
        <f t="shared" si="1"/>
        <v>5869137</v>
      </c>
    </row>
    <row r="369">
      <c r="A369" s="9">
        <v>46049.0</v>
      </c>
      <c r="B369" s="4">
        <v>1685.8</v>
      </c>
      <c r="C369" s="4">
        <v>1689.4</v>
      </c>
      <c r="D369" s="4">
        <v>1661.1</v>
      </c>
      <c r="E369" s="4">
        <v>1670.8</v>
      </c>
      <c r="F369" s="4">
        <v>1682.7</v>
      </c>
      <c r="G369" s="4">
        <v>1679.04</v>
      </c>
      <c r="H369" s="1" t="s">
        <v>3708</v>
      </c>
      <c r="I369" s="1" t="s">
        <v>3710</v>
      </c>
      <c r="J369" s="1" t="s">
        <v>3712</v>
      </c>
      <c r="K369" s="1">
        <f t="shared" si="2"/>
        <v>0.007122336605</v>
      </c>
      <c r="L369" s="7">
        <v>0.00506015294237414</v>
      </c>
      <c r="M369" s="8">
        <f t="shared" si="1"/>
        <v>10673087</v>
      </c>
    </row>
    <row r="370">
      <c r="A370" s="9">
        <v>46050.0</v>
      </c>
      <c r="B370" s="4">
        <v>1680.0</v>
      </c>
      <c r="C370" s="4">
        <v>1688.8</v>
      </c>
      <c r="D370" s="4">
        <v>1650.0</v>
      </c>
      <c r="E370" s="4">
        <v>1682.7</v>
      </c>
      <c r="F370" s="4">
        <v>1666.5</v>
      </c>
      <c r="G370" s="4">
        <v>1662.8</v>
      </c>
      <c r="H370" s="1" t="s">
        <v>3722</v>
      </c>
      <c r="I370" s="1" t="s">
        <v>3723</v>
      </c>
      <c r="J370" s="1" t="s">
        <v>3724</v>
      </c>
      <c r="K370" s="1">
        <f t="shared" si="2"/>
        <v>-0.009627384561</v>
      </c>
      <c r="L370" s="7">
        <v>0.0066473621074540435</v>
      </c>
      <c r="M370" s="8">
        <f t="shared" si="1"/>
        <v>8588664</v>
      </c>
    </row>
    <row r="371">
      <c r="A371" s="9">
        <v>46051.0</v>
      </c>
      <c r="B371" s="4">
        <v>1658.0</v>
      </c>
      <c r="C371" s="4">
        <v>1666.5</v>
      </c>
      <c r="D371" s="4">
        <v>1642.1</v>
      </c>
      <c r="E371" s="4">
        <v>1666.5</v>
      </c>
      <c r="F371" s="4">
        <v>1659.5</v>
      </c>
      <c r="G371" s="4">
        <v>1655.78</v>
      </c>
      <c r="H371" s="1" t="s">
        <v>3731</v>
      </c>
      <c r="I371" s="1" t="s">
        <v>3732</v>
      </c>
      <c r="J371" s="1" t="s">
        <v>3734</v>
      </c>
      <c r="K371" s="1">
        <f t="shared" si="2"/>
        <v>-0.004200420042</v>
      </c>
      <c r="L371" s="7">
        <v>0.003004804135305026</v>
      </c>
      <c r="M371" s="8">
        <f t="shared" si="1"/>
        <v>4749582</v>
      </c>
    </row>
    <row r="372">
      <c r="A372" s="9">
        <v>46052.0</v>
      </c>
      <c r="B372" s="4">
        <v>1655.0</v>
      </c>
      <c r="C372" s="4">
        <v>1655.0</v>
      </c>
      <c r="D372" s="4">
        <v>1618.1</v>
      </c>
      <c r="E372" s="4">
        <v>1659.5</v>
      </c>
      <c r="F372" s="4">
        <v>1641.0</v>
      </c>
      <c r="G372" s="4">
        <v>1634.5</v>
      </c>
      <c r="H372" s="1" t="s">
        <v>3743</v>
      </c>
      <c r="I372" s="1" t="s">
        <v>3744</v>
      </c>
      <c r="J372" s="1" t="s">
        <v>3745</v>
      </c>
      <c r="K372" s="1">
        <f t="shared" si="2"/>
        <v>-0.01114793613</v>
      </c>
      <c r="L372" s="7">
        <v>-0.0038652341368037167</v>
      </c>
      <c r="M372" s="8">
        <f t="shared" si="1"/>
        <v>9207926</v>
      </c>
    </row>
    <row r="373">
      <c r="A373" s="3">
        <v>46054.0</v>
      </c>
      <c r="B373" s="4">
        <v>1630.0</v>
      </c>
      <c r="C373" s="4">
        <v>1677.3</v>
      </c>
      <c r="D373" s="4">
        <v>1604.0</v>
      </c>
      <c r="E373" s="4">
        <v>1641.0</v>
      </c>
      <c r="F373" s="4">
        <v>1654.5</v>
      </c>
      <c r="G373" s="4">
        <v>1643.3</v>
      </c>
      <c r="H373" s="1" t="s">
        <v>3755</v>
      </c>
      <c r="I373" s="1" t="s">
        <v>3756</v>
      </c>
      <c r="J373" s="1" t="s">
        <v>3758</v>
      </c>
      <c r="K373" s="1">
        <f t="shared" si="2"/>
        <v>0.008226691042</v>
      </c>
      <c r="L373" s="7">
        <v>-0.019557159867538972</v>
      </c>
      <c r="M373" s="8">
        <f t="shared" si="1"/>
        <v>6241188</v>
      </c>
    </row>
    <row r="374">
      <c r="A374" s="3">
        <v>46055.0</v>
      </c>
      <c r="B374" s="4">
        <v>1662.0</v>
      </c>
      <c r="C374" s="4">
        <v>1662.0</v>
      </c>
      <c r="D374" s="4">
        <v>1618.0</v>
      </c>
      <c r="E374" s="4">
        <v>1654.5</v>
      </c>
      <c r="F374" s="4">
        <v>1629.4</v>
      </c>
      <c r="G374" s="4">
        <v>1631.44</v>
      </c>
      <c r="H374" s="1" t="s">
        <v>3762</v>
      </c>
      <c r="I374" s="1" t="s">
        <v>3765</v>
      </c>
      <c r="J374" s="1" t="s">
        <v>3769</v>
      </c>
      <c r="K374" s="1">
        <f t="shared" si="2"/>
        <v>-0.01517074645</v>
      </c>
      <c r="L374" s="7">
        <v>0.010591953015957443</v>
      </c>
      <c r="M374" s="8">
        <f t="shared" si="1"/>
        <v>6784887</v>
      </c>
    </row>
    <row r="375">
      <c r="A375" s="3">
        <v>46056.0</v>
      </c>
      <c r="B375" s="4">
        <v>1727.2</v>
      </c>
      <c r="C375" s="4">
        <v>1728.0</v>
      </c>
      <c r="D375" s="4">
        <v>1653.0</v>
      </c>
      <c r="E375" s="4">
        <v>1629.4</v>
      </c>
      <c r="F375" s="4">
        <v>1656.0</v>
      </c>
      <c r="G375" s="4">
        <v>1673.77</v>
      </c>
      <c r="H375" s="1" t="s">
        <v>3773</v>
      </c>
      <c r="I375" s="1" t="s">
        <v>3776</v>
      </c>
      <c r="J375" s="1" t="s">
        <v>3778</v>
      </c>
      <c r="K375" s="1">
        <f t="shared" si="2"/>
        <v>0.01632502762</v>
      </c>
      <c r="L375" s="7">
        <v>0.025475917156932995</v>
      </c>
      <c r="M375" s="8">
        <f t="shared" si="1"/>
        <v>8805868</v>
      </c>
    </row>
    <row r="376">
      <c r="A376" s="3">
        <v>46057.0</v>
      </c>
      <c r="B376" s="4">
        <v>1574.0</v>
      </c>
      <c r="C376" s="4">
        <v>1584.9</v>
      </c>
      <c r="D376" s="4">
        <v>1510.1</v>
      </c>
      <c r="E376" s="4">
        <v>1656.0</v>
      </c>
      <c r="F376" s="4">
        <v>1535.8</v>
      </c>
      <c r="G376" s="4">
        <v>1539.37</v>
      </c>
      <c r="H376" s="1" t="s">
        <v>3785</v>
      </c>
      <c r="I376" s="1" t="s">
        <v>3787</v>
      </c>
      <c r="J376" s="1" t="s">
        <v>3789</v>
      </c>
      <c r="K376" s="1">
        <f t="shared" si="2"/>
        <v>-0.07258454106</v>
      </c>
      <c r="L376" s="7">
        <v>0.0018831952517826506</v>
      </c>
      <c r="M376" s="8">
        <f t="shared" si="1"/>
        <v>28828622</v>
      </c>
    </row>
    <row r="377">
      <c r="A377" s="3">
        <v>46058.0</v>
      </c>
      <c r="B377" s="4">
        <v>1534.0</v>
      </c>
      <c r="C377" s="4">
        <v>1551.0</v>
      </c>
      <c r="D377" s="4">
        <v>1515.7</v>
      </c>
      <c r="E377" s="4">
        <v>1535.8</v>
      </c>
      <c r="F377" s="4">
        <v>1520.2</v>
      </c>
      <c r="G377" s="4">
        <v>1528.44</v>
      </c>
      <c r="H377" s="1" t="s">
        <v>3797</v>
      </c>
      <c r="I377" s="1" t="s">
        <v>3800</v>
      </c>
      <c r="J377" s="1" t="s">
        <v>3802</v>
      </c>
      <c r="K377" s="1">
        <f t="shared" si="2"/>
        <v>-0.0101575726</v>
      </c>
      <c r="L377" s="7">
        <v>-0.005167597765363157</v>
      </c>
      <c r="M377" s="8">
        <f t="shared" si="1"/>
        <v>10628127</v>
      </c>
    </row>
    <row r="378">
      <c r="A378" s="3">
        <v>46059.0</v>
      </c>
      <c r="B378" s="4">
        <v>1522.1</v>
      </c>
      <c r="C378" s="4">
        <v>1525.0</v>
      </c>
      <c r="D378" s="4">
        <v>1480.0</v>
      </c>
      <c r="E378" s="4">
        <v>1520.2</v>
      </c>
      <c r="F378" s="4">
        <v>1507.1</v>
      </c>
      <c r="G378" s="4">
        <v>1500.77</v>
      </c>
      <c r="H378" s="1" t="s">
        <v>3809</v>
      </c>
      <c r="I378" s="1" t="s">
        <v>3810</v>
      </c>
      <c r="J378" s="1" t="s">
        <v>3811</v>
      </c>
      <c r="K378" s="1">
        <f t="shared" si="2"/>
        <v>-0.008617287199</v>
      </c>
      <c r="L378" s="7">
        <v>0.001984962640585328</v>
      </c>
      <c r="M378" s="8">
        <f t="shared" si="1"/>
        <v>13900866</v>
      </c>
    </row>
    <row r="379">
      <c r="A379" s="3">
        <v>46062.0</v>
      </c>
      <c r="B379" s="4">
        <v>1522.1</v>
      </c>
      <c r="C379" s="4">
        <v>1528.0</v>
      </c>
      <c r="D379" s="4">
        <v>1493.0</v>
      </c>
      <c r="E379" s="4">
        <v>1507.1</v>
      </c>
      <c r="F379" s="4">
        <v>1497.2</v>
      </c>
      <c r="G379" s="4">
        <v>1501.27</v>
      </c>
      <c r="H379" s="1" t="s">
        <v>3820</v>
      </c>
      <c r="I379" s="1" t="s">
        <v>3822</v>
      </c>
      <c r="J379" s="1" t="s">
        <v>3823</v>
      </c>
      <c r="K379" s="1">
        <f t="shared" si="2"/>
        <v>-0.006568907173</v>
      </c>
      <c r="L379" s="7">
        <v>0.00675652008079796</v>
      </c>
      <c r="M379" s="8">
        <f t="shared" si="1"/>
        <v>8294615</v>
      </c>
    </row>
    <row r="380">
      <c r="A380" s="9">
        <v>46063.0</v>
      </c>
      <c r="B380" s="4">
        <v>1500.0</v>
      </c>
      <c r="C380" s="4">
        <v>1515.9</v>
      </c>
      <c r="D380" s="4">
        <v>1491.0</v>
      </c>
      <c r="E380" s="4">
        <v>1497.2</v>
      </c>
      <c r="F380" s="4">
        <v>1497.8</v>
      </c>
      <c r="G380" s="4">
        <v>1501.34</v>
      </c>
      <c r="H380" s="1" t="s">
        <v>3828</v>
      </c>
      <c r="I380" s="1" t="s">
        <v>3830</v>
      </c>
      <c r="J380" s="1" t="s">
        <v>3832</v>
      </c>
      <c r="K380" s="1">
        <f t="shared" si="2"/>
        <v>0.0004007480631</v>
      </c>
      <c r="L380" s="7">
        <v>0.0026230027873029725</v>
      </c>
      <c r="M380" s="8">
        <f t="shared" si="1"/>
        <v>8657000</v>
      </c>
    </row>
    <row r="381">
      <c r="A381" s="9">
        <v>46064.0</v>
      </c>
      <c r="B381" s="4">
        <v>1501.2</v>
      </c>
      <c r="C381" s="4">
        <v>1505.9</v>
      </c>
      <c r="D381" s="4">
        <v>1469.0</v>
      </c>
      <c r="E381" s="4">
        <v>1497.8</v>
      </c>
      <c r="F381" s="4">
        <v>1471.9</v>
      </c>
      <c r="G381" s="4">
        <v>1482.71</v>
      </c>
      <c r="H381" s="1" t="s">
        <v>3841</v>
      </c>
      <c r="I381" s="1" t="s">
        <v>3843</v>
      </c>
      <c r="J381" s="1" t="s">
        <v>3844</v>
      </c>
      <c r="K381" s="1">
        <f t="shared" si="2"/>
        <v>-0.01729202831</v>
      </c>
      <c r="L381" s="7">
        <v>7.210291824029199E-4</v>
      </c>
      <c r="M381" s="8">
        <f t="shared" si="1"/>
        <v>7934411</v>
      </c>
    </row>
    <row r="382">
      <c r="A382" s="9">
        <v>46065.0</v>
      </c>
      <c r="B382" s="4">
        <v>1428.9</v>
      </c>
      <c r="C382" s="4">
        <v>1435.7</v>
      </c>
      <c r="D382" s="4">
        <v>1380.5</v>
      </c>
      <c r="E382" s="4">
        <v>1471.9</v>
      </c>
      <c r="F382" s="4">
        <v>1386.0</v>
      </c>
      <c r="G382" s="4">
        <v>1398.59</v>
      </c>
      <c r="H382" s="1" t="s">
        <v>3851</v>
      </c>
      <c r="I382" s="1" t="s">
        <v>3853</v>
      </c>
      <c r="J382" s="1" t="s">
        <v>3855</v>
      </c>
      <c r="K382" s="1">
        <f t="shared" si="2"/>
        <v>-0.05835994293</v>
      </c>
      <c r="L382" s="7">
        <v>-0.005650414100412764</v>
      </c>
      <c r="M382" s="8">
        <f t="shared" si="1"/>
        <v>26048896</v>
      </c>
    </row>
    <row r="383">
      <c r="A383" s="9">
        <v>46066.0</v>
      </c>
      <c r="B383" s="4">
        <v>1293.9</v>
      </c>
      <c r="C383" s="4">
        <v>1377.3</v>
      </c>
      <c r="D383" s="4">
        <v>1281.5</v>
      </c>
      <c r="E383" s="4">
        <v>1386.0</v>
      </c>
      <c r="F383" s="4">
        <v>1369.1</v>
      </c>
      <c r="G383" s="4">
        <v>1335.86</v>
      </c>
      <c r="H383" s="1" t="s">
        <v>3857</v>
      </c>
      <c r="I383" s="1" t="s">
        <v>3859</v>
      </c>
      <c r="J383" s="1" t="s">
        <v>3862</v>
      </c>
      <c r="K383" s="1">
        <f t="shared" si="2"/>
        <v>-0.01219336219</v>
      </c>
      <c r="L383" s="7">
        <v>-0.013023497318577845</v>
      </c>
      <c r="M383" s="8">
        <f t="shared" si="1"/>
        <v>45785709</v>
      </c>
    </row>
    <row r="384">
      <c r="A384" s="9">
        <v>46069.0</v>
      </c>
      <c r="B384" s="4">
        <v>1373.7</v>
      </c>
      <c r="C384" s="4">
        <v>1376.0</v>
      </c>
      <c r="D384" s="4">
        <v>1338.3</v>
      </c>
      <c r="E384" s="4">
        <v>1369.1</v>
      </c>
      <c r="F384" s="4">
        <v>1365.6</v>
      </c>
      <c r="G384" s="4">
        <v>1350.57</v>
      </c>
      <c r="H384" s="1" t="s">
        <v>3869</v>
      </c>
      <c r="I384" s="1" t="s">
        <v>3870</v>
      </c>
      <c r="J384" s="1" t="s">
        <v>3871</v>
      </c>
      <c r="K384" s="1">
        <f t="shared" si="2"/>
        <v>-0.002556423928</v>
      </c>
      <c r="L384" s="7">
        <v>0.008309417339651662</v>
      </c>
      <c r="M384" s="8">
        <f t="shared" si="1"/>
        <v>14621891</v>
      </c>
    </row>
    <row r="385">
      <c r="A385" s="9">
        <v>46070.0</v>
      </c>
      <c r="B385" s="4">
        <v>1370.0</v>
      </c>
      <c r="C385" s="4">
        <v>1431.0</v>
      </c>
      <c r="D385" s="4">
        <v>1367.0</v>
      </c>
      <c r="E385" s="4">
        <v>1365.6</v>
      </c>
      <c r="F385" s="4">
        <v>1391.2</v>
      </c>
      <c r="G385" s="4">
        <v>1405.93</v>
      </c>
      <c r="H385" s="1" t="s">
        <v>3879</v>
      </c>
      <c r="I385" s="1" t="s">
        <v>3882</v>
      </c>
      <c r="J385" s="1" t="s">
        <v>3883</v>
      </c>
      <c r="K385" s="1">
        <f t="shared" si="2"/>
        <v>0.01874633861</v>
      </c>
      <c r="L385" s="7">
        <v>0.0016606477110123119</v>
      </c>
      <c r="M385" s="8">
        <f t="shared" si="1"/>
        <v>25347684</v>
      </c>
    </row>
    <row r="386">
      <c r="A386" s="9">
        <v>46071.0</v>
      </c>
      <c r="B386" s="4">
        <v>1390.9</v>
      </c>
      <c r="C386" s="4">
        <v>1401.0</v>
      </c>
      <c r="D386" s="4">
        <v>1345.3</v>
      </c>
      <c r="E386" s="4">
        <v>1391.2</v>
      </c>
      <c r="F386" s="4">
        <v>1373.7</v>
      </c>
      <c r="G386" s="4">
        <v>1366.92</v>
      </c>
      <c r="H386" s="1" t="s">
        <v>3890</v>
      </c>
      <c r="I386" s="1" t="s">
        <v>3891</v>
      </c>
      <c r="J386" s="1" t="s">
        <v>3892</v>
      </c>
      <c r="K386" s="1">
        <f t="shared" si="2"/>
        <v>-0.01257906843</v>
      </c>
      <c r="L386" s="7">
        <v>0.003652032621455724</v>
      </c>
      <c r="M386" s="8">
        <f t="shared" si="1"/>
        <v>20241373</v>
      </c>
    </row>
    <row r="387">
      <c r="A387" s="9">
        <v>46072.0</v>
      </c>
      <c r="B387" s="4">
        <v>1385.0</v>
      </c>
      <c r="C387" s="4">
        <v>1402.0</v>
      </c>
      <c r="D387" s="4">
        <v>1363.2</v>
      </c>
      <c r="E387" s="4">
        <v>1373.7</v>
      </c>
      <c r="F387" s="4">
        <v>1370.5</v>
      </c>
      <c r="G387" s="4">
        <v>1385.83</v>
      </c>
      <c r="H387" s="1" t="s">
        <v>3898</v>
      </c>
      <c r="I387" s="1" t="s">
        <v>3899</v>
      </c>
      <c r="J387" s="1" t="s">
        <v>3900</v>
      </c>
      <c r="K387" s="1">
        <f t="shared" si="2"/>
        <v>-0.00232947514</v>
      </c>
      <c r="L387" s="7">
        <v>-0.014136684308474071</v>
      </c>
      <c r="M387" s="8">
        <f t="shared" si="1"/>
        <v>14574228</v>
      </c>
    </row>
    <row r="388">
      <c r="A388" s="9">
        <v>46073.0</v>
      </c>
      <c r="B388" s="4">
        <v>1359.2</v>
      </c>
      <c r="C388" s="4">
        <v>1365.0</v>
      </c>
      <c r="D388" s="4">
        <v>1338.2</v>
      </c>
      <c r="E388" s="4">
        <v>1370.5</v>
      </c>
      <c r="F388" s="4">
        <v>1353.2</v>
      </c>
      <c r="G388" s="4">
        <v>1354.72</v>
      </c>
      <c r="H388" s="1" t="s">
        <v>3908</v>
      </c>
      <c r="I388" s="1" t="s">
        <v>3910</v>
      </c>
      <c r="J388" s="1" t="s">
        <v>3911</v>
      </c>
      <c r="K388" s="1">
        <f t="shared" si="2"/>
        <v>-0.01262313024</v>
      </c>
      <c r="L388" s="7">
        <v>0.004592535264110121</v>
      </c>
      <c r="M388" s="8">
        <f t="shared" si="1"/>
        <v>12633552</v>
      </c>
    </row>
    <row r="389">
      <c r="A389" s="9">
        <v>46076.0</v>
      </c>
      <c r="B389" s="4">
        <v>1352.0</v>
      </c>
      <c r="C389" s="4">
        <v>1352.0</v>
      </c>
      <c r="D389" s="4">
        <v>1318.0</v>
      </c>
      <c r="E389" s="4">
        <v>1353.2</v>
      </c>
      <c r="F389" s="4">
        <v>1327.5</v>
      </c>
      <c r="G389" s="4">
        <v>1330.99</v>
      </c>
      <c r="H389" s="1" t="s">
        <v>3917</v>
      </c>
      <c r="I389" s="1" t="s">
        <v>3919</v>
      </c>
      <c r="J389" s="1" t="s">
        <v>3921</v>
      </c>
      <c r="K389" s="1">
        <f t="shared" si="2"/>
        <v>-0.01899201892</v>
      </c>
      <c r="L389" s="7">
        <v>0.005543334799824021</v>
      </c>
      <c r="M389" s="8">
        <f t="shared" si="1"/>
        <v>12887826</v>
      </c>
    </row>
    <row r="390">
      <c r="A390" s="9">
        <v>46077.0</v>
      </c>
      <c r="B390" s="4">
        <v>1301.0</v>
      </c>
      <c r="C390" s="4">
        <v>1303.6</v>
      </c>
      <c r="D390" s="4">
        <v>1264.1</v>
      </c>
      <c r="E390" s="4">
        <v>1327.5</v>
      </c>
      <c r="F390" s="4">
        <v>1275.5</v>
      </c>
      <c r="G390" s="4">
        <v>1277.7</v>
      </c>
      <c r="H390" s="1" t="s">
        <v>3925</v>
      </c>
      <c r="I390" s="1" t="s">
        <v>3927</v>
      </c>
      <c r="J390" s="1" t="s">
        <v>3928</v>
      </c>
      <c r="K390" s="1">
        <f t="shared" si="2"/>
        <v>-0.03917137476</v>
      </c>
      <c r="L390" s="7">
        <v>-0.011214171819702039</v>
      </c>
      <c r="M390" s="8">
        <f t="shared" si="1"/>
        <v>27839061</v>
      </c>
    </row>
    <row r="391">
      <c r="A391" s="9">
        <v>46078.0</v>
      </c>
      <c r="B391" s="4">
        <v>1286.2</v>
      </c>
      <c r="C391" s="4">
        <v>1323.6</v>
      </c>
      <c r="D391" s="4">
        <v>1286.2</v>
      </c>
      <c r="E391" s="4">
        <v>1275.5</v>
      </c>
      <c r="F391" s="4">
        <v>1290.1</v>
      </c>
      <c r="G391" s="4">
        <v>1302.76</v>
      </c>
      <c r="H391" s="1" t="s">
        <v>3935</v>
      </c>
      <c r="I391" s="1" t="s">
        <v>3938</v>
      </c>
      <c r="J391" s="1" t="s">
        <v>3939</v>
      </c>
      <c r="K391" s="1">
        <f t="shared" si="2"/>
        <v>0.01144649157</v>
      </c>
      <c r="L391" s="7">
        <v>0.002275350889786036</v>
      </c>
      <c r="M391" s="8">
        <f t="shared" si="1"/>
        <v>16669618</v>
      </c>
    </row>
    <row r="392">
      <c r="A392" s="9">
        <v>46079.0</v>
      </c>
      <c r="B392" s="4">
        <v>1305.5</v>
      </c>
      <c r="C392" s="4">
        <v>1314.0</v>
      </c>
      <c r="D392" s="4">
        <v>1286.3</v>
      </c>
      <c r="E392" s="4">
        <v>1290.1</v>
      </c>
      <c r="F392" s="4">
        <v>1289.1</v>
      </c>
      <c r="G392" s="4">
        <v>1296.59</v>
      </c>
      <c r="H392" s="1" t="s">
        <v>3952</v>
      </c>
      <c r="I392" s="1" t="s">
        <v>3953</v>
      </c>
      <c r="J392" s="1" t="s">
        <v>3954</v>
      </c>
      <c r="K392" s="1">
        <f t="shared" si="2"/>
        <v>-0.0007751337106</v>
      </c>
      <c r="L392" s="7">
        <v>5.51358775630306E-4</v>
      </c>
      <c r="M392" s="8">
        <f t="shared" si="1"/>
        <v>11493914</v>
      </c>
    </row>
    <row r="393">
      <c r="A393" s="9">
        <v>46080.0</v>
      </c>
      <c r="B393" s="4">
        <v>1326.3</v>
      </c>
      <c r="C393" s="4">
        <v>1335.0</v>
      </c>
      <c r="D393" s="4">
        <v>1294.2</v>
      </c>
      <c r="E393" s="4">
        <v>1289.1</v>
      </c>
      <c r="F393" s="4">
        <v>1300.1</v>
      </c>
      <c r="G393" s="4">
        <v>1304.82</v>
      </c>
      <c r="H393" s="1" t="s">
        <v>3963</v>
      </c>
      <c r="I393" s="1" t="s">
        <v>3964</v>
      </c>
      <c r="J393" s="1" t="s">
        <v>3966</v>
      </c>
      <c r="K393" s="1">
        <f t="shared" si="2"/>
        <v>0.008533085098</v>
      </c>
      <c r="L393" s="7">
        <v>-0.012468353561560204</v>
      </c>
      <c r="M393" s="8">
        <f t="shared" si="1"/>
        <v>23141724</v>
      </c>
    </row>
    <row r="394">
      <c r="A394" s="3">
        <v>46083.0</v>
      </c>
      <c r="B394" s="4">
        <v>1291.0</v>
      </c>
      <c r="C394" s="4">
        <v>1298.8</v>
      </c>
      <c r="D394" s="4">
        <v>1273.0</v>
      </c>
      <c r="E394" s="4">
        <v>1300.1</v>
      </c>
      <c r="F394" s="4">
        <v>1288.9</v>
      </c>
      <c r="G394" s="4">
        <v>1286.79</v>
      </c>
      <c r="H394" s="1" t="s">
        <v>3971</v>
      </c>
      <c r="I394" s="1" t="s">
        <v>3973</v>
      </c>
      <c r="J394" s="1" t="s">
        <v>3975</v>
      </c>
      <c r="K394" s="1">
        <f t="shared" si="2"/>
        <v>-0.008614721944</v>
      </c>
      <c r="L394" s="7">
        <v>-0.012429181072059094</v>
      </c>
      <c r="M394" s="8">
        <f t="shared" si="1"/>
        <v>9700361</v>
      </c>
    </row>
    <row r="395">
      <c r="A395" s="3">
        <v>46085.0</v>
      </c>
      <c r="B395" s="4">
        <v>1292.0</v>
      </c>
      <c r="C395" s="4">
        <v>1317.0</v>
      </c>
      <c r="D395" s="4">
        <v>1292.0</v>
      </c>
      <c r="E395" s="4">
        <v>1288.9</v>
      </c>
      <c r="F395" s="4">
        <v>1307.4</v>
      </c>
      <c r="G395" s="4">
        <v>1305.61</v>
      </c>
      <c r="H395" s="1" t="s">
        <v>3982</v>
      </c>
      <c r="I395" s="1" t="s">
        <v>3983</v>
      </c>
      <c r="J395" s="1" t="s">
        <v>3984</v>
      </c>
      <c r="K395" s="1">
        <f t="shared" si="2"/>
        <v>0.01435332454</v>
      </c>
      <c r="L395" s="7">
        <v>-0.015491218827541581</v>
      </c>
      <c r="M395" s="8">
        <f t="shared" si="1"/>
        <v>15154950</v>
      </c>
    </row>
    <row r="396">
      <c r="A396" s="3">
        <v>46086.0</v>
      </c>
      <c r="B396" s="4">
        <v>1320.0</v>
      </c>
      <c r="C396" s="4">
        <v>1320.0</v>
      </c>
      <c r="D396" s="4">
        <v>1290.1</v>
      </c>
      <c r="E396" s="4">
        <v>1307.4</v>
      </c>
      <c r="F396" s="4">
        <v>1305.8</v>
      </c>
      <c r="G396" s="4">
        <v>1301.28</v>
      </c>
      <c r="H396" s="1" t="s">
        <v>3994</v>
      </c>
      <c r="I396" s="1" t="s">
        <v>3995</v>
      </c>
      <c r="J396" s="1" t="s">
        <v>3996</v>
      </c>
      <c r="K396" s="1">
        <f t="shared" si="2"/>
        <v>-0.001223802968</v>
      </c>
      <c r="L396" s="7">
        <v>0.011658258613998957</v>
      </c>
      <c r="M396" s="8">
        <f t="shared" si="1"/>
        <v>10362147</v>
      </c>
    </row>
    <row r="397">
      <c r="A397" s="3">
        <v>46087.0</v>
      </c>
      <c r="B397" s="4">
        <v>1303.0</v>
      </c>
      <c r="C397" s="4">
        <v>1327.2</v>
      </c>
      <c r="D397" s="4">
        <v>1303.0</v>
      </c>
      <c r="E397" s="4">
        <v>1305.8</v>
      </c>
      <c r="F397" s="4">
        <v>1308.4</v>
      </c>
      <c r="G397" s="4">
        <v>1313.84</v>
      </c>
      <c r="H397" s="1" t="s">
        <v>4005</v>
      </c>
      <c r="I397" s="1" t="s">
        <v>4007</v>
      </c>
      <c r="J397" s="1" t="s">
        <v>4008</v>
      </c>
      <c r="K397" s="1">
        <f t="shared" si="2"/>
        <v>0.001991116557</v>
      </c>
      <c r="L397" s="7">
        <v>-0.01273727181325939</v>
      </c>
      <c r="M397" s="8">
        <f t="shared" si="1"/>
        <v>8724291</v>
      </c>
    </row>
    <row r="398">
      <c r="A398" s="3">
        <v>46090.0</v>
      </c>
      <c r="B398" s="4">
        <v>1290.0</v>
      </c>
      <c r="C398" s="4">
        <v>1318.0</v>
      </c>
      <c r="D398" s="4">
        <v>1282.5</v>
      </c>
      <c r="E398" s="4">
        <v>1308.4</v>
      </c>
      <c r="F398" s="4">
        <v>1315.0</v>
      </c>
      <c r="G398" s="4">
        <v>1300.34</v>
      </c>
      <c r="H398" s="1" t="s">
        <v>4013</v>
      </c>
      <c r="I398" s="1" t="s">
        <v>4017</v>
      </c>
      <c r="J398" s="1" t="s">
        <v>4019</v>
      </c>
      <c r="K398" s="1">
        <f t="shared" si="2"/>
        <v>0.005044328951</v>
      </c>
      <c r="L398" s="7">
        <v>-0.017275755660938814</v>
      </c>
      <c r="M398" s="8">
        <f t="shared" si="1"/>
        <v>10068514</v>
      </c>
    </row>
    <row r="399">
      <c r="A399" s="9">
        <v>46091.0</v>
      </c>
      <c r="B399" s="4">
        <v>1320.0</v>
      </c>
      <c r="C399" s="4">
        <v>1321.0</v>
      </c>
      <c r="D399" s="4">
        <v>1284.1</v>
      </c>
      <c r="E399" s="4">
        <v>1315.0</v>
      </c>
      <c r="F399" s="4">
        <v>1295.6</v>
      </c>
      <c r="G399" s="4">
        <v>1295.54</v>
      </c>
      <c r="H399" s="1" t="s">
        <v>4021</v>
      </c>
      <c r="I399" s="1" t="s">
        <v>4022</v>
      </c>
      <c r="J399" s="1" t="s">
        <v>4024</v>
      </c>
      <c r="K399" s="1">
        <f t="shared" si="2"/>
        <v>-0.01475285171</v>
      </c>
      <c r="L399" s="7">
        <v>0.009719889878704235</v>
      </c>
      <c r="M399" s="8">
        <f t="shared" si="1"/>
        <v>9600171</v>
      </c>
    </row>
    <row r="400">
      <c r="A400" s="9">
        <v>46092.0</v>
      </c>
      <c r="B400" s="4">
        <v>1288.0</v>
      </c>
      <c r="C400" s="4">
        <v>1299.5</v>
      </c>
      <c r="D400" s="4">
        <v>1271.3</v>
      </c>
      <c r="E400" s="4">
        <v>1295.6</v>
      </c>
      <c r="F400" s="4">
        <v>1276.3</v>
      </c>
      <c r="G400" s="4">
        <v>1283.2</v>
      </c>
      <c r="H400" s="1" t="s">
        <v>4032</v>
      </c>
      <c r="I400" s="1" t="s">
        <v>4033</v>
      </c>
      <c r="J400" s="1" t="s">
        <v>4035</v>
      </c>
      <c r="K400" s="1">
        <f t="shared" si="2"/>
        <v>-0.01489657302</v>
      </c>
      <c r="L400" s="7">
        <v>-0.016270567481122433</v>
      </c>
      <c r="M400" s="8">
        <f t="shared" si="1"/>
        <v>7868891</v>
      </c>
    </row>
    <row r="401">
      <c r="A401" s="9">
        <v>46093.0</v>
      </c>
      <c r="B401" s="4">
        <v>1272.5</v>
      </c>
      <c r="C401" s="4">
        <v>1278.6</v>
      </c>
      <c r="D401" s="4">
        <v>1258.0</v>
      </c>
      <c r="E401" s="4">
        <v>1276.3</v>
      </c>
      <c r="F401" s="4">
        <v>1265.8</v>
      </c>
      <c r="G401" s="4">
        <v>1268.31</v>
      </c>
      <c r="H401" s="1" t="s">
        <v>4042</v>
      </c>
      <c r="I401" s="1" t="s">
        <v>4044</v>
      </c>
      <c r="J401" s="1" t="s">
        <v>4046</v>
      </c>
      <c r="K401" s="1">
        <f t="shared" si="2"/>
        <v>-0.0082269059</v>
      </c>
      <c r="L401" s="7">
        <v>-0.00954042950787377</v>
      </c>
      <c r="M401" s="8">
        <f t="shared" si="1"/>
        <v>7599940</v>
      </c>
    </row>
    <row r="402">
      <c r="A402" s="9">
        <v>46094.0</v>
      </c>
      <c r="B402" s="4">
        <v>1251.0</v>
      </c>
      <c r="C402" s="4">
        <v>1269.6</v>
      </c>
      <c r="D402" s="4">
        <v>1242.6</v>
      </c>
      <c r="E402" s="4">
        <v>1265.8</v>
      </c>
      <c r="F402" s="4">
        <v>1248.3</v>
      </c>
      <c r="G402" s="4">
        <v>1253.62</v>
      </c>
      <c r="H402" s="1" t="s">
        <v>4054</v>
      </c>
      <c r="I402" s="1" t="s">
        <v>4055</v>
      </c>
      <c r="J402" s="1" t="s">
        <v>4056</v>
      </c>
      <c r="K402" s="1">
        <f t="shared" si="2"/>
        <v>-0.01382524885</v>
      </c>
      <c r="L402" s="7">
        <v>-0.02064583540440341</v>
      </c>
      <c r="M402" s="8">
        <f t="shared" si="1"/>
        <v>7366098</v>
      </c>
    </row>
    <row r="403">
      <c r="A403" s="9">
        <v>46097.0</v>
      </c>
      <c r="B403" s="4">
        <v>1240.2</v>
      </c>
      <c r="C403" s="4">
        <v>1254.3</v>
      </c>
      <c r="D403" s="4">
        <v>1224.2</v>
      </c>
      <c r="E403" s="4">
        <v>1248.3</v>
      </c>
      <c r="F403" s="4">
        <v>1249.8</v>
      </c>
      <c r="G403" s="4">
        <v>1240.47</v>
      </c>
      <c r="H403" s="1" t="s">
        <v>4059</v>
      </c>
      <c r="I403" s="1" t="s">
        <v>4063</v>
      </c>
      <c r="J403" s="1" t="s">
        <v>4066</v>
      </c>
      <c r="K403" s="1">
        <f t="shared" si="2"/>
        <v>0.001201634223</v>
      </c>
      <c r="L403" s="7">
        <v>0.01113122054675591</v>
      </c>
      <c r="M403" s="8">
        <f t="shared" si="1"/>
        <v>12314450</v>
      </c>
    </row>
    <row r="404">
      <c r="A404" s="9">
        <v>46098.0</v>
      </c>
      <c r="B404" s="4">
        <v>1245.0</v>
      </c>
      <c r="C404" s="4">
        <v>1245.0</v>
      </c>
      <c r="D404" s="4">
        <v>1215.1</v>
      </c>
      <c r="E404" s="4">
        <v>1249.8</v>
      </c>
      <c r="F404" s="4">
        <v>1232.9</v>
      </c>
      <c r="G404" s="4">
        <v>1231.34</v>
      </c>
      <c r="H404" s="1" t="s">
        <v>4069</v>
      </c>
      <c r="I404" s="1" t="s">
        <v>4074</v>
      </c>
      <c r="J404" s="1" t="s">
        <v>4078</v>
      </c>
      <c r="K404" s="1">
        <f t="shared" si="2"/>
        <v>-0.01352216355</v>
      </c>
      <c r="L404" s="7">
        <v>0.00736261576842906</v>
      </c>
      <c r="M404" s="8">
        <f t="shared" si="1"/>
        <v>11223276</v>
      </c>
    </row>
    <row r="405">
      <c r="A405" s="9">
        <v>46099.0</v>
      </c>
      <c r="B405" s="4">
        <v>1238.0</v>
      </c>
      <c r="C405" s="4">
        <v>1290.8</v>
      </c>
      <c r="D405" s="4">
        <v>1234.9</v>
      </c>
      <c r="E405" s="4">
        <v>1232.9</v>
      </c>
      <c r="F405" s="4">
        <v>1267.1</v>
      </c>
      <c r="G405" s="4">
        <v>1273.96</v>
      </c>
      <c r="H405" s="1" t="s">
        <v>4081</v>
      </c>
      <c r="I405" s="1" t="s">
        <v>4083</v>
      </c>
      <c r="J405" s="1" t="s">
        <v>4084</v>
      </c>
      <c r="K405" s="1">
        <f t="shared" si="2"/>
        <v>0.02773947603</v>
      </c>
      <c r="L405" s="7">
        <v>0.00833928794821278</v>
      </c>
      <c r="M405" s="8">
        <f t="shared" si="1"/>
        <v>12365381</v>
      </c>
    </row>
    <row r="406">
      <c r="A406" s="9">
        <v>46100.0</v>
      </c>
      <c r="B406" s="4">
        <v>1244.2</v>
      </c>
      <c r="C406" s="4">
        <v>1255.0</v>
      </c>
      <c r="D406" s="4">
        <v>1215.1</v>
      </c>
      <c r="E406" s="4">
        <v>1267.1</v>
      </c>
      <c r="F406" s="4">
        <v>1220.8</v>
      </c>
      <c r="G406" s="4">
        <v>1229.3</v>
      </c>
      <c r="H406" s="1" t="s">
        <v>4092</v>
      </c>
      <c r="I406" s="1" t="s">
        <v>4093</v>
      </c>
      <c r="J406" s="1" t="s">
        <v>4094</v>
      </c>
      <c r="K406" s="1">
        <f t="shared" si="2"/>
        <v>-0.03654013101</v>
      </c>
      <c r="L406" s="7">
        <v>-0.032620763905828035</v>
      </c>
      <c r="M406" s="8">
        <f t="shared" si="1"/>
        <v>9156461</v>
      </c>
    </row>
    <row r="407">
      <c r="A407" s="9">
        <v>46101.0</v>
      </c>
      <c r="B407" s="4">
        <v>1242.0</v>
      </c>
      <c r="C407" s="4">
        <v>1264.8</v>
      </c>
      <c r="D407" s="4">
        <v>1229.2</v>
      </c>
      <c r="E407" s="4">
        <v>1220.8</v>
      </c>
      <c r="F407" s="4">
        <v>1255.9</v>
      </c>
      <c r="G407" s="4">
        <v>1252.63</v>
      </c>
      <c r="H407" s="1" t="s">
        <v>4104</v>
      </c>
      <c r="I407" s="1" t="s">
        <v>4105</v>
      </c>
      <c r="J407" s="1" t="s">
        <v>4106</v>
      </c>
      <c r="K407" s="1">
        <f t="shared" si="2"/>
        <v>0.02875163827</v>
      </c>
      <c r="L407" s="7">
        <v>0.004884326030392748</v>
      </c>
      <c r="M407" s="8">
        <f t="shared" si="1"/>
        <v>27299975</v>
      </c>
    </row>
    <row r="408">
      <c r="A408" s="9">
        <v>46104.0</v>
      </c>
      <c r="B408" s="4">
        <v>1238.2</v>
      </c>
      <c r="C408" s="4">
        <v>1261.1</v>
      </c>
      <c r="D408" s="4">
        <v>1227.4</v>
      </c>
      <c r="E408" s="4">
        <v>1255.9</v>
      </c>
      <c r="F408" s="4">
        <v>1256.8</v>
      </c>
      <c r="G408" s="4">
        <v>1250.8</v>
      </c>
      <c r="H408" s="1" t="s">
        <v>4112</v>
      </c>
      <c r="I408" s="1" t="s">
        <v>4114</v>
      </c>
      <c r="J408" s="1" t="s">
        <v>4115</v>
      </c>
      <c r="K408" s="1">
        <f t="shared" si="2"/>
        <v>0.0007166175651</v>
      </c>
      <c r="L408" s="7">
        <v>-0.02603776850029196</v>
      </c>
      <c r="M408" s="8">
        <f t="shared" si="1"/>
        <v>12420293</v>
      </c>
    </row>
    <row r="409">
      <c r="A409" s="9">
        <v>46105.0</v>
      </c>
      <c r="B409" s="4">
        <v>1269.0</v>
      </c>
      <c r="C409" s="4">
        <v>1297.0</v>
      </c>
      <c r="D409" s="4">
        <v>1251.0</v>
      </c>
      <c r="E409" s="4">
        <v>1256.8</v>
      </c>
      <c r="F409" s="4">
        <v>1278.3</v>
      </c>
      <c r="G409" s="4">
        <v>1281.37</v>
      </c>
      <c r="H409" s="1" t="s">
        <v>4122</v>
      </c>
      <c r="I409" s="1" t="s">
        <v>4123</v>
      </c>
      <c r="J409" s="1" t="s">
        <v>4125</v>
      </c>
      <c r="K409" s="1">
        <f t="shared" si="2"/>
        <v>0.01710693826</v>
      </c>
      <c r="L409" s="7">
        <v>0.017756683464629885</v>
      </c>
      <c r="M409" s="8">
        <f t="shared" si="1"/>
        <v>13613495</v>
      </c>
    </row>
    <row r="410">
      <c r="A410" s="9">
        <v>46106.0</v>
      </c>
      <c r="B410" s="4">
        <v>1270.0</v>
      </c>
      <c r="C410" s="4">
        <v>1290.6</v>
      </c>
      <c r="D410" s="4">
        <v>1257.1</v>
      </c>
      <c r="E410" s="4">
        <v>1278.3</v>
      </c>
      <c r="F410" s="4">
        <v>1279.1</v>
      </c>
      <c r="G410" s="4">
        <v>1280.38</v>
      </c>
      <c r="H410" s="1" t="s">
        <v>4134</v>
      </c>
      <c r="I410" s="1" t="s">
        <v>4135</v>
      </c>
      <c r="J410" s="1" t="s">
        <v>4136</v>
      </c>
      <c r="K410" s="1">
        <f t="shared" si="2"/>
        <v>0.000625831182</v>
      </c>
      <c r="L410" s="7">
        <v>0.017198111066496713</v>
      </c>
      <c r="M410" s="8">
        <f t="shared" si="1"/>
        <v>10824030</v>
      </c>
    </row>
    <row r="411">
      <c r="A411" s="9">
        <v>46108.0</v>
      </c>
      <c r="B411" s="4">
        <v>1285.2</v>
      </c>
      <c r="C411" s="4">
        <v>1294.8</v>
      </c>
      <c r="D411" s="4">
        <v>1263.2</v>
      </c>
      <c r="E411" s="4">
        <v>1279.1</v>
      </c>
      <c r="F411" s="4">
        <v>1269.7</v>
      </c>
      <c r="G411" s="4">
        <v>1275.47</v>
      </c>
      <c r="H411" s="1" t="s">
        <v>4145</v>
      </c>
      <c r="I411" s="1" t="s">
        <v>4147</v>
      </c>
      <c r="J411" s="1" t="s">
        <v>4148</v>
      </c>
      <c r="K411" s="1">
        <f t="shared" si="2"/>
        <v>-0.007348917207</v>
      </c>
      <c r="L411" s="7">
        <v>-0.020889067189554914</v>
      </c>
      <c r="M411" s="8">
        <f t="shared" si="1"/>
        <v>13092541</v>
      </c>
    </row>
    <row r="412">
      <c r="A412" s="9">
        <v>46111.0</v>
      </c>
      <c r="B412" s="4">
        <v>1250.0</v>
      </c>
      <c r="C412" s="4">
        <v>1265.5</v>
      </c>
      <c r="D412" s="4">
        <v>1243.0</v>
      </c>
      <c r="E412" s="4">
        <v>1269.7</v>
      </c>
      <c r="F412" s="4">
        <v>1250.6</v>
      </c>
      <c r="G412" s="4">
        <v>1252.83</v>
      </c>
      <c r="H412" s="1" t="s">
        <v>4152</v>
      </c>
      <c r="I412" s="1" t="s">
        <v>4154</v>
      </c>
      <c r="J412" s="1" t="s">
        <v>4157</v>
      </c>
      <c r="K412" s="1">
        <f t="shared" si="2"/>
        <v>-0.01504292353</v>
      </c>
      <c r="L412" s="7">
        <v>-0.02139388946344358</v>
      </c>
      <c r="M412" s="8">
        <f t="shared" si="1"/>
        <v>14108486</v>
      </c>
    </row>
    <row r="413">
      <c r="A413" s="3">
        <v>46113.0</v>
      </c>
      <c r="B413" s="4">
        <v>1290.0</v>
      </c>
      <c r="C413" s="4">
        <v>1303.0</v>
      </c>
      <c r="D413" s="4">
        <v>1269.5</v>
      </c>
      <c r="E413" s="4">
        <v>1250.6</v>
      </c>
      <c r="F413" s="4">
        <v>1275.7</v>
      </c>
      <c r="G413" s="4">
        <v>1285.76</v>
      </c>
      <c r="H413" s="1" t="s">
        <v>4161</v>
      </c>
      <c r="I413" s="1" t="s">
        <v>4162</v>
      </c>
      <c r="J413" s="1" t="s">
        <v>4163</v>
      </c>
      <c r="K413" s="1">
        <f t="shared" si="2"/>
        <v>0.02007036622</v>
      </c>
      <c r="L413" s="7">
        <v>0.015583438566323651</v>
      </c>
      <c r="M413" s="8">
        <f t="shared" si="1"/>
        <v>8137156</v>
      </c>
    </row>
    <row r="414">
      <c r="A414" s="3">
        <v>46114.0</v>
      </c>
      <c r="B414" s="4">
        <v>1260.0</v>
      </c>
      <c r="C414" s="4">
        <v>1305.4</v>
      </c>
      <c r="D414" s="4">
        <v>1259.8</v>
      </c>
      <c r="E414" s="4">
        <v>1275.7</v>
      </c>
      <c r="F414" s="4">
        <v>1300.8</v>
      </c>
      <c r="G414" s="4">
        <v>1285.35</v>
      </c>
      <c r="H414" s="1" t="s">
        <v>4172</v>
      </c>
      <c r="I414" s="1" t="s">
        <v>4173</v>
      </c>
      <c r="J414" s="1" t="s">
        <v>4174</v>
      </c>
      <c r="K414" s="1">
        <f t="shared" si="2"/>
        <v>0.01967547229</v>
      </c>
      <c r="L414" s="7">
        <v>0.001485929962873669</v>
      </c>
      <c r="M414" s="8">
        <f t="shared" si="1"/>
        <v>12873492</v>
      </c>
    </row>
    <row r="415">
      <c r="A415" s="3">
        <v>46118.0</v>
      </c>
      <c r="B415" s="4">
        <v>1301.4</v>
      </c>
      <c r="C415" s="4">
        <v>1320.0</v>
      </c>
      <c r="D415" s="4">
        <v>1299.0</v>
      </c>
      <c r="E415" s="4">
        <v>1300.8</v>
      </c>
      <c r="F415" s="4">
        <v>1306.2</v>
      </c>
      <c r="G415" s="4">
        <v>1308.79</v>
      </c>
      <c r="H415" s="1" t="s">
        <v>4184</v>
      </c>
      <c r="I415" s="1" t="s">
        <v>4185</v>
      </c>
      <c r="J415" s="1" t="s">
        <v>4186</v>
      </c>
      <c r="K415" s="1">
        <f t="shared" si="2"/>
        <v>0.004151291513</v>
      </c>
      <c r="L415" s="7">
        <v>0.011233605276250334</v>
      </c>
      <c r="M415" s="8">
        <f t="shared" si="1"/>
        <v>10208682</v>
      </c>
    </row>
    <row r="416">
      <c r="A416" s="3">
        <v>46119.0</v>
      </c>
      <c r="B416" s="4">
        <v>1302.0</v>
      </c>
      <c r="C416" s="4">
        <v>1345.1</v>
      </c>
      <c r="D416" s="4">
        <v>1293.5</v>
      </c>
      <c r="E416" s="4">
        <v>1306.2</v>
      </c>
      <c r="F416" s="4">
        <v>1339.4</v>
      </c>
      <c r="G416" s="4">
        <v>1329.8</v>
      </c>
      <c r="H416" s="1" t="s">
        <v>4196</v>
      </c>
      <c r="I416" s="1" t="s">
        <v>4197</v>
      </c>
      <c r="J416" s="1" t="s">
        <v>4198</v>
      </c>
      <c r="K416" s="1">
        <f t="shared" si="2"/>
        <v>0.02541724085</v>
      </c>
      <c r="L416" s="7">
        <v>0.0067658615697757316</v>
      </c>
      <c r="M416" s="8">
        <f t="shared" si="1"/>
        <v>15355792</v>
      </c>
    </row>
    <row r="417">
      <c r="A417" s="3">
        <v>46120.0</v>
      </c>
      <c r="B417" s="4">
        <v>1349.0</v>
      </c>
      <c r="C417" s="4">
        <v>1376.9</v>
      </c>
      <c r="D417" s="4">
        <v>1331.0</v>
      </c>
      <c r="E417" s="4">
        <v>1339.4</v>
      </c>
      <c r="F417" s="4">
        <v>1346.2</v>
      </c>
      <c r="G417" s="4">
        <v>1344.07</v>
      </c>
      <c r="H417" s="1" t="s">
        <v>4208</v>
      </c>
      <c r="I417" s="1" t="s">
        <v>4209</v>
      </c>
      <c r="J417" s="1" t="s">
        <v>4210</v>
      </c>
      <c r="K417" s="1">
        <f t="shared" si="2"/>
        <v>0.005076900105</v>
      </c>
      <c r="L417" s="7">
        <v>0.037783827380192876</v>
      </c>
      <c r="M417" s="8">
        <f t="shared" si="1"/>
        <v>16030133</v>
      </c>
    </row>
    <row r="418">
      <c r="A418" s="3">
        <v>46121.0</v>
      </c>
      <c r="B418" s="4">
        <v>1329.9</v>
      </c>
      <c r="C418" s="4">
        <v>1337.5</v>
      </c>
      <c r="D418" s="4">
        <v>1314.0</v>
      </c>
      <c r="E418" s="4">
        <v>1346.2</v>
      </c>
      <c r="F418" s="4">
        <v>1331.6</v>
      </c>
      <c r="G418" s="4">
        <v>1325.55</v>
      </c>
      <c r="H418" s="1" t="s">
        <v>4214</v>
      </c>
      <c r="I418" s="1" t="s">
        <v>4215</v>
      </c>
      <c r="J418" s="1" t="s">
        <v>4216</v>
      </c>
      <c r="K418" s="1">
        <f t="shared" si="2"/>
        <v>-0.01084534245</v>
      </c>
      <c r="L418" s="7">
        <v>-0.009261439283920933</v>
      </c>
      <c r="M418" s="8">
        <f t="shared" si="1"/>
        <v>14894607</v>
      </c>
    </row>
    <row r="419">
      <c r="A419" s="9">
        <v>46122.0</v>
      </c>
      <c r="B419" s="4">
        <v>1318.0</v>
      </c>
      <c r="C419" s="4">
        <v>1318.9</v>
      </c>
      <c r="D419" s="4">
        <v>1283.3</v>
      </c>
      <c r="E419" s="4">
        <v>1331.6</v>
      </c>
      <c r="F419" s="4">
        <v>1292.5</v>
      </c>
      <c r="G419" s="4">
        <v>1292.69</v>
      </c>
      <c r="H419" s="1" t="s">
        <v>4223</v>
      </c>
      <c r="I419" s="1" t="s">
        <v>4224</v>
      </c>
      <c r="J419" s="1" t="s">
        <v>4226</v>
      </c>
      <c r="K419" s="1">
        <f t="shared" si="2"/>
        <v>-0.02936317212</v>
      </c>
      <c r="L419" s="7">
        <v>0.01158775357411746</v>
      </c>
      <c r="M419" s="8">
        <f t="shared" si="1"/>
        <v>19233369</v>
      </c>
    </row>
    <row r="420">
      <c r="A420" s="9">
        <v>46125.0</v>
      </c>
      <c r="B420" s="4">
        <v>1272.0</v>
      </c>
      <c r="C420" s="4">
        <v>1289.0</v>
      </c>
      <c r="D420" s="4">
        <v>1265.7</v>
      </c>
      <c r="E420" s="4">
        <v>1292.5</v>
      </c>
      <c r="F420" s="4">
        <v>1276.8</v>
      </c>
      <c r="G420" s="4">
        <v>1274.61</v>
      </c>
      <c r="H420" s="1" t="s">
        <v>4230</v>
      </c>
      <c r="I420" s="1" t="s">
        <v>4232</v>
      </c>
      <c r="J420" s="1" t="s">
        <v>4235</v>
      </c>
      <c r="K420" s="1">
        <f t="shared" si="2"/>
        <v>-0.01214700193</v>
      </c>
      <c r="L420" s="7">
        <v>-0.008646353937115794</v>
      </c>
      <c r="M420" s="8">
        <f t="shared" si="1"/>
        <v>10366082</v>
      </c>
    </row>
    <row r="421">
      <c r="A421" s="9">
        <v>46127.0</v>
      </c>
      <c r="B421" s="4">
        <v>1306.3</v>
      </c>
      <c r="C421" s="4">
        <v>1322.5</v>
      </c>
      <c r="D421" s="4">
        <v>1300.5</v>
      </c>
      <c r="E421" s="4">
        <v>1276.8</v>
      </c>
      <c r="F421" s="4">
        <v>1305.3</v>
      </c>
      <c r="G421" s="4">
        <v>1307.53</v>
      </c>
      <c r="H421" s="1" t="s">
        <v>4240</v>
      </c>
      <c r="I421" s="1" t="s">
        <v>4241</v>
      </c>
      <c r="J421" s="1" t="s">
        <v>4242</v>
      </c>
      <c r="K421" s="1">
        <f t="shared" si="2"/>
        <v>0.02232142857</v>
      </c>
      <c r="L421" s="7">
        <v>0.01630062094607763</v>
      </c>
      <c r="M421" s="8">
        <f t="shared" si="1"/>
        <v>12098912</v>
      </c>
    </row>
    <row r="422">
      <c r="A422" s="9">
        <v>46128.0</v>
      </c>
      <c r="B422" s="4">
        <v>1322.1</v>
      </c>
      <c r="C422" s="4">
        <v>1331.0</v>
      </c>
      <c r="D422" s="4">
        <v>1309.0</v>
      </c>
      <c r="E422" s="4">
        <v>1305.3</v>
      </c>
      <c r="F422" s="4">
        <v>1319.2</v>
      </c>
      <c r="G422" s="4">
        <v>1318.24</v>
      </c>
      <c r="H422" s="1" t="s">
        <v>4252</v>
      </c>
      <c r="I422" s="1" t="s">
        <v>4253</v>
      </c>
      <c r="J422" s="1" t="s">
        <v>4254</v>
      </c>
      <c r="K422" s="1">
        <f t="shared" si="2"/>
        <v>0.01064889297</v>
      </c>
      <c r="L422" s="7">
        <v>-0.0014258417831482123</v>
      </c>
      <c r="M422" s="8">
        <f t="shared" si="1"/>
        <v>18527029</v>
      </c>
    </row>
    <row r="423">
      <c r="A423" s="9">
        <v>46129.0</v>
      </c>
      <c r="B423" s="4">
        <v>1313.0</v>
      </c>
      <c r="C423" s="4">
        <v>1328.3</v>
      </c>
      <c r="D423" s="4">
        <v>1306.1</v>
      </c>
      <c r="E423" s="4">
        <v>1319.2</v>
      </c>
      <c r="F423" s="4">
        <v>1318.7</v>
      </c>
      <c r="G423" s="4">
        <v>1314.73</v>
      </c>
      <c r="H423" s="1" t="s">
        <v>4264</v>
      </c>
      <c r="I423" s="1" t="s">
        <v>4265</v>
      </c>
      <c r="J423" s="1" t="s">
        <v>4266</v>
      </c>
      <c r="K423" s="1">
        <f t="shared" si="2"/>
        <v>-0.0003790175864</v>
      </c>
      <c r="L423" s="7">
        <v>0.006480209118993223</v>
      </c>
      <c r="M423" s="8">
        <f t="shared" si="1"/>
        <v>12064048</v>
      </c>
    </row>
    <row r="424">
      <c r="A424" s="9">
        <v>46132.0</v>
      </c>
      <c r="B424" s="4">
        <v>1320.0</v>
      </c>
      <c r="C424" s="4">
        <v>1324.9</v>
      </c>
      <c r="D424" s="4">
        <v>1308.1</v>
      </c>
      <c r="E424" s="4">
        <v>1318.7</v>
      </c>
      <c r="F424" s="4">
        <v>1312.6</v>
      </c>
      <c r="G424" s="4">
        <v>1315.09</v>
      </c>
      <c r="H424" s="1" t="s">
        <v>4273</v>
      </c>
      <c r="I424" s="1" t="s">
        <v>4276</v>
      </c>
      <c r="J424" s="1" t="s">
        <v>4278</v>
      </c>
      <c r="K424" s="1">
        <f t="shared" si="2"/>
        <v>-0.004625767802</v>
      </c>
      <c r="L424" s="7">
        <v>4.639980618841718E-4</v>
      </c>
      <c r="M424" s="8">
        <f t="shared" si="1"/>
        <v>7172300</v>
      </c>
    </row>
    <row r="425">
      <c r="A425" s="9">
        <v>46133.0</v>
      </c>
      <c r="B425" s="4">
        <v>1310.0</v>
      </c>
      <c r="C425" s="4">
        <v>1325.0</v>
      </c>
      <c r="D425" s="4">
        <v>1299.3</v>
      </c>
      <c r="E425" s="4">
        <v>1312.6</v>
      </c>
      <c r="F425" s="4">
        <v>1313.2</v>
      </c>
      <c r="G425" s="4">
        <v>1313.32</v>
      </c>
      <c r="H425" s="1" t="s">
        <v>4282</v>
      </c>
      <c r="I425" s="1" t="s">
        <v>4285</v>
      </c>
      <c r="J425" s="1" t="s">
        <v>4287</v>
      </c>
      <c r="K425" s="1">
        <f t="shared" si="2"/>
        <v>0.0004571080299</v>
      </c>
      <c r="L425" s="7">
        <v>0.00869079842477996</v>
      </c>
      <c r="M425" s="8">
        <f t="shared" si="1"/>
        <v>10057440</v>
      </c>
    </row>
    <row r="426">
      <c r="A426" s="9">
        <v>46134.0</v>
      </c>
      <c r="B426" s="4">
        <v>1295.0</v>
      </c>
      <c r="C426" s="4">
        <v>1297.7</v>
      </c>
      <c r="D426" s="4">
        <v>1255.9</v>
      </c>
      <c r="E426" s="4">
        <v>1313.2</v>
      </c>
      <c r="F426" s="4">
        <v>1268.6</v>
      </c>
      <c r="G426" s="4">
        <v>1269.3</v>
      </c>
      <c r="H426" s="1" t="s">
        <v>4292</v>
      </c>
      <c r="I426" s="1" t="s">
        <v>4294</v>
      </c>
      <c r="J426" s="1" t="s">
        <v>4297</v>
      </c>
      <c r="K426" s="1">
        <f t="shared" si="2"/>
        <v>-0.03396283887</v>
      </c>
      <c r="L426" s="7">
        <v>-0.008076788489864343</v>
      </c>
      <c r="M426" s="8">
        <f t="shared" si="1"/>
        <v>20088378</v>
      </c>
    </row>
    <row r="427">
      <c r="A427" s="9">
        <v>46135.0</v>
      </c>
      <c r="B427" s="4">
        <v>1254.0</v>
      </c>
      <c r="C427" s="4">
        <v>1265.7</v>
      </c>
      <c r="D427" s="4">
        <v>1226.0</v>
      </c>
      <c r="E427" s="4">
        <v>1268.6</v>
      </c>
      <c r="F427" s="4">
        <v>1240.6</v>
      </c>
      <c r="G427" s="4">
        <v>1250.48</v>
      </c>
      <c r="H427" s="1" t="s">
        <v>4303</v>
      </c>
      <c r="I427" s="1" t="s">
        <v>4304</v>
      </c>
      <c r="J427" s="1" t="s">
        <v>4305</v>
      </c>
      <c r="K427" s="1">
        <f t="shared" si="2"/>
        <v>-0.02207157496</v>
      </c>
      <c r="L427" s="7">
        <v>-0.008411237955377954</v>
      </c>
      <c r="M427" s="8">
        <f t="shared" si="1"/>
        <v>14792854</v>
      </c>
    </row>
    <row r="428">
      <c r="A428" s="9">
        <v>46136.0</v>
      </c>
      <c r="B428" s="4">
        <v>1200.0</v>
      </c>
      <c r="C428" s="4">
        <v>1223.9</v>
      </c>
      <c r="D428" s="4">
        <v>1152.2</v>
      </c>
      <c r="E428" s="4">
        <v>1240.6</v>
      </c>
      <c r="F428" s="4">
        <v>1154.6</v>
      </c>
      <c r="G428" s="4">
        <v>1176.27</v>
      </c>
      <c r="H428" s="1" t="s">
        <v>4313</v>
      </c>
      <c r="I428" s="1" t="s">
        <v>4315</v>
      </c>
      <c r="J428" s="1" t="s">
        <v>4316</v>
      </c>
      <c r="K428" s="1">
        <f t="shared" si="2"/>
        <v>-0.06932129615</v>
      </c>
      <c r="L428" s="7">
        <v>-0.011380442269386715</v>
      </c>
      <c r="M428" s="8">
        <f t="shared" si="1"/>
        <v>42078914</v>
      </c>
    </row>
    <row r="429">
      <c r="A429" s="9">
        <v>46139.0</v>
      </c>
      <c r="B429" s="4">
        <v>1154.6</v>
      </c>
      <c r="C429" s="4">
        <v>1179.9</v>
      </c>
      <c r="D429" s="4">
        <v>1154.5</v>
      </c>
      <c r="E429" s="4">
        <v>1154.6</v>
      </c>
      <c r="F429" s="4">
        <v>1170.3</v>
      </c>
      <c r="G429" s="4">
        <v>1172.14</v>
      </c>
      <c r="H429" s="1" t="s">
        <v>4324</v>
      </c>
      <c r="I429" s="1" t="s">
        <v>4325</v>
      </c>
      <c r="J429" s="1" t="s">
        <v>4326</v>
      </c>
      <c r="K429" s="1">
        <f t="shared" si="2"/>
        <v>0.01359778278</v>
      </c>
      <c r="L429" s="7">
        <v>0.008149234557775876</v>
      </c>
      <c r="M429" s="8">
        <f t="shared" si="1"/>
        <v>19579883</v>
      </c>
    </row>
    <row r="430">
      <c r="A430" s="9">
        <v>46140.0</v>
      </c>
      <c r="B430" s="4">
        <v>1162.7</v>
      </c>
      <c r="C430" s="4">
        <v>1169.4</v>
      </c>
      <c r="D430" s="4">
        <v>1149.8</v>
      </c>
      <c r="E430" s="4">
        <v>1170.3</v>
      </c>
      <c r="F430" s="4">
        <v>1152.1</v>
      </c>
      <c r="G430" s="4">
        <v>1155.41</v>
      </c>
      <c r="H430" s="1" t="s">
        <v>4330</v>
      </c>
      <c r="I430" s="1" t="s">
        <v>4332</v>
      </c>
      <c r="J430" s="1" t="s">
        <v>4334</v>
      </c>
      <c r="K430" s="1">
        <f t="shared" si="2"/>
        <v>-0.01555156797</v>
      </c>
      <c r="L430" s="7">
        <v>-0.004026115794410755</v>
      </c>
      <c r="M430" s="8">
        <f t="shared" si="1"/>
        <v>12720276</v>
      </c>
    </row>
    <row r="431">
      <c r="A431" s="9">
        <v>46141.0</v>
      </c>
      <c r="B431" s="4">
        <v>1158.5</v>
      </c>
      <c r="C431" s="4">
        <v>1178.2</v>
      </c>
      <c r="D431" s="4">
        <v>1156.8</v>
      </c>
      <c r="E431" s="4">
        <v>1152.1</v>
      </c>
      <c r="F431" s="4">
        <v>1167.5</v>
      </c>
      <c r="G431" s="4">
        <v>1170.79</v>
      </c>
      <c r="H431" s="1" t="s">
        <v>4339</v>
      </c>
      <c r="I431" s="1" t="s">
        <v>4340</v>
      </c>
      <c r="J431" s="1" t="s">
        <v>4341</v>
      </c>
      <c r="K431" s="1">
        <f t="shared" si="2"/>
        <v>0.01336689523</v>
      </c>
      <c r="L431" s="7">
        <v>0.007582608550698697</v>
      </c>
      <c r="M431" s="8">
        <f t="shared" si="1"/>
        <v>8303109</v>
      </c>
    </row>
    <row r="432">
      <c r="A432" s="9">
        <v>46142.0</v>
      </c>
      <c r="B432" s="4">
        <v>1167.5</v>
      </c>
      <c r="C432" s="4">
        <v>1189.8</v>
      </c>
      <c r="D432" s="4">
        <v>1159.6</v>
      </c>
      <c r="E432" s="4">
        <v>1167.5</v>
      </c>
      <c r="F432" s="4">
        <v>1181.8</v>
      </c>
      <c r="G432" s="4">
        <v>1178.22</v>
      </c>
      <c r="H432" s="1" t="s">
        <v>4351</v>
      </c>
      <c r="I432" s="1" t="s">
        <v>4352</v>
      </c>
      <c r="J432" s="1" t="s">
        <v>4353</v>
      </c>
      <c r="K432" s="1">
        <f t="shared" si="2"/>
        <v>0.012248394</v>
      </c>
      <c r="L432" s="7">
        <v>-0.00744902833815537</v>
      </c>
      <c r="M432" s="8">
        <f t="shared" si="1"/>
        <v>12205669</v>
      </c>
    </row>
    <row r="433">
      <c r="A433" s="12">
        <v>46146.0</v>
      </c>
      <c r="B433" s="4">
        <v>1195.0</v>
      </c>
      <c r="C433" s="4">
        <v>1195.0</v>
      </c>
      <c r="D433" s="4">
        <v>1165.2</v>
      </c>
      <c r="E433" s="4">
        <v>1181.8</v>
      </c>
      <c r="F433" s="4">
        <v>1168.4</v>
      </c>
      <c r="G433" s="4">
        <v>1175.3</v>
      </c>
      <c r="H433" s="1" t="s">
        <v>4362</v>
      </c>
      <c r="I433" s="1" t="s">
        <v>4364</v>
      </c>
      <c r="J433" s="1" t="s">
        <v>4365</v>
      </c>
      <c r="K433" s="1">
        <f t="shared" si="2"/>
        <v>-0.01133863598</v>
      </c>
      <c r="L433" s="7">
        <v>0.005073434579780019</v>
      </c>
      <c r="M433" s="8">
        <f t="shared" si="1"/>
        <v>7735811</v>
      </c>
    </row>
    <row r="434">
      <c r="A434" s="12">
        <v>46147.0</v>
      </c>
      <c r="B434" s="4">
        <v>1169.5</v>
      </c>
      <c r="C434" s="4">
        <v>1185.2</v>
      </c>
      <c r="D434" s="4">
        <v>1160.1</v>
      </c>
      <c r="E434" s="4">
        <v>1168.4</v>
      </c>
      <c r="F434" s="4">
        <v>1178.1</v>
      </c>
      <c r="G434" s="4">
        <v>1174.9</v>
      </c>
      <c r="H434" s="1" t="s">
        <v>4373</v>
      </c>
      <c r="I434" s="1" t="s">
        <v>4375</v>
      </c>
      <c r="J434" s="1" t="s">
        <v>4376</v>
      </c>
      <c r="K434" s="1">
        <f t="shared" si="2"/>
        <v>0.008301951387</v>
      </c>
      <c r="L434" s="7">
        <v>-0.0035863395703855418</v>
      </c>
      <c r="M434" s="8">
        <f t="shared" si="1"/>
        <v>8164108</v>
      </c>
    </row>
    <row r="435">
      <c r="A435" s="12">
        <v>46148.0</v>
      </c>
      <c r="B435" s="4">
        <v>1187.0</v>
      </c>
      <c r="C435" s="4">
        <v>1191.5</v>
      </c>
      <c r="D435" s="4">
        <v>1164.1</v>
      </c>
      <c r="E435" s="4">
        <v>1178.1</v>
      </c>
      <c r="F435" s="4">
        <v>1167.2</v>
      </c>
      <c r="G435" s="4">
        <v>1172.21</v>
      </c>
      <c r="H435" s="1" t="s">
        <v>4383</v>
      </c>
      <c r="I435" s="1" t="s">
        <v>4384</v>
      </c>
      <c r="J435" s="1" t="s">
        <v>4385</v>
      </c>
      <c r="K435" s="1">
        <f t="shared" si="2"/>
        <v>-0.009252185723</v>
      </c>
      <c r="L435" s="7">
        <v>0.012405961852135475</v>
      </c>
      <c r="M435" s="8">
        <f t="shared" si="1"/>
        <v>9856963</v>
      </c>
    </row>
    <row r="436">
      <c r="A436" s="12">
        <v>46149.0</v>
      </c>
      <c r="B436" s="4">
        <v>1173.0</v>
      </c>
      <c r="C436" s="4">
        <v>1175.4</v>
      </c>
      <c r="D436" s="4">
        <v>1159.2</v>
      </c>
      <c r="E436" s="4">
        <v>1167.2</v>
      </c>
      <c r="F436" s="4">
        <v>1162.7</v>
      </c>
      <c r="G436" s="4">
        <v>1166.46</v>
      </c>
      <c r="H436" s="1" t="s">
        <v>4395</v>
      </c>
      <c r="I436" s="1" t="s">
        <v>4396</v>
      </c>
      <c r="J436" s="1" t="s">
        <v>4397</v>
      </c>
      <c r="K436" s="1">
        <f t="shared" si="2"/>
        <v>-0.003855380398</v>
      </c>
      <c r="L436" s="7">
        <v>-1.7672963858785917E-4</v>
      </c>
      <c r="M436" s="8">
        <f t="shared" si="1"/>
        <v>12013987</v>
      </c>
    </row>
    <row r="437">
      <c r="A437" s="12">
        <v>46150.0</v>
      </c>
      <c r="B437" s="4">
        <v>1161.0</v>
      </c>
      <c r="C437" s="4">
        <v>1183.5</v>
      </c>
      <c r="D437" s="4">
        <v>1158.8</v>
      </c>
      <c r="E437" s="4">
        <v>1162.7</v>
      </c>
      <c r="F437" s="4">
        <v>1179.2</v>
      </c>
      <c r="G437" s="4">
        <v>1174.01</v>
      </c>
      <c r="H437" s="1" t="s">
        <v>4407</v>
      </c>
      <c r="I437" s="1" t="s">
        <v>4408</v>
      </c>
      <c r="J437" s="1" t="s">
        <v>4409</v>
      </c>
      <c r="K437" s="1">
        <f t="shared" si="2"/>
        <v>0.01419110691</v>
      </c>
      <c r="L437" s="7">
        <v>-0.006186630711585853</v>
      </c>
      <c r="M437" s="8">
        <f t="shared" si="1"/>
        <v>7582770</v>
      </c>
    </row>
    <row r="438">
      <c r="A438" s="13">
        <v>46153.0</v>
      </c>
      <c r="B438" s="4">
        <v>1176.0</v>
      </c>
      <c r="C438" s="4">
        <v>1187.0</v>
      </c>
      <c r="D438" s="4">
        <v>1172.1</v>
      </c>
      <c r="E438" s="4">
        <v>1179.2</v>
      </c>
      <c r="F438" s="4">
        <v>1177.0</v>
      </c>
      <c r="G438" s="4">
        <v>1180.51</v>
      </c>
      <c r="H438" s="1" t="s">
        <v>4417</v>
      </c>
      <c r="I438" s="1" t="s">
        <v>4419</v>
      </c>
      <c r="J438" s="1" t="s">
        <v>4421</v>
      </c>
      <c r="K438" s="1">
        <f t="shared" si="2"/>
        <v>-0.001865671642</v>
      </c>
      <c r="L438" s="7">
        <v>-0.01490311732844158</v>
      </c>
      <c r="M438" s="8">
        <f t="shared" si="1"/>
        <v>7336288</v>
      </c>
    </row>
    <row r="439">
      <c r="A439" s="13">
        <v>46154.0</v>
      </c>
      <c r="B439" s="4">
        <v>1162.0</v>
      </c>
      <c r="C439" s="4">
        <v>1162.0</v>
      </c>
      <c r="D439" s="4">
        <v>1123.0</v>
      </c>
      <c r="E439" s="4">
        <v>1177.0</v>
      </c>
      <c r="F439" s="4">
        <v>1140.3</v>
      </c>
      <c r="G439" s="4">
        <v>1137.2</v>
      </c>
      <c r="H439" s="1" t="s">
        <v>4428</v>
      </c>
      <c r="I439" s="1" t="s">
        <v>4430</v>
      </c>
      <c r="J439" s="1" t="s">
        <v>4432</v>
      </c>
      <c r="K439" s="1">
        <f t="shared" si="2"/>
        <v>-0.03118096856</v>
      </c>
      <c r="L439" s="7">
        <v>-0.018319732447088777</v>
      </c>
      <c r="M439" s="8">
        <f t="shared" si="1"/>
        <v>16891948</v>
      </c>
    </row>
    <row r="440">
      <c r="A440" s="13">
        <v>46155.0</v>
      </c>
      <c r="B440" s="4">
        <v>1136.6</v>
      </c>
      <c r="C440" s="4">
        <v>1142.6</v>
      </c>
      <c r="D440" s="4">
        <v>1121.0</v>
      </c>
      <c r="E440" s="4">
        <v>1140.3</v>
      </c>
      <c r="F440" s="4">
        <v>1123.1</v>
      </c>
      <c r="G440" s="4">
        <v>1128.99</v>
      </c>
      <c r="H440" s="1" t="s">
        <v>4436</v>
      </c>
      <c r="I440" s="1" t="s">
        <v>4438</v>
      </c>
      <c r="J440" s="1" t="s">
        <v>4442</v>
      </c>
      <c r="K440" s="1">
        <f t="shared" si="2"/>
        <v>-0.01508374989</v>
      </c>
      <c r="L440" s="7">
        <v>0.0014136285771111624</v>
      </c>
      <c r="M440" s="8">
        <f t="shared" si="1"/>
        <v>6664111</v>
      </c>
    </row>
    <row r="441">
      <c r="A441" s="13">
        <v>46156.0</v>
      </c>
      <c r="B441" s="4">
        <v>1119.8</v>
      </c>
      <c r="C441" s="4">
        <v>1121.9</v>
      </c>
      <c r="D441" s="4">
        <v>1089.0</v>
      </c>
      <c r="E441" s="4">
        <v>1123.1</v>
      </c>
      <c r="F441" s="4">
        <v>1095.0</v>
      </c>
      <c r="G441" s="4">
        <v>1098.25</v>
      </c>
      <c r="H441" s="1" t="s">
        <v>4449</v>
      </c>
      <c r="I441" s="1" t="s">
        <v>4450</v>
      </c>
      <c r="J441" s="1" t="s">
        <v>4451</v>
      </c>
      <c r="K441" s="1">
        <f t="shared" si="2"/>
        <v>-0.02502003383</v>
      </c>
      <c r="L441" s="7">
        <v>0.011831236171975774</v>
      </c>
      <c r="M441" s="8">
        <f t="shared" si="1"/>
        <v>16914842</v>
      </c>
    </row>
    <row r="442">
      <c r="A442" s="13">
        <v>46157.0</v>
      </c>
      <c r="B442" s="4">
        <v>1102.0</v>
      </c>
      <c r="C442" s="4">
        <v>1133.2</v>
      </c>
      <c r="D442" s="4">
        <v>1101.6</v>
      </c>
      <c r="E442" s="4">
        <v>1095.0</v>
      </c>
      <c r="F442" s="4">
        <v>1119.0</v>
      </c>
      <c r="G442" s="4">
        <v>1120.63</v>
      </c>
      <c r="H442" s="1" t="s">
        <v>4459</v>
      </c>
      <c r="I442" s="1" t="s">
        <v>4460</v>
      </c>
      <c r="J442" s="1" t="s">
        <v>4462</v>
      </c>
      <c r="K442" s="1">
        <f t="shared" si="2"/>
        <v>0.02191780822</v>
      </c>
      <c r="L442" s="7">
        <v>-0.0019460016209644126</v>
      </c>
      <c r="M442" s="8">
        <f t="shared" si="1"/>
        <v>17482450</v>
      </c>
    </row>
    <row r="443">
      <c r="A443" s="13">
        <v>46160.0</v>
      </c>
      <c r="B443" s="4">
        <v>1119.0</v>
      </c>
      <c r="C443" s="4">
        <v>1146.1</v>
      </c>
      <c r="D443" s="4">
        <v>1118.0</v>
      </c>
      <c r="E443" s="4">
        <v>1119.0</v>
      </c>
      <c r="F443" s="4">
        <v>1142.5</v>
      </c>
      <c r="G443" s="4">
        <v>1134.98</v>
      </c>
      <c r="H443" s="1" t="s">
        <v>4470</v>
      </c>
      <c r="I443" s="1" t="s">
        <v>4471</v>
      </c>
      <c r="J443" s="1" t="s">
        <v>4472</v>
      </c>
      <c r="K443" s="1">
        <f t="shared" si="2"/>
        <v>0.02100089366</v>
      </c>
      <c r="L443" s="7">
        <v>2.728022500899075E-4</v>
      </c>
      <c r="M443" s="8">
        <f t="shared" si="1"/>
        <v>12096377</v>
      </c>
    </row>
    <row r="444">
      <c r="A444" s="13">
        <v>46161.0</v>
      </c>
      <c r="B444" s="4">
        <v>1162.0</v>
      </c>
      <c r="C444" s="4">
        <v>1198.4</v>
      </c>
      <c r="D444" s="4">
        <v>1162.0</v>
      </c>
      <c r="E444" s="4">
        <v>1142.5</v>
      </c>
      <c r="F444" s="4">
        <v>1196.9</v>
      </c>
      <c r="G444" s="4">
        <v>1190.55</v>
      </c>
      <c r="H444" s="1" t="s">
        <v>4482</v>
      </c>
      <c r="I444" s="1" t="s">
        <v>4483</v>
      </c>
      <c r="J444" s="1" t="s">
        <v>4484</v>
      </c>
      <c r="K444" s="1">
        <f t="shared" si="2"/>
        <v>0.04761487965</v>
      </c>
      <c r="L444" s="7">
        <v>-0.0013509542303472408</v>
      </c>
      <c r="M444" s="8">
        <f t="shared" si="1"/>
        <v>32175705</v>
      </c>
    </row>
    <row r="445">
      <c r="A445" s="13">
        <v>46162.0</v>
      </c>
      <c r="B445" s="4">
        <v>1187.0</v>
      </c>
      <c r="C445" s="4">
        <v>1206.9</v>
      </c>
      <c r="D445" s="4">
        <v>1184.9</v>
      </c>
      <c r="E445" s="4">
        <v>1196.9</v>
      </c>
      <c r="F445" s="4">
        <v>1193.7</v>
      </c>
      <c r="G445" s="4">
        <v>1195.38</v>
      </c>
      <c r="H445" s="1" t="s">
        <v>4494</v>
      </c>
      <c r="I445" s="1" t="s">
        <v>4495</v>
      </c>
      <c r="J445" s="1" t="s">
        <v>4496</v>
      </c>
      <c r="K445" s="1">
        <f t="shared" si="2"/>
        <v>-0.002673573398</v>
      </c>
      <c r="L445" s="7">
        <v>0.0017359640951816412</v>
      </c>
      <c r="M445" s="8">
        <f t="shared" si="1"/>
        <v>15121010</v>
      </c>
    </row>
    <row r="446">
      <c r="A446" s="13">
        <v>46163.0</v>
      </c>
      <c r="B446" s="4">
        <v>1196.1</v>
      </c>
      <c r="C446" s="4">
        <v>1201.8</v>
      </c>
      <c r="D446" s="4">
        <v>1177.0</v>
      </c>
      <c r="E446" s="4">
        <v>1193.7</v>
      </c>
      <c r="F446" s="4">
        <v>1181.2</v>
      </c>
      <c r="G446" s="4">
        <v>1185.68</v>
      </c>
      <c r="H446" s="1" t="s">
        <v>4505</v>
      </c>
      <c r="I446" s="1" t="s">
        <v>4507</v>
      </c>
      <c r="J446" s="1" t="s">
        <v>4508</v>
      </c>
      <c r="K446" s="1">
        <f t="shared" si="2"/>
        <v>-0.01047164279</v>
      </c>
      <c r="L446" s="7">
        <v>-1.817490172872595E-4</v>
      </c>
      <c r="M446" s="8">
        <f t="shared" si="1"/>
        <v>10021033</v>
      </c>
    </row>
    <row r="447">
      <c r="A447" s="13">
        <v>46164.0</v>
      </c>
      <c r="B447" s="4">
        <v>1182.5</v>
      </c>
      <c r="C447" s="4">
        <v>1191.8</v>
      </c>
      <c r="D447" s="4">
        <v>1172.5</v>
      </c>
      <c r="E447" s="4">
        <v>1181.2</v>
      </c>
      <c r="F447" s="4">
        <v>1174.5</v>
      </c>
      <c r="G447" s="4">
        <v>1179.3</v>
      </c>
      <c r="H447" s="1" t="s">
        <v>4515</v>
      </c>
      <c r="I447" s="1" t="s">
        <v>4517</v>
      </c>
      <c r="J447" s="1" t="s">
        <v>4519</v>
      </c>
      <c r="K447" s="1">
        <f t="shared" si="2"/>
        <v>-0.005672197765</v>
      </c>
      <c r="L447" s="7">
        <v>0.0027309583296342183</v>
      </c>
      <c r="M447" s="8">
        <f t="shared" si="1"/>
        <v>8803066</v>
      </c>
    </row>
    <row r="448">
      <c r="A448" s="13">
        <v>46167.0</v>
      </c>
      <c r="B448" s="4">
        <v>1183.0</v>
      </c>
      <c r="C448" s="4">
        <v>1185.0</v>
      </c>
      <c r="D448" s="4">
        <v>1166.1</v>
      </c>
      <c r="E448" s="4">
        <v>1174.5</v>
      </c>
      <c r="F448" s="4">
        <v>1168.5</v>
      </c>
      <c r="G448" s="4">
        <v>1173.45</v>
      </c>
      <c r="H448" s="1" t="s">
        <v>4526</v>
      </c>
      <c r="I448" s="1" t="s">
        <v>4528</v>
      </c>
      <c r="J448" s="1" t="s">
        <v>4529</v>
      </c>
      <c r="K448" s="1">
        <f t="shared" si="2"/>
        <v>-0.005108556833</v>
      </c>
      <c r="L448" s="7">
        <v>0.013170709085006786</v>
      </c>
      <c r="M448" s="8">
        <f t="shared" si="1"/>
        <v>5856136</v>
      </c>
    </row>
    <row r="449">
      <c r="A449" s="13">
        <v>46168.0</v>
      </c>
      <c r="B449" s="4">
        <v>1166.3</v>
      </c>
      <c r="C449" s="4">
        <v>1180.7</v>
      </c>
      <c r="D449" s="4">
        <v>1162.9</v>
      </c>
      <c r="E449" s="4">
        <v>1168.5</v>
      </c>
      <c r="F449" s="4">
        <v>1167.7</v>
      </c>
      <c r="G449" s="4">
        <v>1172.18</v>
      </c>
      <c r="H449" s="1" t="s">
        <v>4547</v>
      </c>
      <c r="I449" s="1" t="s">
        <v>4548</v>
      </c>
      <c r="J449" s="1" t="s">
        <v>4549</v>
      </c>
      <c r="K449" s="1">
        <f t="shared" si="2"/>
        <v>-0.0006846384253</v>
      </c>
      <c r="L449" s="7">
        <v>-0.004910181135749863</v>
      </c>
      <c r="M449" s="8">
        <f t="shared" si="1"/>
        <v>8005767</v>
      </c>
    </row>
    <row r="450">
      <c r="A450" s="13">
        <v>46169.0</v>
      </c>
      <c r="B450" s="4">
        <v>1161.0</v>
      </c>
      <c r="C450" s="4">
        <v>1167.3</v>
      </c>
      <c r="D450" s="4">
        <v>1155.0</v>
      </c>
      <c r="E450" s="4">
        <v>1167.7</v>
      </c>
      <c r="F450" s="4">
        <v>1159.9</v>
      </c>
      <c r="G450" s="4">
        <v>1160.5</v>
      </c>
      <c r="H450" s="1" t="s">
        <v>4556</v>
      </c>
      <c r="I450" s="1" t="s">
        <v>4558</v>
      </c>
      <c r="J450" s="1" t="s">
        <v>4559</v>
      </c>
      <c r="K450" s="1">
        <f t="shared" si="2"/>
        <v>-0.006679797893</v>
      </c>
      <c r="L450" s="7">
        <v>-2.7390157106592757E-4</v>
      </c>
      <c r="M450" s="8">
        <f t="shared" si="1"/>
        <v>6371871</v>
      </c>
    </row>
    <row r="451">
      <c r="A451" s="13">
        <v>46171.0</v>
      </c>
      <c r="B451" s="4">
        <v>1182.0</v>
      </c>
      <c r="C451" s="4">
        <v>1210.0</v>
      </c>
      <c r="D451" s="4">
        <v>1153.6</v>
      </c>
      <c r="E451" s="4">
        <v>1159.9</v>
      </c>
      <c r="F451" s="4">
        <v>1160.9</v>
      </c>
      <c r="G451" s="4">
        <v>1169.5</v>
      </c>
      <c r="H451" s="1" t="s">
        <v>4566</v>
      </c>
      <c r="I451" s="1" t="s">
        <v>4567</v>
      </c>
      <c r="J451" s="1" t="s">
        <v>4568</v>
      </c>
      <c r="K451" s="1">
        <f t="shared" si="2"/>
        <v>0.0008621432882</v>
      </c>
      <c r="L451" s="7">
        <v>-0.015033159535954785</v>
      </c>
      <c r="M451" s="8">
        <f t="shared" si="1"/>
        <v>69085430</v>
      </c>
    </row>
    <row r="452">
      <c r="A452" s="3">
        <v>46174.0</v>
      </c>
      <c r="B452" s="4">
        <v>1175.0</v>
      </c>
      <c r="C452" s="4">
        <v>1217.0</v>
      </c>
      <c r="D452" s="4">
        <v>1173.7</v>
      </c>
      <c r="E452" s="4">
        <v>1160.9</v>
      </c>
      <c r="F452" s="4">
        <v>1202.5</v>
      </c>
      <c r="G452" s="4">
        <v>1205.22</v>
      </c>
      <c r="H452" s="1" t="s">
        <v>4574</v>
      </c>
      <c r="I452" s="1" t="s">
        <v>4576</v>
      </c>
      <c r="J452" s="1" t="s">
        <v>4579</v>
      </c>
      <c r="K452" s="1">
        <f t="shared" si="2"/>
        <v>0.03583426652</v>
      </c>
      <c r="L452" s="7">
        <v>-0.007013408924419593</v>
      </c>
      <c r="M452" s="8">
        <f t="shared" si="1"/>
        <v>19439331</v>
      </c>
    </row>
    <row r="453">
      <c r="A453" s="3">
        <v>46175.0</v>
      </c>
      <c r="B453" s="4">
        <v>1232.5</v>
      </c>
      <c r="C453" s="4">
        <v>1278.9</v>
      </c>
      <c r="D453" s="4">
        <v>1232.5</v>
      </c>
      <c r="E453" s="4">
        <v>1202.5</v>
      </c>
      <c r="F453" s="4">
        <v>1270.8</v>
      </c>
      <c r="G453" s="4">
        <v>1263.28</v>
      </c>
      <c r="H453" s="1" t="s">
        <v>4584</v>
      </c>
      <c r="I453" s="1" t="s">
        <v>4585</v>
      </c>
      <c r="J453" s="1" t="s">
        <v>4586</v>
      </c>
      <c r="K453" s="1">
        <f t="shared" si="2"/>
        <v>0.0567983368</v>
      </c>
      <c r="L453" s="7">
        <v>0.0043173128736753285</v>
      </c>
      <c r="M453" s="8">
        <f t="shared" si="1"/>
        <v>36032600</v>
      </c>
    </row>
    <row r="454">
      <c r="A454" s="3">
        <v>46176.0</v>
      </c>
      <c r="B454" s="4">
        <v>1242.1</v>
      </c>
      <c r="C454" s="4">
        <v>1249.9</v>
      </c>
      <c r="D454" s="4">
        <v>1216.0</v>
      </c>
      <c r="E454" s="4">
        <v>1270.8</v>
      </c>
      <c r="F454" s="4">
        <v>1222.6</v>
      </c>
      <c r="G454" s="4">
        <v>1225.95</v>
      </c>
      <c r="H454" s="1" t="s">
        <v>4594</v>
      </c>
      <c r="I454" s="1" t="s">
        <v>4595</v>
      </c>
      <c r="J454" s="1" t="s">
        <v>4597</v>
      </c>
      <c r="K454" s="1">
        <f t="shared" si="2"/>
        <v>-0.03792886371</v>
      </c>
      <c r="L454" s="7">
        <v>-0.0033193448179683538</v>
      </c>
      <c r="M454" s="8">
        <f t="shared" si="1"/>
        <v>18534303</v>
      </c>
    </row>
    <row r="455">
      <c r="A455" s="3">
        <v>46177.0</v>
      </c>
      <c r="B455" s="4">
        <v>1208.0</v>
      </c>
      <c r="C455" s="4">
        <v>1215.2</v>
      </c>
      <c r="D455" s="4">
        <v>1196.2</v>
      </c>
      <c r="E455" s="4">
        <v>1222.6</v>
      </c>
      <c r="F455" s="4">
        <v>1201.3</v>
      </c>
      <c r="G455" s="4">
        <v>1203.46</v>
      </c>
      <c r="H455" s="1" t="s">
        <v>4600</v>
      </c>
      <c r="I455" s="1" t="s">
        <v>4601</v>
      </c>
      <c r="J455" s="1" t="s">
        <v>4604</v>
      </c>
      <c r="K455" s="1">
        <f t="shared" si="2"/>
        <v>-0.01742188778</v>
      </c>
      <c r="L455" s="7">
        <v>4.678367570154462E-4</v>
      </c>
      <c r="M455" s="8">
        <f t="shared" si="1"/>
        <v>12755957</v>
      </c>
    </row>
    <row r="456">
      <c r="A456" s="3">
        <v>46178.0</v>
      </c>
      <c r="B456" s="4">
        <v>1220.0</v>
      </c>
      <c r="C456" s="4">
        <v>1223.8</v>
      </c>
      <c r="D456" s="4">
        <v>1194.3</v>
      </c>
      <c r="E456" s="4">
        <v>1201.3</v>
      </c>
      <c r="F456" s="4">
        <v>1197.5</v>
      </c>
      <c r="G456" s="4">
        <v>1201.93</v>
      </c>
      <c r="H456" s="1" t="s">
        <v>4611</v>
      </c>
      <c r="I456" s="1" t="s">
        <v>4612</v>
      </c>
      <c r="J456" s="1" t="s">
        <v>4613</v>
      </c>
      <c r="K456" s="1">
        <f t="shared" si="2"/>
        <v>-0.003163239824</v>
      </c>
      <c r="L456" s="7">
        <v>-0.0021288362290772357</v>
      </c>
      <c r="M456" s="8">
        <f t="shared" si="1"/>
        <v>8692290</v>
      </c>
    </row>
    <row r="457">
      <c r="A457" s="3">
        <v>46181.0</v>
      </c>
      <c r="B457" s="4">
        <v>1177.5</v>
      </c>
      <c r="C457" s="4">
        <v>1200.7</v>
      </c>
      <c r="D457" s="4">
        <v>1176.5</v>
      </c>
      <c r="E457" s="4">
        <v>1197.5</v>
      </c>
      <c r="F457" s="4">
        <v>1187.6</v>
      </c>
      <c r="G457" s="4">
        <v>1189.58</v>
      </c>
      <c r="H457" s="1" t="s">
        <v>4623</v>
      </c>
      <c r="I457" s="1" t="s">
        <v>4624</v>
      </c>
      <c r="J457" s="1" t="s">
        <v>4625</v>
      </c>
      <c r="K457" s="1">
        <f t="shared" si="2"/>
        <v>-0.008267223382</v>
      </c>
      <c r="L457" s="7">
        <v>-0.010429371712736533</v>
      </c>
      <c r="M457" s="8">
        <f t="shared" si="1"/>
        <v>8631711</v>
      </c>
    </row>
    <row r="458">
      <c r="A458" s="3">
        <v>46182.0</v>
      </c>
      <c r="B458" s="4">
        <v>1193.6</v>
      </c>
      <c r="C458" s="4">
        <v>1193.6</v>
      </c>
      <c r="D458" s="4">
        <v>1167.3</v>
      </c>
      <c r="E458" s="4">
        <v>1187.6</v>
      </c>
      <c r="F458" s="4">
        <v>1180.3</v>
      </c>
      <c r="G458" s="4">
        <v>1176.06</v>
      </c>
      <c r="H458" s="1" t="s">
        <v>4628</v>
      </c>
      <c r="I458" s="1" t="s">
        <v>4631</v>
      </c>
      <c r="J458" s="1" t="s">
        <v>4635</v>
      </c>
      <c r="K458" s="1">
        <f t="shared" si="2"/>
        <v>-0.006146850792</v>
      </c>
      <c r="L458" s="7">
        <v>0.005150715737577241</v>
      </c>
      <c r="M458" s="8">
        <f t="shared" si="1"/>
        <v>10984054</v>
      </c>
    </row>
    <row r="459">
      <c r="A459" s="9">
        <v>46183.0</v>
      </c>
      <c r="B459" s="4">
        <v>1160.1</v>
      </c>
      <c r="C459" s="4">
        <v>1171.4</v>
      </c>
      <c r="D459" s="4">
        <v>1143.3</v>
      </c>
      <c r="E459" s="4">
        <v>1180.3</v>
      </c>
      <c r="F459" s="4">
        <v>1145.3</v>
      </c>
      <c r="G459" s="4">
        <v>1154.24</v>
      </c>
      <c r="H459" s="1" t="s">
        <v>4638</v>
      </c>
      <c r="I459" s="1" t="s">
        <v>4639</v>
      </c>
      <c r="J459" s="1" t="s">
        <v>4640</v>
      </c>
      <c r="K459" s="1">
        <f t="shared" si="2"/>
        <v>-0.02965347793</v>
      </c>
      <c r="L459" s="7">
        <v>-0.0011681388514806243</v>
      </c>
      <c r="M459" s="8">
        <f t="shared" si="1"/>
        <v>8887626</v>
      </c>
    </row>
    <row r="460">
      <c r="A460" s="9">
        <v>46184.0</v>
      </c>
      <c r="B460" s="4">
        <v>1129.7</v>
      </c>
      <c r="C460" s="4">
        <v>1133.7</v>
      </c>
      <c r="D460" s="4">
        <v>1109.0</v>
      </c>
      <c r="E460" s="4">
        <v>1145.3</v>
      </c>
      <c r="F460" s="4">
        <v>1114.6</v>
      </c>
      <c r="G460" s="4">
        <v>1116.74</v>
      </c>
      <c r="H460" s="1" t="s">
        <v>4648</v>
      </c>
      <c r="I460" s="1" t="s">
        <v>4650</v>
      </c>
      <c r="J460" s="1" t="s">
        <v>4652</v>
      </c>
      <c r="K460" s="1">
        <f t="shared" si="2"/>
        <v>-0.02680520388</v>
      </c>
      <c r="L460" s="7">
        <v>-0.002298088085479494</v>
      </c>
      <c r="M460" s="8">
        <f t="shared" si="1"/>
        <v>9372176</v>
      </c>
    </row>
    <row r="461">
      <c r="A461" s="9">
        <v>46185.0</v>
      </c>
      <c r="B461" s="4">
        <v>1120.0</v>
      </c>
      <c r="C461" s="4">
        <v>1123.3</v>
      </c>
      <c r="D461" s="4">
        <v>1111.5</v>
      </c>
      <c r="E461" s="4">
        <v>1114.6</v>
      </c>
      <c r="F461" s="4">
        <v>1116.4</v>
      </c>
      <c r="G461" s="4">
        <v>1116.4</v>
      </c>
      <c r="H461" s="1" t="s">
        <v>4653</v>
      </c>
      <c r="I461" s="1" t="s">
        <v>4654</v>
      </c>
      <c r="J461" s="1" t="s">
        <v>4656</v>
      </c>
      <c r="K461" s="1">
        <f t="shared" si="2"/>
        <v>0.001614929123</v>
      </c>
      <c r="L461" s="7">
        <v>0.019916586073501094</v>
      </c>
      <c r="M461" s="8">
        <f t="shared" si="1"/>
        <v>8075333</v>
      </c>
    </row>
    <row r="462">
      <c r="A462" s="9">
        <v>46188.0</v>
      </c>
      <c r="B462" s="4">
        <v>1130.0</v>
      </c>
      <c r="C462" s="4">
        <v>1151.0</v>
      </c>
      <c r="D462" s="4">
        <v>1123.0</v>
      </c>
      <c r="E462" s="4">
        <v>1116.4</v>
      </c>
      <c r="F462" s="4">
        <v>1134.9</v>
      </c>
      <c r="G462" s="4">
        <v>1135.97</v>
      </c>
      <c r="H462" s="1" t="s">
        <v>4665</v>
      </c>
      <c r="I462" s="1" t="s">
        <v>4666</v>
      </c>
      <c r="J462" s="1" t="s">
        <v>4667</v>
      </c>
      <c r="K462" s="1">
        <f t="shared" si="2"/>
        <v>0.01657112146</v>
      </c>
      <c r="L462" s="7">
        <v>0.00977864699084363</v>
      </c>
      <c r="M462" s="8">
        <f t="shared" si="1"/>
        <v>7856192</v>
      </c>
    </row>
    <row r="463">
      <c r="A463" s="9">
        <v>46189.0</v>
      </c>
      <c r="B463" s="4">
        <v>1136.9</v>
      </c>
      <c r="C463" s="4">
        <v>1153.8</v>
      </c>
      <c r="D463" s="4">
        <v>1123.2</v>
      </c>
      <c r="E463" s="4">
        <v>1134.9</v>
      </c>
      <c r="F463" s="4">
        <v>1143.6</v>
      </c>
      <c r="G463" s="4">
        <v>1140.85</v>
      </c>
      <c r="H463" s="1" t="s">
        <v>4676</v>
      </c>
      <c r="I463" s="1" t="s">
        <v>4677</v>
      </c>
      <c r="J463" s="1" t="s">
        <v>4678</v>
      </c>
      <c r="K463" s="1">
        <f t="shared" si="2"/>
        <v>0.007665873645</v>
      </c>
      <c r="L463" s="7">
        <v>0.005669932380030099</v>
      </c>
      <c r="M463" s="8">
        <f t="shared" si="1"/>
        <v>10456090</v>
      </c>
    </row>
    <row r="464">
      <c r="A464" s="9">
        <v>46190.0</v>
      </c>
      <c r="B464" s="4">
        <v>1149.0</v>
      </c>
      <c r="C464" s="4">
        <v>1162.5</v>
      </c>
      <c r="D464" s="4">
        <v>1148.0</v>
      </c>
      <c r="E464" s="4">
        <v>1143.6</v>
      </c>
      <c r="F464" s="4">
        <v>1157.7</v>
      </c>
      <c r="G464" s="4">
        <v>1157.38</v>
      </c>
      <c r="H464" s="1" t="s">
        <v>4681</v>
      </c>
      <c r="I464" s="1" t="s">
        <v>4682</v>
      </c>
      <c r="J464" s="1" t="s">
        <v>4684</v>
      </c>
      <c r="K464" s="1">
        <f t="shared" si="2"/>
        <v>0.01232948583</v>
      </c>
      <c r="L464" s="7">
        <v>0.004024736182815951</v>
      </c>
      <c r="M464" s="8">
        <f t="shared" si="1"/>
        <v>5995119</v>
      </c>
    </row>
    <row r="465">
      <c r="A465" s="9">
        <v>46191.0</v>
      </c>
      <c r="B465" s="4">
        <v>1142.9</v>
      </c>
      <c r="C465" s="4">
        <v>1142.9</v>
      </c>
      <c r="D465" s="4">
        <v>1125.3</v>
      </c>
      <c r="E465" s="4">
        <v>1157.7</v>
      </c>
      <c r="F465" s="4">
        <v>1127.5</v>
      </c>
      <c r="G465" s="4">
        <v>1130.34</v>
      </c>
      <c r="H465" s="1" t="s">
        <v>4691</v>
      </c>
      <c r="I465" s="1" t="s">
        <v>4692</v>
      </c>
      <c r="J465" s="1" t="s">
        <v>4693</v>
      </c>
      <c r="K465" s="1">
        <f t="shared" si="2"/>
        <v>-0.02608620541</v>
      </c>
      <c r="L465" s="7">
        <v>0.0034169652532415194</v>
      </c>
      <c r="M465" s="8">
        <f t="shared" si="1"/>
        <v>16781447</v>
      </c>
    </row>
    <row r="466">
      <c r="A466" s="9">
        <v>46192.0</v>
      </c>
      <c r="B466" s="4">
        <v>1062.3</v>
      </c>
      <c r="C466" s="4">
        <v>1066.0</v>
      </c>
      <c r="D466" s="4">
        <v>1030.0</v>
      </c>
      <c r="E466" s="4">
        <v>1127.5</v>
      </c>
      <c r="F466" s="4">
        <v>1051.4</v>
      </c>
      <c r="G466" s="4">
        <v>1043.82</v>
      </c>
      <c r="H466" s="1" t="s">
        <v>4702</v>
      </c>
      <c r="I466" s="1" t="s">
        <v>4704</v>
      </c>
      <c r="J466" s="1" t="s">
        <v>4705</v>
      </c>
      <c r="K466" s="1">
        <f t="shared" si="2"/>
        <v>-0.06749445676</v>
      </c>
      <c r="L466" s="7">
        <v>-0.006409301555776293</v>
      </c>
      <c r="M466" s="8">
        <f t="shared" si="1"/>
        <v>45665442</v>
      </c>
    </row>
    <row r="467">
      <c r="A467" s="9">
        <v>46195.0</v>
      </c>
      <c r="B467" s="4">
        <v>1055.0</v>
      </c>
      <c r="C467" s="4">
        <v>1080.3</v>
      </c>
      <c r="D467" s="4">
        <v>1055.0</v>
      </c>
      <c r="E467" s="4">
        <v>1051.4</v>
      </c>
      <c r="F467" s="4">
        <v>1065.4</v>
      </c>
      <c r="G467" s="4">
        <v>1067.86</v>
      </c>
      <c r="H467" s="1" t="s">
        <v>4706</v>
      </c>
      <c r="I467" s="1" t="s">
        <v>4707</v>
      </c>
      <c r="J467" s="1" t="s">
        <v>4709</v>
      </c>
      <c r="K467" s="1">
        <f t="shared" si="2"/>
        <v>0.01331557923</v>
      </c>
      <c r="L467" s="7">
        <v>0.003739625454439573</v>
      </c>
      <c r="M467" s="8">
        <f t="shared" si="1"/>
        <v>10178505</v>
      </c>
    </row>
    <row r="468">
      <c r="A468" s="9">
        <v>46196.0</v>
      </c>
      <c r="B468" s="4">
        <v>1053.8</v>
      </c>
      <c r="C468" s="4">
        <v>1055.3</v>
      </c>
      <c r="D468" s="4">
        <v>1026.0</v>
      </c>
      <c r="E468" s="4">
        <v>1065.4</v>
      </c>
      <c r="F468" s="4">
        <v>1029.3</v>
      </c>
      <c r="G468" s="4">
        <v>1034.72</v>
      </c>
      <c r="H468" s="1" t="s">
        <v>4717</v>
      </c>
      <c r="I468" s="1" t="s">
        <v>4718</v>
      </c>
      <c r="J468" s="1" t="s">
        <v>4719</v>
      </c>
      <c r="K468" s="1">
        <f t="shared" si="2"/>
        <v>-0.03388398723</v>
      </c>
      <c r="L468" s="7">
        <v>-0.011567072841857325</v>
      </c>
      <c r="M468" s="8">
        <f t="shared" si="1"/>
        <v>19323064</v>
      </c>
    </row>
    <row r="469">
      <c r="A469" s="9">
        <v>46197.0</v>
      </c>
      <c r="B469" s="4">
        <v>1040.9</v>
      </c>
      <c r="C469" s="4">
        <v>1065.5</v>
      </c>
      <c r="D469" s="4">
        <v>1037.7</v>
      </c>
      <c r="E469" s="4">
        <v>1029.3</v>
      </c>
      <c r="F469" s="4">
        <v>1056.6</v>
      </c>
      <c r="G469" s="4">
        <v>1050.65</v>
      </c>
      <c r="H469" s="1" t="s">
        <v>4724</v>
      </c>
      <c r="I469" s="1" t="s">
        <v>4726</v>
      </c>
      <c r="J469" s="1" t="s">
        <v>4728</v>
      </c>
      <c r="K469" s="1">
        <f t="shared" si="2"/>
        <v>0.02652287963</v>
      </c>
      <c r="L469" s="7">
        <v>0.008292023623138038</v>
      </c>
      <c r="M469" s="8">
        <f t="shared" si="1"/>
        <v>12346266</v>
      </c>
    </row>
    <row r="470">
      <c r="A470" s="9">
        <v>46198.0</v>
      </c>
      <c r="B470" s="4">
        <v>1065.0</v>
      </c>
      <c r="C470" s="4">
        <v>1068.0</v>
      </c>
      <c r="D470" s="4">
        <v>1039.1</v>
      </c>
      <c r="E470" s="4">
        <v>1056.6</v>
      </c>
      <c r="F470" s="4">
        <v>1041.2</v>
      </c>
      <c r="G470" s="4">
        <v>1048.0</v>
      </c>
      <c r="H470" s="1" t="s">
        <v>4732</v>
      </c>
      <c r="I470" s="1" t="s">
        <v>4733</v>
      </c>
      <c r="J470" s="1" t="s">
        <v>4734</v>
      </c>
      <c r="K470" s="1">
        <f t="shared" si="2"/>
        <v>-0.01457505205</v>
      </c>
      <c r="L470" s="7">
        <v>0.0014299600568653088</v>
      </c>
      <c r="M470" s="8">
        <f t="shared" si="1"/>
        <v>15866779</v>
      </c>
    </row>
    <row r="471">
      <c r="A471" s="9">
        <v>46202.0</v>
      </c>
      <c r="B471" s="4">
        <v>1037.1</v>
      </c>
      <c r="C471" s="4">
        <v>1046.6</v>
      </c>
      <c r="D471" s="4">
        <v>1029.1</v>
      </c>
      <c r="E471" s="4">
        <v>1041.2</v>
      </c>
      <c r="F471" s="4">
        <v>1036.7</v>
      </c>
      <c r="G471" s="4">
        <v>1035.17</v>
      </c>
      <c r="H471" s="1" t="s">
        <v>4741</v>
      </c>
      <c r="I471" s="1" t="s">
        <v>4742</v>
      </c>
      <c r="J471" s="1" t="s">
        <v>4744</v>
      </c>
      <c r="K471" s="1">
        <f t="shared" si="2"/>
        <v>-0.004321936227</v>
      </c>
      <c r="L471" s="7">
        <v>-0.004562271366810775</v>
      </c>
      <c r="M471" s="8">
        <f t="shared" si="1"/>
        <v>15080892</v>
      </c>
    </row>
    <row r="472">
      <c r="A472" s="9">
        <v>46203.0</v>
      </c>
      <c r="B472" s="4">
        <v>1030.0</v>
      </c>
      <c r="C472" s="4">
        <v>1030.4</v>
      </c>
      <c r="D472" s="1">
        <v>996.0</v>
      </c>
      <c r="E472" s="4">
        <v>1036.7</v>
      </c>
      <c r="F472" s="4">
        <v>1000.4</v>
      </c>
      <c r="G472" s="4">
        <v>1007.28</v>
      </c>
      <c r="H472" s="1" t="s">
        <v>4753</v>
      </c>
      <c r="I472" s="1" t="s">
        <v>4754</v>
      </c>
      <c r="J472" s="1" t="s">
        <v>4755</v>
      </c>
      <c r="K472" s="1">
        <f t="shared" si="2"/>
        <v>-0.03501495129</v>
      </c>
      <c r="L472" s="7">
        <v>-0.0033616954637991333</v>
      </c>
      <c r="M472" s="8">
        <f t="shared" si="1"/>
        <v>24128263</v>
      </c>
    </row>
    <row r="473">
      <c r="A473" s="3">
        <v>46204.0</v>
      </c>
      <c r="B473" s="4">
        <v>1006.0</v>
      </c>
      <c r="C473" s="4">
        <v>1014.0</v>
      </c>
      <c r="D473" s="1">
        <v>982.4</v>
      </c>
      <c r="E473" s="4">
        <v>1000.4</v>
      </c>
      <c r="F473" s="1">
        <v>985.3</v>
      </c>
      <c r="G473" s="1">
        <v>993.98</v>
      </c>
      <c r="H473" s="1" t="s">
        <v>4764</v>
      </c>
      <c r="I473" s="1" t="s">
        <v>4765</v>
      </c>
      <c r="J473" s="1" t="s">
        <v>4766</v>
      </c>
      <c r="K473" s="1">
        <f t="shared" si="2"/>
        <v>-0.01509396242</v>
      </c>
      <c r="L473" s="7">
        <v>0.005870337198705196</v>
      </c>
      <c r="M473" s="8">
        <f t="shared" si="1"/>
        <v>13037982</v>
      </c>
    </row>
    <row r="474">
      <c r="A474" s="3">
        <v>46205.0</v>
      </c>
      <c r="B474" s="4">
        <v>1006.4</v>
      </c>
      <c r="C474" s="4">
        <v>1045.0</v>
      </c>
      <c r="D474" s="4">
        <v>1006.0</v>
      </c>
      <c r="E474" s="1">
        <v>985.3</v>
      </c>
      <c r="F474" s="4">
        <v>1040.9</v>
      </c>
      <c r="G474" s="4">
        <v>1034.09</v>
      </c>
      <c r="H474" s="1" t="s">
        <v>4773</v>
      </c>
      <c r="I474" s="1" t="s">
        <v>4774</v>
      </c>
      <c r="J474" s="1" t="s">
        <v>4775</v>
      </c>
      <c r="K474" s="1">
        <f t="shared" si="2"/>
        <v>0.05642951385</v>
      </c>
      <c r="L474" s="7">
        <v>0.007075358714646729</v>
      </c>
      <c r="M474" s="8">
        <f t="shared" si="1"/>
        <v>18741111</v>
      </c>
    </row>
    <row r="475">
      <c r="A475" s="3">
        <v>46206.0</v>
      </c>
      <c r="B475" s="4">
        <v>1063.0</v>
      </c>
      <c r="C475" s="4">
        <v>1068.7</v>
      </c>
      <c r="D475" s="4">
        <v>1042.0</v>
      </c>
      <c r="E475" s="4">
        <v>1040.9</v>
      </c>
      <c r="F475" s="4">
        <v>1047.2</v>
      </c>
      <c r="G475" s="4">
        <v>1051.35</v>
      </c>
      <c r="H475" s="1" t="s">
        <v>4783</v>
      </c>
      <c r="I475" s="1" t="s">
        <v>4785</v>
      </c>
      <c r="J475" s="1" t="s">
        <v>4787</v>
      </c>
      <c r="K475" s="1">
        <f t="shared" si="2"/>
        <v>0.006052454607</v>
      </c>
      <c r="L475" s="7">
        <v>0.003935770215546926</v>
      </c>
      <c r="M475" s="8">
        <f t="shared" si="1"/>
        <v>11653534</v>
      </c>
    </row>
    <row r="476">
      <c r="A476" s="3">
        <v>46209.0</v>
      </c>
      <c r="B476" s="4">
        <v>1050.1</v>
      </c>
      <c r="C476" s="4">
        <v>1053.0</v>
      </c>
      <c r="D476" s="4">
        <v>1033.0</v>
      </c>
      <c r="E476" s="4">
        <v>1047.2</v>
      </c>
      <c r="F476" s="4">
        <v>1042.2</v>
      </c>
      <c r="G476" s="4">
        <v>1039.08</v>
      </c>
      <c r="H476" s="1" t="s">
        <v>4795</v>
      </c>
      <c r="I476" s="1" t="s">
        <v>4797</v>
      </c>
      <c r="J476" s="1" t="s">
        <v>4799</v>
      </c>
      <c r="K476" s="1">
        <f t="shared" si="2"/>
        <v>-0.004774637128</v>
      </c>
      <c r="L476" s="7">
        <v>0.0065716693070082014</v>
      </c>
      <c r="M476" s="8">
        <f t="shared" si="1"/>
        <v>5559747</v>
      </c>
    </row>
    <row r="477">
      <c r="A477" s="3">
        <v>46210.0</v>
      </c>
      <c r="B477" s="4">
        <v>1040.6</v>
      </c>
      <c r="C477" s="4">
        <v>1087.5</v>
      </c>
      <c r="D477" s="4">
        <v>1040.6</v>
      </c>
      <c r="E477" s="4">
        <v>1042.2</v>
      </c>
      <c r="F477" s="4">
        <v>1071.8</v>
      </c>
      <c r="G477" s="4">
        <v>1074.93</v>
      </c>
      <c r="H477" s="1" t="s">
        <v>4805</v>
      </c>
      <c r="I477" s="1" t="s">
        <v>4808</v>
      </c>
      <c r="J477" s="1" t="s">
        <v>4810</v>
      </c>
      <c r="K477" s="1">
        <f t="shared" si="2"/>
        <v>0.02840145845</v>
      </c>
      <c r="L477" s="7">
        <v>-0.0012955197121612182</v>
      </c>
      <c r="M477" s="8">
        <f t="shared" si="1"/>
        <v>18866296</v>
      </c>
    </row>
    <row r="478">
      <c r="A478" s="3">
        <v>46211.0</v>
      </c>
      <c r="B478" s="4">
        <v>1071.9</v>
      </c>
      <c r="C478" s="4">
        <v>1079.7</v>
      </c>
      <c r="D478" s="4">
        <v>1064.4</v>
      </c>
      <c r="E478" s="4">
        <v>1071.8</v>
      </c>
      <c r="F478" s="4">
        <v>1069.3</v>
      </c>
      <c r="G478" s="4">
        <v>1070.65</v>
      </c>
      <c r="H478" s="1" t="s">
        <v>4815</v>
      </c>
      <c r="I478" s="1" t="s">
        <v>4819</v>
      </c>
      <c r="J478" s="1" t="s">
        <v>4822</v>
      </c>
      <c r="K478" s="1">
        <f t="shared" si="2"/>
        <v>-0.002332524725</v>
      </c>
      <c r="L478" s="7">
        <v>-0.02117530852053599</v>
      </c>
      <c r="M478" s="8">
        <f t="shared" si="1"/>
        <v>13022221</v>
      </c>
    </row>
    <row r="479">
      <c r="A479" s="3">
        <v>46212.0</v>
      </c>
      <c r="B479" s="4">
        <v>1062.7</v>
      </c>
      <c r="C479" s="4">
        <v>1062.7</v>
      </c>
      <c r="D479" s="4">
        <v>1040.4</v>
      </c>
      <c r="E479" s="4">
        <v>1069.3</v>
      </c>
      <c r="F479" s="4">
        <v>1050.8</v>
      </c>
      <c r="G479" s="4">
        <v>1052.44</v>
      </c>
      <c r="H479" s="1" t="s">
        <v>4824</v>
      </c>
      <c r="I479" s="1" t="s">
        <v>4826</v>
      </c>
      <c r="J479" s="1" t="s">
        <v>4828</v>
      </c>
      <c r="K479" s="1">
        <f t="shared" si="2"/>
        <v>-0.01730103806</v>
      </c>
      <c r="L479" s="7">
        <v>0.0033812005250805524</v>
      </c>
      <c r="M479" s="8">
        <f t="shared" si="1"/>
        <v>9003333</v>
      </c>
    </row>
    <row r="480">
      <c r="A480" s="9">
        <v>46213.0</v>
      </c>
      <c r="B480" s="4">
        <v>1075.0</v>
      </c>
      <c r="C480" s="4">
        <v>1091.3</v>
      </c>
      <c r="D480" s="4">
        <v>1064.7</v>
      </c>
      <c r="E480" s="4">
        <v>1050.8</v>
      </c>
      <c r="F480" s="4">
        <v>1068.0</v>
      </c>
      <c r="G480" s="4">
        <v>1071.86</v>
      </c>
      <c r="H480" s="1" t="s">
        <v>4835</v>
      </c>
      <c r="I480" s="1" t="s">
        <v>4836</v>
      </c>
      <c r="J480" s="1" t="s">
        <v>4838</v>
      </c>
      <c r="K480" s="1">
        <f t="shared" si="2"/>
        <v>0.01636848116</v>
      </c>
      <c r="L480" s="7">
        <v>0.010186622598360884</v>
      </c>
      <c r="M480" s="8">
        <f t="shared" si="1"/>
        <v>9747266</v>
      </c>
    </row>
    <row r="481">
      <c r="A481" s="9">
        <v>46216.0</v>
      </c>
      <c r="B481" s="4">
        <v>1057.1</v>
      </c>
      <c r="C481" s="4">
        <v>1114.9</v>
      </c>
      <c r="D481" s="4">
        <v>1057.1</v>
      </c>
      <c r="E481" s="4">
        <v>1068.0</v>
      </c>
      <c r="F481" s="4">
        <v>1102.6</v>
      </c>
      <c r="G481" s="4">
        <v>1095.6</v>
      </c>
      <c r="H481" s="1" t="s">
        <v>4847</v>
      </c>
      <c r="I481" s="1" t="s">
        <v>4848</v>
      </c>
      <c r="J481" s="1" t="s">
        <v>4849</v>
      </c>
      <c r="K481" s="1">
        <f t="shared" si="2"/>
        <v>0.03239700375</v>
      </c>
      <c r="L481" s="7">
        <v>1.6937319524592347E-4</v>
      </c>
      <c r="M481" s="8">
        <f t="shared" si="1"/>
        <v>20994760</v>
      </c>
    </row>
    <row r="482">
      <c r="A482" s="9">
        <v>46217.0</v>
      </c>
      <c r="B482" s="4">
        <v>1107.8</v>
      </c>
      <c r="C482" s="4">
        <v>1113.5</v>
      </c>
      <c r="D482" s="4">
        <v>1090.0</v>
      </c>
      <c r="E482" s="4">
        <v>1102.6</v>
      </c>
      <c r="F482" s="4">
        <v>1092.9</v>
      </c>
      <c r="G482" s="4">
        <v>1099.29</v>
      </c>
      <c r="H482" s="1" t="s">
        <v>4859</v>
      </c>
      <c r="I482" s="1" t="s">
        <v>4860</v>
      </c>
      <c r="J482" s="1" t="s">
        <v>4861</v>
      </c>
      <c r="K482" s="1">
        <f t="shared" si="2"/>
        <v>-0.008797387992</v>
      </c>
      <c r="L482" s="7">
        <v>-0.0065651976374375585</v>
      </c>
      <c r="M482" s="8">
        <f t="shared" si="1"/>
        <v>14819413</v>
      </c>
    </row>
    <row r="483">
      <c r="A483" s="9">
        <v>46218.0</v>
      </c>
      <c r="B483" s="4">
        <v>1079.0</v>
      </c>
      <c r="C483" s="4">
        <v>1088.1</v>
      </c>
      <c r="D483" s="4">
        <v>1073.0</v>
      </c>
      <c r="E483" s="4">
        <v>1092.9</v>
      </c>
      <c r="F483" s="4">
        <v>1076.3</v>
      </c>
      <c r="G483" s="4">
        <v>1079.35</v>
      </c>
      <c r="H483" s="1" t="s">
        <v>4871</v>
      </c>
      <c r="I483" s="1" t="s">
        <v>4872</v>
      </c>
      <c r="J483" s="1" t="s">
        <v>4873</v>
      </c>
      <c r="K483" s="1">
        <f t="shared" si="2"/>
        <v>-0.01518894684</v>
      </c>
      <c r="L483" s="7">
        <v>0.0010996983625096708</v>
      </c>
      <c r="M483" s="8">
        <f t="shared" si="1"/>
        <v>8501933</v>
      </c>
    </row>
    <row r="484">
      <c r="A484" s="9">
        <v>46219.0</v>
      </c>
      <c r="B484" s="4">
        <v>1082.5</v>
      </c>
      <c r="C484" s="4">
        <v>1097.3</v>
      </c>
      <c r="D484" s="4">
        <v>1077.9</v>
      </c>
      <c r="E484" s="4">
        <v>1076.3</v>
      </c>
      <c r="F484" s="4">
        <v>1082.4</v>
      </c>
      <c r="G484" s="4">
        <v>1088.27</v>
      </c>
      <c r="H484" s="1" t="s">
        <v>4881</v>
      </c>
      <c r="I484" s="1" t="s">
        <v>4883</v>
      </c>
      <c r="J484" s="1" t="s">
        <v>4884</v>
      </c>
      <c r="K484" s="1">
        <f t="shared" si="2"/>
        <v>0.005667564805</v>
      </c>
      <c r="L484" s="7">
        <v>-2.3880225097078306E-4</v>
      </c>
      <c r="M484" s="8">
        <f t="shared" si="1"/>
        <v>8592146</v>
      </c>
    </row>
    <row r="485">
      <c r="A485" s="9">
        <v>46220.0</v>
      </c>
      <c r="B485" s="4">
        <v>1105.0</v>
      </c>
      <c r="C485" s="4">
        <v>1116.8</v>
      </c>
      <c r="D485" s="4">
        <v>1092.0</v>
      </c>
      <c r="E485" s="4">
        <v>1082.4</v>
      </c>
      <c r="F485" s="4">
        <v>1096.5</v>
      </c>
      <c r="G485" s="4">
        <v>1102.0</v>
      </c>
      <c r="H485" s="1" t="s">
        <v>4890</v>
      </c>
      <c r="I485" s="1" t="s">
        <v>4894</v>
      </c>
      <c r="J485" s="1" t="s">
        <v>4896</v>
      </c>
      <c r="K485" s="1">
        <f t="shared" si="2"/>
        <v>0.01302660754</v>
      </c>
      <c r="L485" s="7">
        <v>0.010864982189405003</v>
      </c>
      <c r="M485" s="8">
        <f t="shared" si="1"/>
        <v>12547728</v>
      </c>
    </row>
    <row r="486">
      <c r="A486" s="9">
        <v>46223.0</v>
      </c>
      <c r="B486" s="4">
        <v>1102.0</v>
      </c>
      <c r="C486" s="4">
        <v>1103.8</v>
      </c>
      <c r="D486" s="4">
        <v>1083.2</v>
      </c>
      <c r="E486" s="4">
        <v>1096.5</v>
      </c>
      <c r="F486" s="4">
        <v>1087.1</v>
      </c>
      <c r="G486" s="4">
        <v>1091.72</v>
      </c>
      <c r="H486" s="1" t="s">
        <v>4906</v>
      </c>
      <c r="I486" s="1" t="s">
        <v>4907</v>
      </c>
      <c r="J486" s="1" t="s">
        <v>4909</v>
      </c>
      <c r="K486" s="1">
        <f t="shared" si="2"/>
        <v>-0.008572731418</v>
      </c>
      <c r="L486" s="7">
        <v>-0.003936829906757099</v>
      </c>
      <c r="M486" s="8">
        <f t="shared" si="1"/>
        <v>6372645</v>
      </c>
    </row>
    <row r="487">
      <c r="A487" s="9">
        <v>46224.0</v>
      </c>
      <c r="B487" s="4">
        <v>1080.0</v>
      </c>
      <c r="C487" s="4">
        <v>1094.5</v>
      </c>
      <c r="D487" s="4">
        <v>1067.2</v>
      </c>
      <c r="E487" s="4">
        <v>1087.1</v>
      </c>
      <c r="F487" s="4">
        <v>1073.5</v>
      </c>
      <c r="G487" s="4">
        <v>1074.7</v>
      </c>
      <c r="H487" s="1" t="s">
        <v>4918</v>
      </c>
      <c r="I487" s="1" t="s">
        <v>4919</v>
      </c>
      <c r="J487" s="1" t="s">
        <v>4921</v>
      </c>
      <c r="K487" s="1">
        <f t="shared" si="2"/>
        <v>-0.01251034863</v>
      </c>
      <c r="L487" s="7">
        <v>-0.0020958392639808267</v>
      </c>
      <c r="M487" s="8">
        <f t="shared" si="1"/>
        <v>9485229</v>
      </c>
    </row>
    <row r="488">
      <c r="A488" s="9">
        <v>46225.0</v>
      </c>
      <c r="B488" s="4">
        <v>1064.0</v>
      </c>
      <c r="C488" s="4">
        <v>1069.3</v>
      </c>
      <c r="D488" s="4">
        <v>1046.2</v>
      </c>
      <c r="E488" s="4">
        <v>1073.5</v>
      </c>
      <c r="F488" s="4">
        <v>1052.1</v>
      </c>
      <c r="G488" s="4">
        <v>1054.05</v>
      </c>
      <c r="H488" s="1" t="s">
        <v>4930</v>
      </c>
      <c r="I488" s="1" t="s">
        <v>4931</v>
      </c>
      <c r="J488" s="1" t="s">
        <v>4933</v>
      </c>
      <c r="K488" s="1">
        <f t="shared" si="2"/>
        <v>-0.01993479273</v>
      </c>
      <c r="L488" s="7">
        <v>-0.007915180029519166</v>
      </c>
      <c r="M488" s="8">
        <f t="shared" si="1"/>
        <v>7517203</v>
      </c>
    </row>
    <row r="489">
      <c r="A489" s="9">
        <v>46226.0</v>
      </c>
      <c r="B489" s="4">
        <v>1046.9</v>
      </c>
      <c r="C489" s="4">
        <v>1058.5</v>
      </c>
      <c r="D489" s="4">
        <v>1032.0</v>
      </c>
      <c r="E489" s="4">
        <v>1052.1</v>
      </c>
      <c r="F489" s="4">
        <v>1047.4</v>
      </c>
      <c r="G489" s="4">
        <v>1045.5</v>
      </c>
      <c r="H489" s="1" t="s">
        <v>4942</v>
      </c>
      <c r="I489" s="1" t="s">
        <v>4943</v>
      </c>
      <c r="J489" s="1" t="s">
        <v>4944</v>
      </c>
      <c r="K489" s="1">
        <f t="shared" si="2"/>
        <v>-0.004467255964</v>
      </c>
      <c r="L489" s="7">
        <v>-0.005277908006459403</v>
      </c>
      <c r="M489" s="8">
        <f t="shared" si="1"/>
        <v>13794578</v>
      </c>
    </row>
    <row r="490">
      <c r="A490" s="9">
        <v>46227.0</v>
      </c>
      <c r="B490" s="4">
        <v>1028.0</v>
      </c>
      <c r="C490" s="4">
        <v>1043.4</v>
      </c>
      <c r="D490" s="4">
        <v>1013.9</v>
      </c>
      <c r="E490" s="4">
        <v>1047.4</v>
      </c>
      <c r="F490" s="4">
        <v>1040.9</v>
      </c>
      <c r="G490" s="4">
        <v>1030.11</v>
      </c>
      <c r="H490" s="1" t="s">
        <v>4954</v>
      </c>
      <c r="I490" s="1" t="s">
        <v>4955</v>
      </c>
      <c r="J490" s="1" t="s">
        <v>4956</v>
      </c>
      <c r="K490" s="1">
        <f t="shared" si="2"/>
        <v>-0.00620584304</v>
      </c>
      <c r="L490" s="7">
        <v>-0.00427950196065279</v>
      </c>
      <c r="M490" s="8">
        <f t="shared" si="1"/>
        <v>29036900</v>
      </c>
    </row>
    <row r="491">
      <c r="A491" s="9">
        <v>46230.0</v>
      </c>
      <c r="B491" s="4">
        <v>1065.0</v>
      </c>
      <c r="C491" s="4">
        <v>1082.0</v>
      </c>
      <c r="D491" s="4">
        <v>1057.4</v>
      </c>
      <c r="E491" s="4">
        <v>1040.9</v>
      </c>
      <c r="F491" s="4">
        <v>1079.2</v>
      </c>
      <c r="G491" s="4">
        <v>1075.47</v>
      </c>
      <c r="H491" s="1" t="s">
        <v>4965</v>
      </c>
      <c r="I491" s="1" t="s">
        <v>4967</v>
      </c>
      <c r="J491" s="1" t="s">
        <v>4968</v>
      </c>
      <c r="K491" s="1">
        <f t="shared" si="2"/>
        <v>0.03679508118</v>
      </c>
      <c r="L491" s="7">
        <v>0.009613988879749406</v>
      </c>
      <c r="M491" s="8">
        <f t="shared" si="1"/>
        <v>15956349</v>
      </c>
    </row>
    <row r="492">
      <c r="A492" s="9">
        <v>46231.0</v>
      </c>
      <c r="B492" s="4">
        <v>1097.0</v>
      </c>
      <c r="C492" s="4">
        <v>1118.5</v>
      </c>
      <c r="D492" s="4">
        <v>1097.0</v>
      </c>
      <c r="E492" s="4">
        <v>1079.2</v>
      </c>
      <c r="F492" s="4">
        <v>1105.7</v>
      </c>
      <c r="G492" s="4">
        <v>1108.56</v>
      </c>
      <c r="H492" s="1" t="s">
        <v>4973</v>
      </c>
      <c r="I492" s="1" t="s">
        <v>4976</v>
      </c>
      <c r="J492" s="1" t="s">
        <v>4978</v>
      </c>
      <c r="K492" s="1">
        <f t="shared" si="2"/>
        <v>0.02455522609</v>
      </c>
      <c r="L492" s="7">
        <v>-4.417412104960288E-4</v>
      </c>
      <c r="M492" s="8">
        <f t="shared" si="1"/>
        <v>28100895</v>
      </c>
    </row>
    <row r="493">
      <c r="A493" s="9">
        <v>46232.0</v>
      </c>
      <c r="B493" s="4">
        <v>1147.0</v>
      </c>
      <c r="C493" s="4">
        <v>1164.5</v>
      </c>
      <c r="D493" s="4">
        <v>1128.4</v>
      </c>
      <c r="E493" s="4">
        <v>1105.7</v>
      </c>
      <c r="F493" s="4">
        <v>1155.6</v>
      </c>
      <c r="G493" s="4">
        <v>1152.38</v>
      </c>
      <c r="H493" s="1" t="s">
        <v>4984</v>
      </c>
      <c r="I493" s="1" t="s">
        <v>4985</v>
      </c>
      <c r="J493" s="1" t="s">
        <v>4987</v>
      </c>
      <c r="K493" s="1">
        <f t="shared" si="2"/>
        <v>0.04512978204</v>
      </c>
      <c r="L493" s="7">
        <v>0.01104215698332533</v>
      </c>
      <c r="M493" s="8">
        <f t="shared" si="1"/>
        <v>34400369</v>
      </c>
    </row>
    <row r="494">
      <c r="A494" s="9">
        <v>46233.0</v>
      </c>
      <c r="B494" s="4">
        <v>1168.0</v>
      </c>
      <c r="C494" s="4">
        <v>1187.7</v>
      </c>
      <c r="D494" s="4">
        <v>1151.3</v>
      </c>
      <c r="E494" s="4">
        <v>1155.6</v>
      </c>
      <c r="F494" s="4">
        <v>1155.1</v>
      </c>
      <c r="G494" s="4">
        <v>1173.03</v>
      </c>
      <c r="H494" s="1" t="s">
        <v>4995</v>
      </c>
      <c r="I494" s="1" t="s">
        <v>4996</v>
      </c>
      <c r="J494" s="1" t="s">
        <v>4997</v>
      </c>
      <c r="K494" s="1">
        <f t="shared" si="2"/>
        <v>-0.0004326756663</v>
      </c>
      <c r="L494" s="7">
        <v>0.002760801972767265</v>
      </c>
      <c r="M494" s="8">
        <f t="shared" si="1"/>
        <v>22630218</v>
      </c>
    </row>
    <row r="495">
      <c r="A495" s="9">
        <v>46234.0</v>
      </c>
      <c r="B495" s="4">
        <v>1118.9</v>
      </c>
      <c r="C495" s="4">
        <v>1139.3</v>
      </c>
      <c r="D495" s="4">
        <v>1107.2</v>
      </c>
      <c r="E495" s="4">
        <v>1155.1</v>
      </c>
      <c r="F495" s="4">
        <v>1130.1</v>
      </c>
      <c r="G495" s="4">
        <v>1128.12</v>
      </c>
      <c r="H495" s="1" t="s">
        <v>5007</v>
      </c>
      <c r="I495" s="1" t="s">
        <v>5008</v>
      </c>
      <c r="J495" s="1" t="s">
        <v>5009</v>
      </c>
      <c r="K495" s="1">
        <f t="shared" si="2"/>
        <v>-0.02164314778</v>
      </c>
      <c r="L495" s="7">
        <v>0.002732639310116403</v>
      </c>
      <c r="M495" s="8">
        <f t="shared" si="1"/>
        <v>14367075</v>
      </c>
    </row>
    <row r="496">
      <c r="A496" s="3">
        <v>46237.0</v>
      </c>
      <c r="B496" s="4">
        <v>1145.1</v>
      </c>
      <c r="C496" s="4">
        <v>1180.0</v>
      </c>
      <c r="D496" s="4">
        <v>1138.1</v>
      </c>
      <c r="E496" s="4">
        <v>1130.1</v>
      </c>
      <c r="F496" s="4">
        <v>1180.0</v>
      </c>
      <c r="G496" s="4">
        <v>1160.88</v>
      </c>
      <c r="H496" s="1" t="s">
        <v>5016</v>
      </c>
      <c r="I496" s="1" t="s">
        <v>5018</v>
      </c>
      <c r="J496" s="1" t="s">
        <v>5020</v>
      </c>
      <c r="K496" s="1">
        <f t="shared" si="2"/>
        <v>0.04415538448</v>
      </c>
      <c r="L496" s="7">
        <v>0.01602306468281963</v>
      </c>
      <c r="M496" s="8">
        <f t="shared" si="1"/>
        <v>8582270</v>
      </c>
    </row>
    <row r="497">
      <c r="H497" s="7"/>
    </row>
    <row r="498">
      <c r="H498" s="7"/>
    </row>
    <row r="499">
      <c r="H499" s="7"/>
    </row>
    <row r="500">
      <c r="H500" s="7"/>
    </row>
    <row r="501">
      <c r="H501" s="7"/>
    </row>
    <row r="502">
      <c r="H502" s="7"/>
    </row>
    <row r="503">
      <c r="H503" s="7"/>
    </row>
    <row r="504">
      <c r="H504" s="7"/>
    </row>
    <row r="505">
      <c r="H505" s="7"/>
    </row>
    <row r="506">
      <c r="H506" s="7"/>
    </row>
    <row r="507">
      <c r="H507" s="7"/>
    </row>
    <row r="508">
      <c r="H508" s="7"/>
    </row>
    <row r="509">
      <c r="H509" s="7"/>
    </row>
    <row r="510">
      <c r="H510" s="7"/>
    </row>
    <row r="511">
      <c r="H511" s="7"/>
    </row>
    <row r="512">
      <c r="H512" s="7"/>
    </row>
    <row r="513">
      <c r="H513" s="7"/>
    </row>
    <row r="514">
      <c r="H514" s="7"/>
    </row>
    <row r="515">
      <c r="H515" s="7"/>
    </row>
    <row r="516">
      <c r="H516" s="7"/>
    </row>
    <row r="517">
      <c r="H517" s="7"/>
    </row>
    <row r="518">
      <c r="H518" s="7"/>
    </row>
    <row r="519">
      <c r="H519" s="7"/>
    </row>
    <row r="520">
      <c r="H520" s="7"/>
    </row>
    <row r="521">
      <c r="H521" s="7"/>
    </row>
    <row r="522">
      <c r="H522" s="7"/>
    </row>
    <row r="523">
      <c r="H523" s="7"/>
    </row>
    <row r="524">
      <c r="H524" s="7"/>
    </row>
    <row r="525">
      <c r="H525" s="7"/>
    </row>
    <row r="526">
      <c r="H526" s="7"/>
    </row>
    <row r="527">
      <c r="H527" s="7"/>
    </row>
    <row r="528">
      <c r="H528" s="7"/>
    </row>
    <row r="529">
      <c r="H529" s="7"/>
    </row>
    <row r="530">
      <c r="H530" s="7"/>
    </row>
    <row r="531">
      <c r="H531" s="7"/>
    </row>
    <row r="532">
      <c r="H532" s="7"/>
    </row>
    <row r="533">
      <c r="H533" s="7"/>
    </row>
    <row r="534">
      <c r="H534" s="7"/>
    </row>
    <row r="535">
      <c r="H535" s="7"/>
    </row>
    <row r="536">
      <c r="H536" s="7"/>
    </row>
    <row r="537">
      <c r="H537" s="7"/>
    </row>
    <row r="538">
      <c r="H538" s="7"/>
    </row>
    <row r="539">
      <c r="H539" s="7"/>
    </row>
    <row r="540">
      <c r="H540" s="7"/>
    </row>
    <row r="541">
      <c r="H541" s="7"/>
    </row>
    <row r="542">
      <c r="H542" s="7"/>
    </row>
    <row r="543">
      <c r="H543" s="7"/>
    </row>
    <row r="544">
      <c r="H544" s="7"/>
    </row>
    <row r="545">
      <c r="H545" s="7"/>
    </row>
    <row r="546">
      <c r="H546" s="7"/>
    </row>
    <row r="547">
      <c r="H547" s="7"/>
    </row>
    <row r="548">
      <c r="H548" s="7"/>
    </row>
    <row r="549">
      <c r="H549" s="7"/>
    </row>
    <row r="550">
      <c r="H550" s="7"/>
    </row>
    <row r="551">
      <c r="H551" s="7"/>
    </row>
    <row r="552">
      <c r="H552" s="7"/>
    </row>
    <row r="553">
      <c r="H553" s="7"/>
    </row>
    <row r="554">
      <c r="H554" s="7"/>
    </row>
    <row r="555">
      <c r="H555" s="7"/>
    </row>
    <row r="556">
      <c r="H556" s="7"/>
    </row>
    <row r="557">
      <c r="H557" s="7"/>
    </row>
    <row r="558">
      <c r="H558" s="7"/>
    </row>
    <row r="559">
      <c r="H559" s="7"/>
    </row>
    <row r="560">
      <c r="H560" s="7"/>
    </row>
    <row r="561">
      <c r="H561" s="7"/>
    </row>
    <row r="562">
      <c r="H562" s="7"/>
    </row>
    <row r="563">
      <c r="H563" s="7"/>
    </row>
    <row r="564">
      <c r="H564" s="7"/>
    </row>
    <row r="565">
      <c r="H565" s="7"/>
    </row>
    <row r="566">
      <c r="H566" s="7"/>
    </row>
    <row r="567">
      <c r="H567" s="7"/>
    </row>
    <row r="568">
      <c r="H568" s="7"/>
    </row>
    <row r="569">
      <c r="H569" s="7"/>
    </row>
    <row r="570">
      <c r="H570" s="7"/>
    </row>
    <row r="571">
      <c r="H571" s="7"/>
    </row>
    <row r="572">
      <c r="H572" s="7"/>
    </row>
    <row r="573">
      <c r="H573" s="7"/>
    </row>
    <row r="574">
      <c r="H574" s="7"/>
    </row>
    <row r="575">
      <c r="H575" s="7"/>
    </row>
    <row r="576">
      <c r="H576" s="7"/>
    </row>
    <row r="577">
      <c r="H577" s="7"/>
    </row>
    <row r="578">
      <c r="H578" s="7"/>
    </row>
    <row r="579">
      <c r="H579" s="7"/>
    </row>
    <row r="580">
      <c r="H580" s="7"/>
    </row>
    <row r="581">
      <c r="H581" s="7"/>
    </row>
    <row r="582">
      <c r="H582" s="7"/>
    </row>
    <row r="583">
      <c r="H583" s="7"/>
    </row>
    <row r="584">
      <c r="H584" s="7"/>
    </row>
    <row r="585">
      <c r="H585" s="7"/>
    </row>
    <row r="586">
      <c r="H586" s="7"/>
    </row>
    <row r="587">
      <c r="H587" s="7"/>
    </row>
    <row r="588">
      <c r="H588" s="7"/>
    </row>
    <row r="589">
      <c r="H589" s="7"/>
    </row>
    <row r="590">
      <c r="H590" s="7"/>
    </row>
    <row r="591">
      <c r="H591" s="7"/>
    </row>
    <row r="592">
      <c r="H592" s="7"/>
    </row>
    <row r="593">
      <c r="H593" s="7"/>
    </row>
    <row r="594">
      <c r="H594" s="7"/>
    </row>
    <row r="595">
      <c r="H595" s="7"/>
    </row>
    <row r="596">
      <c r="H596" s="7"/>
    </row>
    <row r="597">
      <c r="H597" s="7"/>
    </row>
    <row r="598">
      <c r="H598" s="7"/>
    </row>
    <row r="599">
      <c r="H599" s="7"/>
    </row>
    <row r="600">
      <c r="H600" s="7"/>
    </row>
    <row r="601">
      <c r="H601" s="7"/>
    </row>
    <row r="602">
      <c r="H602" s="7"/>
    </row>
    <row r="603">
      <c r="H603" s="7"/>
    </row>
    <row r="604">
      <c r="H604" s="7"/>
    </row>
    <row r="605">
      <c r="H605" s="7"/>
    </row>
    <row r="606">
      <c r="H606" s="7"/>
    </row>
    <row r="607">
      <c r="H607" s="7"/>
    </row>
    <row r="608">
      <c r="H608" s="7"/>
    </row>
    <row r="609">
      <c r="H609" s="7"/>
    </row>
    <row r="610">
      <c r="H610" s="7"/>
    </row>
    <row r="611">
      <c r="H611" s="7"/>
    </row>
    <row r="612">
      <c r="H612" s="7"/>
    </row>
    <row r="613">
      <c r="H613" s="7"/>
    </row>
    <row r="614">
      <c r="H614" s="7"/>
    </row>
    <row r="615">
      <c r="H615" s="7"/>
    </row>
    <row r="616">
      <c r="H616" s="7"/>
    </row>
    <row r="617">
      <c r="H617" s="7"/>
    </row>
    <row r="618">
      <c r="H618" s="7"/>
    </row>
    <row r="619">
      <c r="H619" s="7"/>
    </row>
    <row r="620">
      <c r="H620" s="7"/>
    </row>
    <row r="621">
      <c r="H621" s="7"/>
    </row>
    <row r="622">
      <c r="H622" s="7"/>
    </row>
    <row r="623">
      <c r="H623" s="7"/>
    </row>
    <row r="624">
      <c r="H624" s="7"/>
    </row>
    <row r="625">
      <c r="H625" s="7"/>
    </row>
    <row r="626">
      <c r="H626" s="7"/>
    </row>
    <row r="627">
      <c r="H627" s="7"/>
    </row>
    <row r="628">
      <c r="H628" s="7"/>
    </row>
    <row r="629">
      <c r="H629" s="7"/>
    </row>
    <row r="630">
      <c r="H630" s="7"/>
    </row>
    <row r="631">
      <c r="H631" s="7"/>
    </row>
    <row r="632">
      <c r="H632" s="7"/>
    </row>
    <row r="633">
      <c r="H633" s="7"/>
    </row>
    <row r="634">
      <c r="H634" s="7"/>
    </row>
    <row r="635">
      <c r="H635" s="7"/>
    </row>
    <row r="636">
      <c r="H636" s="7"/>
    </row>
    <row r="637">
      <c r="H637" s="7"/>
    </row>
    <row r="638">
      <c r="H638" s="7"/>
    </row>
    <row r="639">
      <c r="H639" s="7"/>
    </row>
    <row r="640">
      <c r="H640" s="7"/>
    </row>
    <row r="641">
      <c r="H641" s="7"/>
    </row>
    <row r="642">
      <c r="H642" s="7"/>
    </row>
    <row r="643">
      <c r="H643" s="7"/>
    </row>
    <row r="644">
      <c r="H644" s="7"/>
    </row>
    <row r="645">
      <c r="H645" s="7"/>
    </row>
    <row r="646">
      <c r="H646" s="7"/>
    </row>
    <row r="647">
      <c r="H647" s="7"/>
    </row>
    <row r="648">
      <c r="H648" s="7"/>
    </row>
    <row r="649">
      <c r="H649" s="7"/>
    </row>
    <row r="650">
      <c r="H650" s="7"/>
    </row>
    <row r="651">
      <c r="H651" s="7"/>
    </row>
    <row r="652">
      <c r="H652" s="7"/>
    </row>
    <row r="653">
      <c r="H653" s="7"/>
    </row>
    <row r="654">
      <c r="H654" s="7"/>
    </row>
    <row r="655">
      <c r="H655" s="7"/>
    </row>
    <row r="656">
      <c r="H656" s="7"/>
    </row>
    <row r="657">
      <c r="H657" s="7"/>
    </row>
    <row r="658">
      <c r="H658" s="7"/>
    </row>
    <row r="659">
      <c r="H659" s="7"/>
    </row>
    <row r="660">
      <c r="H660" s="7"/>
    </row>
    <row r="661">
      <c r="H661" s="7"/>
    </row>
    <row r="662">
      <c r="H662" s="7"/>
    </row>
    <row r="663">
      <c r="H663" s="7"/>
    </row>
    <row r="664">
      <c r="H664" s="7"/>
    </row>
    <row r="665">
      <c r="H665" s="7"/>
    </row>
    <row r="666">
      <c r="H666" s="7"/>
    </row>
    <row r="667">
      <c r="H667" s="7"/>
    </row>
    <row r="668">
      <c r="H668" s="7"/>
    </row>
    <row r="669">
      <c r="H669" s="7"/>
    </row>
    <row r="670">
      <c r="H670" s="7"/>
    </row>
    <row r="671">
      <c r="H671" s="7"/>
    </row>
    <row r="672">
      <c r="H672" s="7"/>
    </row>
    <row r="673">
      <c r="H673" s="7"/>
    </row>
    <row r="674">
      <c r="H674" s="7"/>
    </row>
    <row r="675">
      <c r="H675" s="7"/>
    </row>
    <row r="676">
      <c r="H676" s="7"/>
    </row>
    <row r="677">
      <c r="H677" s="7"/>
    </row>
    <row r="678">
      <c r="H678" s="7"/>
    </row>
    <row r="679">
      <c r="H679" s="7"/>
    </row>
    <row r="680">
      <c r="H680" s="7"/>
    </row>
    <row r="681">
      <c r="H681" s="7"/>
    </row>
    <row r="682">
      <c r="H682" s="7"/>
    </row>
    <row r="683">
      <c r="H683" s="7"/>
    </row>
    <row r="684">
      <c r="H684" s="7"/>
    </row>
    <row r="685">
      <c r="H685" s="7"/>
    </row>
    <row r="686">
      <c r="H686" s="7"/>
    </row>
    <row r="687">
      <c r="H687" s="7"/>
    </row>
    <row r="688">
      <c r="H688" s="7"/>
    </row>
    <row r="689">
      <c r="H689" s="7"/>
    </row>
    <row r="690">
      <c r="H690" s="7"/>
    </row>
    <row r="691">
      <c r="H691" s="7"/>
    </row>
    <row r="692">
      <c r="H692" s="7"/>
    </row>
    <row r="693">
      <c r="H693" s="7"/>
    </row>
    <row r="694">
      <c r="H694" s="7"/>
    </row>
    <row r="695">
      <c r="H695" s="7"/>
    </row>
    <row r="696">
      <c r="H696" s="7"/>
    </row>
    <row r="697">
      <c r="H697" s="7"/>
    </row>
    <row r="698">
      <c r="H698" s="7"/>
    </row>
    <row r="699">
      <c r="H699" s="7"/>
    </row>
    <row r="700">
      <c r="H700" s="7"/>
    </row>
    <row r="701">
      <c r="H701" s="7"/>
    </row>
    <row r="702">
      <c r="H702" s="7"/>
    </row>
    <row r="703">
      <c r="H703" s="7"/>
    </row>
    <row r="704">
      <c r="H704" s="7"/>
    </row>
    <row r="705">
      <c r="H705" s="7"/>
    </row>
    <row r="706">
      <c r="H706" s="7"/>
    </row>
    <row r="707">
      <c r="H707" s="7"/>
    </row>
    <row r="708">
      <c r="H708" s="7"/>
    </row>
    <row r="709">
      <c r="H709" s="7"/>
    </row>
    <row r="710">
      <c r="H710" s="7"/>
    </row>
    <row r="711">
      <c r="H711" s="7"/>
    </row>
    <row r="712">
      <c r="H712" s="7"/>
    </row>
    <row r="713">
      <c r="H713" s="7"/>
    </row>
    <row r="714">
      <c r="H714" s="7"/>
    </row>
    <row r="715">
      <c r="H715" s="7"/>
    </row>
    <row r="716">
      <c r="H716" s="7"/>
    </row>
    <row r="717">
      <c r="H717" s="7"/>
    </row>
    <row r="718">
      <c r="H718" s="7"/>
    </row>
    <row r="719">
      <c r="H719" s="7"/>
    </row>
    <row r="720">
      <c r="H720" s="7"/>
    </row>
    <row r="721">
      <c r="H721" s="7"/>
    </row>
    <row r="722">
      <c r="H722" s="7"/>
    </row>
    <row r="723">
      <c r="H723" s="7"/>
    </row>
    <row r="724">
      <c r="H724" s="7"/>
    </row>
    <row r="725">
      <c r="H725" s="7"/>
    </row>
    <row r="726">
      <c r="H726" s="7"/>
    </row>
    <row r="727">
      <c r="H727" s="7"/>
    </row>
    <row r="728">
      <c r="H728" s="7"/>
    </row>
    <row r="729">
      <c r="H729" s="7"/>
    </row>
    <row r="730">
      <c r="H730" s="7"/>
    </row>
    <row r="731">
      <c r="H731" s="7"/>
    </row>
    <row r="732">
      <c r="H732" s="7"/>
    </row>
    <row r="733">
      <c r="H733" s="7"/>
    </row>
    <row r="734">
      <c r="H734" s="7"/>
    </row>
    <row r="735">
      <c r="H735" s="7"/>
    </row>
    <row r="736">
      <c r="H736" s="7"/>
    </row>
    <row r="737">
      <c r="H737" s="7"/>
    </row>
    <row r="738">
      <c r="H738" s="7"/>
    </row>
    <row r="739">
      <c r="H739" s="7"/>
    </row>
    <row r="740">
      <c r="H740" s="7"/>
    </row>
    <row r="741">
      <c r="H741" s="7"/>
    </row>
    <row r="742">
      <c r="H742" s="7"/>
    </row>
    <row r="743">
      <c r="H743" s="7"/>
    </row>
    <row r="744">
      <c r="H744" s="7"/>
    </row>
    <row r="745">
      <c r="H745" s="7"/>
    </row>
    <row r="746">
      <c r="H746" s="7"/>
    </row>
    <row r="747">
      <c r="H747" s="7"/>
    </row>
    <row r="748">
      <c r="H748" s="7"/>
    </row>
    <row r="749">
      <c r="H749" s="7"/>
    </row>
    <row r="750">
      <c r="H750" s="7"/>
    </row>
    <row r="751">
      <c r="H751" s="7"/>
    </row>
    <row r="752">
      <c r="H752" s="7"/>
    </row>
    <row r="753">
      <c r="H753" s="7"/>
    </row>
    <row r="754">
      <c r="H754" s="7"/>
    </row>
    <row r="755">
      <c r="H755" s="7"/>
    </row>
    <row r="756">
      <c r="H756" s="7"/>
    </row>
    <row r="757">
      <c r="H757" s="7"/>
    </row>
    <row r="758">
      <c r="H758" s="7"/>
    </row>
    <row r="759">
      <c r="H759" s="7"/>
    </row>
    <row r="760">
      <c r="H760" s="7"/>
    </row>
    <row r="761">
      <c r="H761" s="7"/>
    </row>
    <row r="762">
      <c r="H762" s="7"/>
    </row>
    <row r="763">
      <c r="H763" s="7"/>
    </row>
    <row r="764">
      <c r="H764" s="7"/>
    </row>
    <row r="765">
      <c r="H765" s="7"/>
    </row>
    <row r="766">
      <c r="H766" s="7"/>
    </row>
    <row r="767">
      <c r="H767" s="7"/>
    </row>
    <row r="768">
      <c r="H768" s="7"/>
    </row>
    <row r="769">
      <c r="H769" s="7"/>
    </row>
    <row r="770">
      <c r="H770" s="7"/>
    </row>
    <row r="771">
      <c r="H771" s="7"/>
    </row>
    <row r="772">
      <c r="H772" s="7"/>
    </row>
    <row r="773">
      <c r="H773" s="7"/>
    </row>
    <row r="774">
      <c r="H774" s="7"/>
    </row>
    <row r="775">
      <c r="H775" s="7"/>
    </row>
    <row r="776">
      <c r="H776" s="7"/>
    </row>
    <row r="777">
      <c r="H777" s="7"/>
    </row>
    <row r="778">
      <c r="H778" s="7"/>
    </row>
    <row r="779">
      <c r="H779" s="7"/>
    </row>
    <row r="780">
      <c r="H780" s="7"/>
    </row>
    <row r="781">
      <c r="H781" s="7"/>
    </row>
    <row r="782">
      <c r="H782" s="7"/>
    </row>
    <row r="783">
      <c r="H783" s="7"/>
    </row>
    <row r="784">
      <c r="H784" s="7"/>
    </row>
    <row r="785">
      <c r="H785" s="7"/>
    </row>
    <row r="786">
      <c r="H786" s="7"/>
    </row>
    <row r="787">
      <c r="H787" s="7"/>
    </row>
    <row r="788">
      <c r="H788" s="7"/>
    </row>
    <row r="789">
      <c r="H789" s="7"/>
    </row>
    <row r="790">
      <c r="H790" s="7"/>
    </row>
    <row r="791">
      <c r="H791" s="7"/>
    </row>
    <row r="792">
      <c r="H792" s="7"/>
    </row>
    <row r="793">
      <c r="H793" s="7"/>
    </row>
    <row r="794">
      <c r="H794" s="7"/>
    </row>
    <row r="795">
      <c r="H795" s="7"/>
    </row>
    <row r="796">
      <c r="H796" s="7"/>
    </row>
    <row r="797">
      <c r="H797" s="7"/>
    </row>
    <row r="798">
      <c r="H798" s="7"/>
    </row>
    <row r="799">
      <c r="H799" s="7"/>
    </row>
    <row r="800">
      <c r="H800" s="7"/>
    </row>
    <row r="801">
      <c r="H801" s="7"/>
    </row>
    <row r="802">
      <c r="H802" s="7"/>
    </row>
    <row r="803">
      <c r="H803" s="7"/>
    </row>
    <row r="804">
      <c r="H804" s="7"/>
    </row>
    <row r="805">
      <c r="H805" s="7"/>
    </row>
    <row r="806">
      <c r="H806" s="7"/>
    </row>
    <row r="807">
      <c r="H807" s="7"/>
    </row>
    <row r="808">
      <c r="H808" s="7"/>
    </row>
    <row r="809">
      <c r="H809" s="7"/>
    </row>
    <row r="810">
      <c r="H810" s="7"/>
    </row>
    <row r="811">
      <c r="H811" s="7"/>
    </row>
    <row r="812">
      <c r="H812" s="7"/>
    </row>
    <row r="813">
      <c r="H813" s="7"/>
    </row>
    <row r="814">
      <c r="H814" s="7"/>
    </row>
    <row r="815">
      <c r="H815" s="7"/>
    </row>
    <row r="816">
      <c r="H816" s="7"/>
    </row>
    <row r="817">
      <c r="H817" s="7"/>
    </row>
    <row r="818">
      <c r="H818" s="7"/>
    </row>
    <row r="819">
      <c r="H819" s="7"/>
    </row>
    <row r="820">
      <c r="H820" s="7"/>
    </row>
    <row r="821">
      <c r="H821" s="7"/>
    </row>
    <row r="822">
      <c r="H822" s="7"/>
    </row>
    <row r="823">
      <c r="H823" s="7"/>
    </row>
    <row r="824">
      <c r="H824" s="7"/>
    </row>
    <row r="825">
      <c r="H825" s="7"/>
    </row>
    <row r="826">
      <c r="H826" s="7"/>
    </row>
    <row r="827">
      <c r="H827" s="7"/>
    </row>
    <row r="828">
      <c r="H828" s="7"/>
    </row>
    <row r="829">
      <c r="H829" s="7"/>
    </row>
    <row r="830">
      <c r="H830" s="7"/>
    </row>
    <row r="831">
      <c r="H831" s="7"/>
    </row>
    <row r="832">
      <c r="H832" s="7"/>
    </row>
    <row r="833">
      <c r="H833" s="7"/>
    </row>
    <row r="834">
      <c r="H834" s="7"/>
    </row>
    <row r="835">
      <c r="H835" s="7"/>
    </row>
    <row r="836">
      <c r="H836" s="7"/>
    </row>
    <row r="837">
      <c r="H837" s="7"/>
    </row>
    <row r="838">
      <c r="H838" s="7"/>
    </row>
    <row r="839">
      <c r="H839" s="7"/>
    </row>
    <row r="840">
      <c r="H840" s="7"/>
    </row>
    <row r="841">
      <c r="H841" s="7"/>
    </row>
    <row r="842">
      <c r="H842" s="7"/>
    </row>
    <row r="843">
      <c r="H843" s="7"/>
    </row>
    <row r="844">
      <c r="H844" s="7"/>
    </row>
    <row r="845">
      <c r="H845" s="7"/>
    </row>
    <row r="846">
      <c r="H846" s="7"/>
    </row>
    <row r="847">
      <c r="H847" s="7"/>
    </row>
    <row r="848">
      <c r="H848" s="7"/>
    </row>
    <row r="849">
      <c r="H849" s="7"/>
    </row>
    <row r="850">
      <c r="H850" s="7"/>
    </row>
    <row r="851">
      <c r="H851" s="7"/>
    </row>
    <row r="852">
      <c r="H852" s="7"/>
    </row>
    <row r="853">
      <c r="H853" s="7"/>
    </row>
    <row r="854">
      <c r="H854" s="7"/>
    </row>
    <row r="855">
      <c r="H855" s="7"/>
    </row>
    <row r="856">
      <c r="H856" s="7"/>
    </row>
    <row r="857">
      <c r="H857" s="7"/>
    </row>
    <row r="858">
      <c r="H858" s="7"/>
    </row>
    <row r="859">
      <c r="H859" s="7"/>
    </row>
    <row r="860">
      <c r="H860" s="7"/>
    </row>
    <row r="861">
      <c r="H861" s="7"/>
    </row>
    <row r="862">
      <c r="H862" s="7"/>
    </row>
    <row r="863">
      <c r="H863" s="7"/>
    </row>
    <row r="864">
      <c r="H864" s="7"/>
    </row>
    <row r="865">
      <c r="H865" s="7"/>
    </row>
    <row r="866">
      <c r="H866" s="7"/>
    </row>
    <row r="867">
      <c r="H867" s="7"/>
    </row>
    <row r="868">
      <c r="H868" s="7"/>
    </row>
    <row r="869">
      <c r="H869" s="7"/>
    </row>
    <row r="870">
      <c r="H870" s="7"/>
    </row>
    <row r="871">
      <c r="H871" s="7"/>
    </row>
    <row r="872">
      <c r="H872" s="7"/>
    </row>
    <row r="873">
      <c r="H873" s="7"/>
    </row>
    <row r="874">
      <c r="H874" s="7"/>
    </row>
    <row r="875">
      <c r="H875" s="7"/>
    </row>
    <row r="876">
      <c r="H876" s="7"/>
    </row>
    <row r="877">
      <c r="H877" s="7"/>
    </row>
    <row r="878">
      <c r="H878" s="7"/>
    </row>
    <row r="879">
      <c r="H879" s="7"/>
    </row>
    <row r="880">
      <c r="H880" s="7"/>
    </row>
    <row r="881">
      <c r="H881" s="7"/>
    </row>
    <row r="882">
      <c r="H882" s="7"/>
    </row>
    <row r="883">
      <c r="H883" s="7"/>
    </row>
    <row r="884">
      <c r="H884" s="7"/>
    </row>
    <row r="885">
      <c r="H885" s="7"/>
    </row>
    <row r="886">
      <c r="H886" s="7"/>
    </row>
    <row r="887">
      <c r="H887" s="7"/>
    </row>
    <row r="888">
      <c r="H888" s="7"/>
    </row>
    <row r="889">
      <c r="H889" s="7"/>
    </row>
    <row r="890">
      <c r="H890" s="7"/>
    </row>
    <row r="891">
      <c r="H891" s="7"/>
    </row>
    <row r="892">
      <c r="H892" s="7"/>
    </row>
    <row r="893">
      <c r="H893" s="7"/>
    </row>
    <row r="894">
      <c r="H894" s="7"/>
    </row>
    <row r="895">
      <c r="H895" s="7"/>
    </row>
    <row r="896">
      <c r="H896" s="7"/>
    </row>
    <row r="897">
      <c r="H897" s="7"/>
    </row>
    <row r="898">
      <c r="H898" s="7"/>
    </row>
    <row r="899">
      <c r="H899" s="7"/>
    </row>
    <row r="900">
      <c r="H900" s="7"/>
    </row>
    <row r="901">
      <c r="H901" s="7"/>
    </row>
    <row r="902">
      <c r="H902" s="7"/>
    </row>
    <row r="903">
      <c r="H903" s="7"/>
    </row>
    <row r="904">
      <c r="H904" s="7"/>
    </row>
    <row r="905">
      <c r="H905" s="7"/>
    </row>
    <row r="906">
      <c r="H906" s="7"/>
    </row>
    <row r="907">
      <c r="H907" s="7"/>
    </row>
    <row r="908">
      <c r="H908" s="7"/>
    </row>
    <row r="909">
      <c r="H909" s="7"/>
    </row>
    <row r="910">
      <c r="H910" s="7"/>
    </row>
    <row r="911">
      <c r="H911" s="7"/>
    </row>
    <row r="912">
      <c r="H912" s="7"/>
    </row>
    <row r="913">
      <c r="H913" s="7"/>
    </row>
    <row r="914">
      <c r="H914" s="7"/>
    </row>
    <row r="915">
      <c r="H915" s="7"/>
    </row>
    <row r="916">
      <c r="H916" s="7"/>
    </row>
    <row r="917">
      <c r="H917" s="7"/>
    </row>
    <row r="918">
      <c r="H918" s="7"/>
    </row>
    <row r="919">
      <c r="H919" s="7"/>
    </row>
    <row r="920">
      <c r="H920" s="7"/>
    </row>
    <row r="921">
      <c r="H921" s="7"/>
    </row>
    <row r="922">
      <c r="H922" s="7"/>
    </row>
    <row r="923">
      <c r="H923" s="7"/>
    </row>
    <row r="924">
      <c r="H924" s="7"/>
    </row>
    <row r="925">
      <c r="H925" s="7"/>
    </row>
    <row r="926">
      <c r="H926" s="7"/>
    </row>
    <row r="927">
      <c r="H927" s="7"/>
    </row>
    <row r="928">
      <c r="H928" s="7"/>
    </row>
    <row r="929">
      <c r="H929" s="7"/>
    </row>
    <row r="930">
      <c r="H930" s="7"/>
    </row>
    <row r="931">
      <c r="H931" s="7"/>
    </row>
    <row r="932">
      <c r="H932" s="7"/>
    </row>
    <row r="933">
      <c r="H933" s="7"/>
    </row>
    <row r="934">
      <c r="H934" s="7"/>
    </row>
    <row r="935">
      <c r="H935" s="7"/>
    </row>
    <row r="936">
      <c r="H936" s="7"/>
    </row>
    <row r="937">
      <c r="H937" s="7"/>
    </row>
    <row r="938">
      <c r="H938" s="7"/>
    </row>
    <row r="939">
      <c r="H939" s="7"/>
    </row>
    <row r="940">
      <c r="H940" s="7"/>
    </row>
    <row r="941">
      <c r="H941" s="7"/>
    </row>
    <row r="942">
      <c r="H942" s="7"/>
    </row>
    <row r="943">
      <c r="H943" s="7"/>
    </row>
    <row r="944">
      <c r="H944" s="7"/>
    </row>
    <row r="945">
      <c r="H945" s="7"/>
    </row>
    <row r="946">
      <c r="H946" s="7"/>
    </row>
    <row r="947">
      <c r="H947" s="7"/>
    </row>
    <row r="948">
      <c r="H948" s="7"/>
    </row>
    <row r="949">
      <c r="H949" s="7"/>
    </row>
    <row r="950">
      <c r="H950" s="7"/>
    </row>
    <row r="951">
      <c r="H951" s="7"/>
    </row>
    <row r="952">
      <c r="H952" s="7"/>
    </row>
    <row r="953">
      <c r="H953" s="7"/>
    </row>
    <row r="954">
      <c r="H954" s="7"/>
    </row>
    <row r="955">
      <c r="H955" s="7"/>
    </row>
    <row r="956">
      <c r="H956" s="7"/>
    </row>
    <row r="957">
      <c r="H957" s="7"/>
    </row>
    <row r="958">
      <c r="H958" s="7"/>
    </row>
    <row r="959">
      <c r="H959" s="7"/>
    </row>
    <row r="960">
      <c r="H960" s="7"/>
    </row>
    <row r="961">
      <c r="H961" s="7"/>
    </row>
    <row r="962">
      <c r="H962" s="7"/>
    </row>
    <row r="963">
      <c r="H963" s="7"/>
    </row>
    <row r="964">
      <c r="H964" s="7"/>
    </row>
    <row r="965">
      <c r="H965" s="7"/>
    </row>
    <row r="966">
      <c r="H966" s="7"/>
    </row>
    <row r="967">
      <c r="H967" s="7"/>
    </row>
    <row r="968">
      <c r="H968" s="7"/>
    </row>
    <row r="969">
      <c r="H969" s="7"/>
    </row>
    <row r="970">
      <c r="H970" s="7"/>
    </row>
    <row r="971">
      <c r="H971" s="7"/>
    </row>
    <row r="972">
      <c r="H972" s="7"/>
    </row>
    <row r="973">
      <c r="H973" s="7"/>
    </row>
    <row r="974">
      <c r="H974" s="7"/>
    </row>
    <row r="975">
      <c r="H975" s="7"/>
    </row>
    <row r="976">
      <c r="H976" s="7"/>
    </row>
    <row r="977">
      <c r="H977" s="7"/>
    </row>
    <row r="978">
      <c r="H978" s="7"/>
    </row>
    <row r="979">
      <c r="H979" s="7"/>
    </row>
    <row r="980">
      <c r="H980" s="7"/>
    </row>
    <row r="981">
      <c r="H981" s="7"/>
    </row>
    <row r="982">
      <c r="H982" s="7"/>
    </row>
    <row r="983">
      <c r="H983" s="7"/>
    </row>
    <row r="984">
      <c r="H984" s="7"/>
    </row>
    <row r="985">
      <c r="H985" s="7"/>
    </row>
    <row r="986">
      <c r="H986" s="7"/>
    </row>
    <row r="987">
      <c r="H987" s="7"/>
    </row>
    <row r="988">
      <c r="H988" s="7"/>
    </row>
    <row r="989">
      <c r="H989" s="7"/>
    </row>
    <row r="990">
      <c r="H990" s="7"/>
    </row>
    <row r="991">
      <c r="H991" s="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2" t="s">
        <v>10</v>
      </c>
      <c r="L1" s="1" t="s">
        <v>11</v>
      </c>
    </row>
    <row r="2">
      <c r="A2" s="3">
        <v>45509.0</v>
      </c>
      <c r="B2" s="4">
        <v>1640.1</v>
      </c>
      <c r="C2" s="4">
        <v>1646.0</v>
      </c>
      <c r="D2" s="4">
        <v>1601.0</v>
      </c>
      <c r="E2" s="4">
        <v>1659.15</v>
      </c>
      <c r="F2" s="4">
        <v>1615.75</v>
      </c>
      <c r="G2" s="4">
        <v>1622.77</v>
      </c>
      <c r="H2" s="1" t="s">
        <v>13</v>
      </c>
      <c r="I2" s="1" t="s">
        <v>14</v>
      </c>
      <c r="J2" s="1" t="s">
        <v>15</v>
      </c>
      <c r="K2" s="6"/>
      <c r="L2" s="7"/>
      <c r="M2" s="8">
        <f t="shared" ref="M2:M496" si="1">VALUE(SUBSTITUTE(H2,",",""))</f>
        <v>20666817</v>
      </c>
    </row>
    <row r="3">
      <c r="A3" s="3">
        <v>45510.0</v>
      </c>
      <c r="B3" s="4">
        <v>1630.0</v>
      </c>
      <c r="C3" s="4">
        <v>1632.95</v>
      </c>
      <c r="D3" s="4">
        <v>1593.3</v>
      </c>
      <c r="E3" s="4">
        <v>1615.75</v>
      </c>
      <c r="F3" s="4">
        <v>1601.2</v>
      </c>
      <c r="G3" s="4">
        <v>1608.02</v>
      </c>
      <c r="H3" s="1" t="s">
        <v>22</v>
      </c>
      <c r="I3" s="1" t="s">
        <v>23</v>
      </c>
      <c r="J3" s="1" t="s">
        <v>24</v>
      </c>
      <c r="K3" s="6">
        <f t="shared" ref="K3:K496" si="2">(F3-F2)/F2</f>
        <v>-0.009005105988</v>
      </c>
      <c r="L3" s="7">
        <v>-0.0026210113237665773</v>
      </c>
      <c r="M3" s="8">
        <f t="shared" si="1"/>
        <v>22558025</v>
      </c>
    </row>
    <row r="4">
      <c r="A4" s="3">
        <v>45511.0</v>
      </c>
      <c r="B4" s="4">
        <v>1617.0</v>
      </c>
      <c r="C4" s="4">
        <v>1630.0</v>
      </c>
      <c r="D4" s="4">
        <v>1602.2</v>
      </c>
      <c r="E4" s="4">
        <v>1601.2</v>
      </c>
      <c r="F4" s="4">
        <v>1623.5</v>
      </c>
      <c r="G4" s="4">
        <v>1617.23</v>
      </c>
      <c r="H4" s="1" t="s">
        <v>31</v>
      </c>
      <c r="I4" s="1" t="s">
        <v>32</v>
      </c>
      <c r="J4" s="1" t="s">
        <v>34</v>
      </c>
      <c r="K4" s="6">
        <f t="shared" si="2"/>
        <v>0.01392705471</v>
      </c>
      <c r="L4" s="7">
        <v>0.012710195456506321</v>
      </c>
      <c r="M4" s="8">
        <f t="shared" si="1"/>
        <v>21173132</v>
      </c>
    </row>
    <row r="5">
      <c r="A5" s="3">
        <v>45512.0</v>
      </c>
      <c r="B5" s="4">
        <v>1624.0</v>
      </c>
      <c r="C5" s="4">
        <v>1653.3</v>
      </c>
      <c r="D5" s="4">
        <v>1619.25</v>
      </c>
      <c r="E5" s="4">
        <v>1623.5</v>
      </c>
      <c r="F5" s="4">
        <v>1642.7</v>
      </c>
      <c r="G5" s="4">
        <v>1638.73</v>
      </c>
      <c r="H5" s="1" t="s">
        <v>42</v>
      </c>
      <c r="I5" s="1" t="s">
        <v>44</v>
      </c>
      <c r="J5" s="1" t="s">
        <v>45</v>
      </c>
      <c r="K5" s="6">
        <f t="shared" si="2"/>
        <v>0.0118263012</v>
      </c>
      <c r="L5" s="7">
        <v>-0.007428747813561066</v>
      </c>
      <c r="M5" s="8">
        <f t="shared" si="1"/>
        <v>16988475</v>
      </c>
    </row>
    <row r="6">
      <c r="A6" s="3">
        <v>45513.0</v>
      </c>
      <c r="B6" s="4">
        <v>1652.0</v>
      </c>
      <c r="C6" s="4">
        <v>1662.55</v>
      </c>
      <c r="D6" s="4">
        <v>1645.8</v>
      </c>
      <c r="E6" s="4">
        <v>1642.7</v>
      </c>
      <c r="F6" s="4">
        <v>1650.2</v>
      </c>
      <c r="G6" s="4">
        <v>1655.58</v>
      </c>
      <c r="H6" s="1" t="s">
        <v>50</v>
      </c>
      <c r="I6" s="1" t="s">
        <v>51</v>
      </c>
      <c r="J6" s="1" t="s">
        <v>52</v>
      </c>
      <c r="K6" s="6">
        <f t="shared" si="2"/>
        <v>0.004565654106</v>
      </c>
      <c r="L6" s="7">
        <v>0.010386864037815649</v>
      </c>
      <c r="M6" s="8">
        <f t="shared" si="1"/>
        <v>13322309</v>
      </c>
    </row>
    <row r="7">
      <c r="A7" s="9">
        <v>45516.0</v>
      </c>
      <c r="B7" s="4">
        <v>1652.0</v>
      </c>
      <c r="C7" s="4">
        <v>1675.95</v>
      </c>
      <c r="D7" s="4">
        <v>1647.35</v>
      </c>
      <c r="E7" s="4">
        <v>1650.2</v>
      </c>
      <c r="F7" s="4">
        <v>1660.1</v>
      </c>
      <c r="G7" s="4">
        <v>1664.63</v>
      </c>
      <c r="H7" s="1" t="s">
        <v>58</v>
      </c>
      <c r="I7" s="1" t="s">
        <v>60</v>
      </c>
      <c r="J7" s="1" t="s">
        <v>61</v>
      </c>
      <c r="K7" s="6">
        <f t="shared" si="2"/>
        <v>0.005999272815</v>
      </c>
      <c r="L7" s="7">
        <v>-8.412844977941931E-4</v>
      </c>
      <c r="M7" s="8">
        <f t="shared" si="1"/>
        <v>19658098</v>
      </c>
    </row>
    <row r="8">
      <c r="A8" s="9">
        <v>45517.0</v>
      </c>
      <c r="B8" s="4">
        <v>1628.0</v>
      </c>
      <c r="C8" s="4">
        <v>1632.4</v>
      </c>
      <c r="D8" s="4">
        <v>1601.15</v>
      </c>
      <c r="E8" s="4">
        <v>1660.1</v>
      </c>
      <c r="F8" s="4">
        <v>1603.2</v>
      </c>
      <c r="G8" s="4">
        <v>1613.32</v>
      </c>
      <c r="H8" s="1" t="s">
        <v>65</v>
      </c>
      <c r="I8" s="1" t="s">
        <v>67</v>
      </c>
      <c r="J8" s="1" t="s">
        <v>69</v>
      </c>
      <c r="K8" s="6">
        <f t="shared" si="2"/>
        <v>-0.03427504367</v>
      </c>
      <c r="L8" s="7">
        <v>-0.008543146999630345</v>
      </c>
      <c r="M8" s="8">
        <f t="shared" si="1"/>
        <v>27027521</v>
      </c>
    </row>
    <row r="9">
      <c r="A9" s="9">
        <v>45518.0</v>
      </c>
      <c r="B9" s="4">
        <v>1606.5</v>
      </c>
      <c r="C9" s="4">
        <v>1613.7</v>
      </c>
      <c r="D9" s="4">
        <v>1603.2</v>
      </c>
      <c r="E9" s="4">
        <v>1603.2</v>
      </c>
      <c r="F9" s="4">
        <v>1607.8</v>
      </c>
      <c r="G9" s="4">
        <v>1607.97</v>
      </c>
      <c r="H9" s="1" t="s">
        <v>75</v>
      </c>
      <c r="I9" s="1" t="s">
        <v>77</v>
      </c>
      <c r="J9" s="1" t="s">
        <v>79</v>
      </c>
      <c r="K9" s="6">
        <f t="shared" si="2"/>
        <v>0.002869261477</v>
      </c>
      <c r="L9" s="7">
        <v>1.9677699987571978E-4</v>
      </c>
      <c r="M9" s="8">
        <f t="shared" si="1"/>
        <v>16167214</v>
      </c>
    </row>
    <row r="10">
      <c r="A10" s="9">
        <v>45520.0</v>
      </c>
      <c r="B10" s="4">
        <v>1628.5</v>
      </c>
      <c r="C10" s="4">
        <v>1634.15</v>
      </c>
      <c r="D10" s="4">
        <v>1611.0</v>
      </c>
      <c r="E10" s="4">
        <v>1607.8</v>
      </c>
      <c r="F10" s="4">
        <v>1632.1</v>
      </c>
      <c r="G10" s="4">
        <v>1624.71</v>
      </c>
      <c r="H10" s="1" t="s">
        <v>85</v>
      </c>
      <c r="I10" s="1" t="s">
        <v>86</v>
      </c>
      <c r="J10" s="1" t="s">
        <v>89</v>
      </c>
      <c r="K10" s="6">
        <f t="shared" si="2"/>
        <v>0.01511382013</v>
      </c>
      <c r="L10" s="7">
        <v>0.01645974631115719</v>
      </c>
      <c r="M10" s="8">
        <f t="shared" si="1"/>
        <v>13924623</v>
      </c>
    </row>
    <row r="11">
      <c r="A11" s="9">
        <v>45523.0</v>
      </c>
      <c r="B11" s="4">
        <v>1637.65</v>
      </c>
      <c r="C11" s="4">
        <v>1637.65</v>
      </c>
      <c r="D11" s="4">
        <v>1623.7</v>
      </c>
      <c r="E11" s="4">
        <v>1632.1</v>
      </c>
      <c r="F11" s="4">
        <v>1631.55</v>
      </c>
      <c r="G11" s="4">
        <v>1628.46</v>
      </c>
      <c r="H11" s="1" t="s">
        <v>92</v>
      </c>
      <c r="I11" s="1" t="s">
        <v>93</v>
      </c>
      <c r="J11" s="1" t="s">
        <v>94</v>
      </c>
      <c r="K11" s="6">
        <f t="shared" si="2"/>
        <v>-0.0003369891551</v>
      </c>
      <c r="L11" s="7">
        <v>0.0012835584314508488</v>
      </c>
      <c r="M11" s="8">
        <f t="shared" si="1"/>
        <v>9751082</v>
      </c>
    </row>
    <row r="12">
      <c r="A12" s="9">
        <v>45524.0</v>
      </c>
      <c r="B12" s="4">
        <v>1627.45</v>
      </c>
      <c r="C12" s="4">
        <v>1646.0</v>
      </c>
      <c r="D12" s="4">
        <v>1627.45</v>
      </c>
      <c r="E12" s="4">
        <v>1631.55</v>
      </c>
      <c r="F12" s="4">
        <v>1637.7</v>
      </c>
      <c r="G12" s="4">
        <v>1639.14</v>
      </c>
      <c r="H12" s="1" t="s">
        <v>101</v>
      </c>
      <c r="I12" s="1" t="s">
        <v>102</v>
      </c>
      <c r="J12" s="1" t="s">
        <v>103</v>
      </c>
      <c r="K12" s="6">
        <f t="shared" si="2"/>
        <v>0.003769421716</v>
      </c>
      <c r="L12" s="7">
        <v>0.005135791215029599</v>
      </c>
      <c r="M12" s="8">
        <f t="shared" si="1"/>
        <v>15567247</v>
      </c>
    </row>
    <row r="13">
      <c r="A13" s="9">
        <v>45525.0</v>
      </c>
      <c r="B13" s="4">
        <v>1628.1</v>
      </c>
      <c r="C13" s="4">
        <v>1634.55</v>
      </c>
      <c r="D13" s="4">
        <v>1617.8</v>
      </c>
      <c r="E13" s="4">
        <v>1637.7</v>
      </c>
      <c r="F13" s="4">
        <v>1625.8</v>
      </c>
      <c r="G13" s="4">
        <v>1624.85</v>
      </c>
      <c r="H13" s="1" t="s">
        <v>113</v>
      </c>
      <c r="I13" s="1" t="s">
        <v>114</v>
      </c>
      <c r="J13" s="1" t="s">
        <v>115</v>
      </c>
      <c r="K13" s="6">
        <f t="shared" si="2"/>
        <v>-0.007266288087</v>
      </c>
      <c r="L13" s="7">
        <v>0.0028887984663254437</v>
      </c>
      <c r="M13" s="8">
        <f t="shared" si="1"/>
        <v>23815452</v>
      </c>
    </row>
    <row r="14">
      <c r="A14" s="9">
        <v>45526.0</v>
      </c>
      <c r="B14" s="4">
        <v>1632.0</v>
      </c>
      <c r="C14" s="4">
        <v>1638.3</v>
      </c>
      <c r="D14" s="4">
        <v>1628.0</v>
      </c>
      <c r="E14" s="4">
        <v>1625.8</v>
      </c>
      <c r="F14" s="4">
        <v>1631.3</v>
      </c>
      <c r="G14" s="4">
        <v>1632.58</v>
      </c>
      <c r="H14" s="1" t="s">
        <v>120</v>
      </c>
      <c r="I14" s="1" t="s">
        <v>122</v>
      </c>
      <c r="J14" s="1" t="s">
        <v>124</v>
      </c>
      <c r="K14" s="6">
        <f t="shared" si="2"/>
        <v>0.003382949932</v>
      </c>
      <c r="L14" s="7">
        <v>0.0016673260611540994</v>
      </c>
      <c r="M14" s="8">
        <f t="shared" si="1"/>
        <v>10650319</v>
      </c>
    </row>
    <row r="15">
      <c r="A15" s="9">
        <v>45527.0</v>
      </c>
      <c r="B15" s="4">
        <v>1634.0</v>
      </c>
      <c r="C15" s="4">
        <v>1634.0</v>
      </c>
      <c r="D15" s="4">
        <v>1623.0</v>
      </c>
      <c r="E15" s="4">
        <v>1631.3</v>
      </c>
      <c r="F15" s="4">
        <v>1625.05</v>
      </c>
      <c r="G15" s="4">
        <v>1627.63</v>
      </c>
      <c r="H15" s="1" t="s">
        <v>130</v>
      </c>
      <c r="I15" s="1" t="s">
        <v>132</v>
      </c>
      <c r="J15" s="1" t="s">
        <v>133</v>
      </c>
      <c r="K15" s="6">
        <f t="shared" si="2"/>
        <v>-0.00383130019</v>
      </c>
      <c r="L15" s="7">
        <v>4.695403341193179E-4</v>
      </c>
      <c r="M15" s="8">
        <f t="shared" si="1"/>
        <v>10166711</v>
      </c>
    </row>
    <row r="16">
      <c r="A16" s="9">
        <v>45530.0</v>
      </c>
      <c r="B16" s="4">
        <v>1632.2</v>
      </c>
      <c r="C16" s="4">
        <v>1647.95</v>
      </c>
      <c r="D16" s="4">
        <v>1632.2</v>
      </c>
      <c r="E16" s="4">
        <v>1625.05</v>
      </c>
      <c r="F16" s="4">
        <v>1639.95</v>
      </c>
      <c r="G16" s="4">
        <v>1642.31</v>
      </c>
      <c r="H16" s="1" t="s">
        <v>137</v>
      </c>
      <c r="I16" s="1" t="s">
        <v>139</v>
      </c>
      <c r="J16" s="1" t="s">
        <v>141</v>
      </c>
      <c r="K16" s="6">
        <f t="shared" si="2"/>
        <v>0.009168948648</v>
      </c>
      <c r="L16" s="7">
        <v>0.0075514187361393325</v>
      </c>
      <c r="M16" s="8">
        <f t="shared" si="1"/>
        <v>11182133</v>
      </c>
    </row>
    <row r="17">
      <c r="A17" s="9">
        <v>45531.0</v>
      </c>
      <c r="B17" s="4">
        <v>1643.4</v>
      </c>
      <c r="C17" s="4">
        <v>1647.4</v>
      </c>
      <c r="D17" s="4">
        <v>1632.2</v>
      </c>
      <c r="E17" s="4">
        <v>1639.95</v>
      </c>
      <c r="F17" s="4">
        <v>1637.75</v>
      </c>
      <c r="G17" s="4">
        <v>1639.59</v>
      </c>
      <c r="H17" s="1" t="s">
        <v>149</v>
      </c>
      <c r="I17" s="1" t="s">
        <v>150</v>
      </c>
      <c r="J17" s="1" t="s">
        <v>151</v>
      </c>
      <c r="K17" s="6">
        <f t="shared" si="2"/>
        <v>-0.001341504314</v>
      </c>
      <c r="L17" s="7">
        <v>2.858787873942031E-4</v>
      </c>
      <c r="M17" s="8">
        <f t="shared" si="1"/>
        <v>17886622</v>
      </c>
    </row>
    <row r="18">
      <c r="A18" s="9">
        <v>45532.0</v>
      </c>
      <c r="B18" s="4">
        <v>1637.75</v>
      </c>
      <c r="C18" s="4">
        <v>1639.75</v>
      </c>
      <c r="D18" s="4">
        <v>1630.2</v>
      </c>
      <c r="E18" s="4">
        <v>1637.75</v>
      </c>
      <c r="F18" s="4">
        <v>1637.1</v>
      </c>
      <c r="G18" s="4">
        <v>1636.29</v>
      </c>
      <c r="H18" s="1" t="s">
        <v>158</v>
      </c>
      <c r="I18" s="1" t="s">
        <v>159</v>
      </c>
      <c r="J18" s="1" t="s">
        <v>160</v>
      </c>
      <c r="K18" s="6">
        <f t="shared" si="2"/>
        <v>-0.0003968859716</v>
      </c>
      <c r="L18" s="7">
        <v>0.0013830180571793446</v>
      </c>
      <c r="M18" s="8">
        <f t="shared" si="1"/>
        <v>13460594</v>
      </c>
    </row>
    <row r="19">
      <c r="A19" s="9">
        <v>45533.0</v>
      </c>
      <c r="B19" s="4">
        <v>1642.0</v>
      </c>
      <c r="C19" s="4">
        <v>1644.4</v>
      </c>
      <c r="D19" s="4">
        <v>1631.15</v>
      </c>
      <c r="E19" s="4">
        <v>1637.1</v>
      </c>
      <c r="F19" s="4">
        <v>1638.55</v>
      </c>
      <c r="G19" s="4">
        <v>1637.56</v>
      </c>
      <c r="H19" s="1" t="s">
        <v>169</v>
      </c>
      <c r="I19" s="1" t="s">
        <v>170</v>
      </c>
      <c r="J19" s="1" t="s">
        <v>171</v>
      </c>
      <c r="K19" s="6">
        <f t="shared" si="2"/>
        <v>0.0008857125405</v>
      </c>
      <c r="L19" s="7">
        <v>0.003975674936682674</v>
      </c>
      <c r="M19" s="8">
        <f t="shared" si="1"/>
        <v>24526302</v>
      </c>
    </row>
    <row r="20">
      <c r="A20" s="9">
        <v>45534.0</v>
      </c>
      <c r="B20" s="4">
        <v>1656.0</v>
      </c>
      <c r="C20" s="4">
        <v>1662.0</v>
      </c>
      <c r="D20" s="4">
        <v>1621.15</v>
      </c>
      <c r="E20" s="4">
        <v>1638.55</v>
      </c>
      <c r="F20" s="4">
        <v>1636.9</v>
      </c>
      <c r="G20" s="4">
        <v>1638.34</v>
      </c>
      <c r="H20" s="1" t="s">
        <v>178</v>
      </c>
      <c r="I20" s="1" t="s">
        <v>179</v>
      </c>
      <c r="J20" s="1" t="s">
        <v>180</v>
      </c>
      <c r="K20" s="6">
        <f t="shared" si="2"/>
        <v>-0.001006987886</v>
      </c>
      <c r="L20" s="7">
        <v>0.00333771337808801</v>
      </c>
      <c r="M20" s="8">
        <f t="shared" si="1"/>
        <v>222671050</v>
      </c>
    </row>
    <row r="21">
      <c r="A21" s="3">
        <v>45537.0</v>
      </c>
      <c r="B21" s="4">
        <v>1646.8</v>
      </c>
      <c r="C21" s="4">
        <v>1646.8</v>
      </c>
      <c r="D21" s="4">
        <v>1623.2</v>
      </c>
      <c r="E21" s="4">
        <v>1636.9</v>
      </c>
      <c r="F21" s="4">
        <v>1626.95</v>
      </c>
      <c r="G21" s="4">
        <v>1631.94</v>
      </c>
      <c r="H21" s="1" t="s">
        <v>189</v>
      </c>
      <c r="I21" s="1" t="s">
        <v>190</v>
      </c>
      <c r="J21" s="1" t="s">
        <v>191</v>
      </c>
      <c r="K21" s="6">
        <f t="shared" si="2"/>
        <v>-0.006078563138</v>
      </c>
      <c r="L21" s="7">
        <v>0.0016959965763059478</v>
      </c>
      <c r="M21" s="8">
        <f t="shared" si="1"/>
        <v>17024840</v>
      </c>
    </row>
    <row r="22">
      <c r="A22" s="3">
        <v>45538.0</v>
      </c>
      <c r="B22" s="4">
        <v>1634.0</v>
      </c>
      <c r="C22" s="4">
        <v>1639.95</v>
      </c>
      <c r="D22" s="4">
        <v>1624.6</v>
      </c>
      <c r="E22" s="4">
        <v>1626.95</v>
      </c>
      <c r="F22" s="4">
        <v>1637.35</v>
      </c>
      <c r="G22" s="4">
        <v>1632.11</v>
      </c>
      <c r="H22" s="1" t="s">
        <v>198</v>
      </c>
      <c r="I22" s="1" t="s">
        <v>201</v>
      </c>
      <c r="J22" s="1" t="s">
        <v>202</v>
      </c>
      <c r="K22" s="6">
        <f t="shared" si="2"/>
        <v>0.006392329205</v>
      </c>
      <c r="L22" s="7">
        <v>4.549284575543114E-5</v>
      </c>
      <c r="M22" s="8">
        <f t="shared" si="1"/>
        <v>18641430</v>
      </c>
    </row>
    <row r="23">
      <c r="A23" s="3">
        <v>45539.0</v>
      </c>
      <c r="B23" s="4">
        <v>1639.0</v>
      </c>
      <c r="C23" s="4">
        <v>1644.8</v>
      </c>
      <c r="D23" s="4">
        <v>1632.0</v>
      </c>
      <c r="E23" s="4">
        <v>1637.35</v>
      </c>
      <c r="F23" s="4">
        <v>1641.8</v>
      </c>
      <c r="G23" s="4">
        <v>1639.54</v>
      </c>
      <c r="H23" s="1" t="s">
        <v>204</v>
      </c>
      <c r="I23" s="1" t="s">
        <v>208</v>
      </c>
      <c r="J23" s="1" t="s">
        <v>211</v>
      </c>
      <c r="K23" s="6">
        <f t="shared" si="2"/>
        <v>0.002717806211</v>
      </c>
      <c r="L23" s="7">
        <v>-0.0032100665154262318</v>
      </c>
      <c r="M23" s="8">
        <f t="shared" si="1"/>
        <v>12341372</v>
      </c>
    </row>
    <row r="24">
      <c r="A24" s="3">
        <v>45540.0</v>
      </c>
      <c r="B24" s="4">
        <v>1646.0</v>
      </c>
      <c r="C24" s="4">
        <v>1649.9</v>
      </c>
      <c r="D24" s="4">
        <v>1642.0</v>
      </c>
      <c r="E24" s="4">
        <v>1641.8</v>
      </c>
      <c r="F24" s="4">
        <v>1645.45</v>
      </c>
      <c r="G24" s="4">
        <v>1645.43</v>
      </c>
      <c r="H24" s="1" t="s">
        <v>216</v>
      </c>
      <c r="I24" s="1" t="s">
        <v>218</v>
      </c>
      <c r="J24" s="1" t="s">
        <v>220</v>
      </c>
      <c r="K24" s="6">
        <f t="shared" si="2"/>
        <v>0.002223169692</v>
      </c>
      <c r="L24" s="7">
        <v>-0.0021270938580165715</v>
      </c>
      <c r="M24" s="8">
        <f t="shared" si="1"/>
        <v>11438159</v>
      </c>
    </row>
    <row r="25">
      <c r="A25" s="3">
        <v>45541.0</v>
      </c>
      <c r="B25" s="4">
        <v>1638.3</v>
      </c>
      <c r="C25" s="4">
        <v>1647.75</v>
      </c>
      <c r="D25" s="4">
        <v>1634.1</v>
      </c>
      <c r="E25" s="4">
        <v>1645.45</v>
      </c>
      <c r="F25" s="4">
        <v>1636.95</v>
      </c>
      <c r="G25" s="4">
        <v>1639.77</v>
      </c>
      <c r="H25" s="1" t="s">
        <v>227</v>
      </c>
      <c r="I25" s="1" t="s">
        <v>228</v>
      </c>
      <c r="J25" s="1" t="s">
        <v>229</v>
      </c>
      <c r="K25" s="6">
        <f t="shared" si="2"/>
        <v>-0.005165760126</v>
      </c>
      <c r="L25" s="7">
        <v>-0.011650381187587128</v>
      </c>
      <c r="M25" s="8">
        <f t="shared" si="1"/>
        <v>13014801</v>
      </c>
    </row>
    <row r="26">
      <c r="A26" s="3">
        <v>45544.0</v>
      </c>
      <c r="B26" s="4">
        <v>1638.0</v>
      </c>
      <c r="C26" s="4">
        <v>1648.5</v>
      </c>
      <c r="D26" s="4">
        <v>1630.1</v>
      </c>
      <c r="E26" s="4">
        <v>1636.95</v>
      </c>
      <c r="F26" s="4">
        <v>1646.5</v>
      </c>
      <c r="G26" s="4">
        <v>1640.85</v>
      </c>
      <c r="H26" s="1" t="s">
        <v>239</v>
      </c>
      <c r="I26" s="1" t="s">
        <v>240</v>
      </c>
      <c r="J26" s="1" t="s">
        <v>241</v>
      </c>
      <c r="K26" s="6">
        <f t="shared" si="2"/>
        <v>0.005834020587</v>
      </c>
      <c r="L26" s="7">
        <v>0.0033900487482974306</v>
      </c>
      <c r="M26" s="8">
        <f t="shared" si="1"/>
        <v>11896457</v>
      </c>
    </row>
    <row r="27">
      <c r="A27" s="9">
        <v>45545.0</v>
      </c>
      <c r="B27" s="4">
        <v>1654.0</v>
      </c>
      <c r="C27" s="4">
        <v>1654.0</v>
      </c>
      <c r="D27" s="4">
        <v>1638.0</v>
      </c>
      <c r="E27" s="4">
        <v>1646.5</v>
      </c>
      <c r="F27" s="4">
        <v>1650.35</v>
      </c>
      <c r="G27" s="4">
        <v>1648.2</v>
      </c>
      <c r="H27" s="1" t="s">
        <v>249</v>
      </c>
      <c r="I27" s="1" t="s">
        <v>251</v>
      </c>
      <c r="J27" s="1" t="s">
        <v>253</v>
      </c>
      <c r="K27" s="6">
        <f t="shared" si="2"/>
        <v>0.00233829335</v>
      </c>
      <c r="L27" s="7">
        <v>0.0041986814455974835</v>
      </c>
      <c r="M27" s="8">
        <f t="shared" si="1"/>
        <v>13303323</v>
      </c>
    </row>
    <row r="28">
      <c r="A28" s="9">
        <v>45546.0</v>
      </c>
      <c r="B28" s="4">
        <v>1650.4</v>
      </c>
      <c r="C28" s="4">
        <v>1652.5</v>
      </c>
      <c r="D28" s="4">
        <v>1639.2</v>
      </c>
      <c r="E28" s="4">
        <v>1650.35</v>
      </c>
      <c r="F28" s="4">
        <v>1643.9</v>
      </c>
      <c r="G28" s="4">
        <v>1645.85</v>
      </c>
      <c r="H28" s="1" t="s">
        <v>259</v>
      </c>
      <c r="I28" s="1" t="s">
        <v>261</v>
      </c>
      <c r="J28" s="1" t="s">
        <v>262</v>
      </c>
      <c r="K28" s="6">
        <f t="shared" si="2"/>
        <v>-0.003908261884</v>
      </c>
      <c r="L28" s="7">
        <v>-0.004897947773859688</v>
      </c>
      <c r="M28" s="8">
        <f t="shared" si="1"/>
        <v>11113342</v>
      </c>
    </row>
    <row r="29">
      <c r="A29" s="9">
        <v>45547.0</v>
      </c>
      <c r="B29" s="4">
        <v>1654.0</v>
      </c>
      <c r="C29" s="4">
        <v>1670.0</v>
      </c>
      <c r="D29" s="4">
        <v>1647.05</v>
      </c>
      <c r="E29" s="4">
        <v>1643.9</v>
      </c>
      <c r="F29" s="4">
        <v>1666.6</v>
      </c>
      <c r="G29" s="4">
        <v>1659.83</v>
      </c>
      <c r="H29" s="1" t="s">
        <v>268</v>
      </c>
      <c r="I29" s="1" t="s">
        <v>271</v>
      </c>
      <c r="J29" s="1" t="s">
        <v>274</v>
      </c>
      <c r="K29" s="6">
        <f t="shared" si="2"/>
        <v>0.01380862583</v>
      </c>
      <c r="L29" s="7">
        <v>0.018879585206945083</v>
      </c>
      <c r="M29" s="8">
        <f t="shared" si="1"/>
        <v>16212023</v>
      </c>
    </row>
    <row r="30">
      <c r="A30" s="9">
        <v>45548.0</v>
      </c>
      <c r="B30" s="4">
        <v>1674.0</v>
      </c>
      <c r="C30" s="4">
        <v>1674.0</v>
      </c>
      <c r="D30" s="4">
        <v>1657.05</v>
      </c>
      <c r="E30" s="4">
        <v>1666.6</v>
      </c>
      <c r="F30" s="4">
        <v>1665.95</v>
      </c>
      <c r="G30" s="4">
        <v>1663.66</v>
      </c>
      <c r="H30" s="1" t="s">
        <v>280</v>
      </c>
      <c r="I30" s="1" t="s">
        <v>283</v>
      </c>
      <c r="J30" s="1" t="s">
        <v>286</v>
      </c>
      <c r="K30" s="6">
        <f t="shared" si="2"/>
        <v>-0.0003900156006</v>
      </c>
      <c r="L30" s="7">
        <v>-0.0012761482380095812</v>
      </c>
      <c r="M30" s="8">
        <f t="shared" si="1"/>
        <v>11930266</v>
      </c>
    </row>
    <row r="31">
      <c r="A31" s="9">
        <v>45551.0</v>
      </c>
      <c r="B31" s="4">
        <v>1667.0</v>
      </c>
      <c r="C31" s="4">
        <v>1677.8</v>
      </c>
      <c r="D31" s="4">
        <v>1664.05</v>
      </c>
      <c r="E31" s="4">
        <v>1665.95</v>
      </c>
      <c r="F31" s="4">
        <v>1670.95</v>
      </c>
      <c r="G31" s="4">
        <v>1670.83</v>
      </c>
      <c r="H31" s="1" t="s">
        <v>293</v>
      </c>
      <c r="I31" s="1" t="s">
        <v>294</v>
      </c>
      <c r="J31" s="1" t="s">
        <v>296</v>
      </c>
      <c r="K31" s="6">
        <f t="shared" si="2"/>
        <v>0.003001290555</v>
      </c>
      <c r="L31" s="7">
        <v>0.0010746751326089958</v>
      </c>
      <c r="M31" s="8">
        <f t="shared" si="1"/>
        <v>7586410</v>
      </c>
    </row>
    <row r="32">
      <c r="A32" s="9">
        <v>45552.0</v>
      </c>
      <c r="B32" s="4">
        <v>1678.0</v>
      </c>
      <c r="C32" s="4">
        <v>1678.0</v>
      </c>
      <c r="D32" s="4">
        <v>1664.15</v>
      </c>
      <c r="E32" s="4">
        <v>1670.95</v>
      </c>
      <c r="F32" s="4">
        <v>1668.8</v>
      </c>
      <c r="G32" s="4">
        <v>1668.9</v>
      </c>
      <c r="H32" s="1" t="s">
        <v>305</v>
      </c>
      <c r="I32" s="1" t="s">
        <v>306</v>
      </c>
      <c r="J32" s="1" t="s">
        <v>308</v>
      </c>
      <c r="K32" s="6">
        <f t="shared" si="2"/>
        <v>-0.001286693198</v>
      </c>
      <c r="L32" s="7">
        <v>0.0013709558280395637</v>
      </c>
      <c r="M32" s="8">
        <f t="shared" si="1"/>
        <v>10063561</v>
      </c>
    </row>
    <row r="33">
      <c r="A33" s="9">
        <v>45553.0</v>
      </c>
      <c r="B33" s="4">
        <v>1671.85</v>
      </c>
      <c r="C33" s="4">
        <v>1698.9</v>
      </c>
      <c r="D33" s="4">
        <v>1671.1</v>
      </c>
      <c r="E33" s="4">
        <v>1668.8</v>
      </c>
      <c r="F33" s="4">
        <v>1694.8</v>
      </c>
      <c r="G33" s="4">
        <v>1691.3</v>
      </c>
      <c r="H33" s="1" t="s">
        <v>316</v>
      </c>
      <c r="I33" s="1" t="s">
        <v>319</v>
      </c>
      <c r="J33" s="1" t="s">
        <v>321</v>
      </c>
      <c r="K33" s="6">
        <f t="shared" si="2"/>
        <v>0.01558005753</v>
      </c>
      <c r="L33" s="7">
        <v>-0.001612995233795791</v>
      </c>
      <c r="M33" s="8">
        <f t="shared" si="1"/>
        <v>20458671</v>
      </c>
    </row>
    <row r="34">
      <c r="A34" s="9">
        <v>45554.0</v>
      </c>
      <c r="B34" s="4">
        <v>1699.2</v>
      </c>
      <c r="C34" s="4">
        <v>1719.0</v>
      </c>
      <c r="D34" s="4">
        <v>1699.15</v>
      </c>
      <c r="E34" s="4">
        <v>1694.8</v>
      </c>
      <c r="F34" s="4">
        <v>1708.5</v>
      </c>
      <c r="G34" s="4">
        <v>1710.95</v>
      </c>
      <c r="H34" s="1" t="s">
        <v>328</v>
      </c>
      <c r="I34" s="1" t="s">
        <v>331</v>
      </c>
      <c r="J34" s="1" t="s">
        <v>334</v>
      </c>
      <c r="K34" s="6">
        <f t="shared" si="2"/>
        <v>0.008083549681</v>
      </c>
      <c r="L34" s="7">
        <v>0.0015072376963103215</v>
      </c>
      <c r="M34" s="8">
        <f t="shared" si="1"/>
        <v>15325888</v>
      </c>
    </row>
    <row r="35">
      <c r="A35" s="9">
        <v>45555.0</v>
      </c>
      <c r="B35" s="4">
        <v>1716.5</v>
      </c>
      <c r="C35" s="4">
        <v>1744.95</v>
      </c>
      <c r="D35" s="4">
        <v>1707.55</v>
      </c>
      <c r="E35" s="4">
        <v>1708.5</v>
      </c>
      <c r="F35" s="4">
        <v>1741.2</v>
      </c>
      <c r="G35" s="4">
        <v>1734.6</v>
      </c>
      <c r="H35" s="1" t="s">
        <v>345</v>
      </c>
      <c r="I35" s="1" t="s">
        <v>346</v>
      </c>
      <c r="J35" s="1" t="s">
        <v>347</v>
      </c>
      <c r="K35" s="6">
        <f t="shared" si="2"/>
        <v>0.01913959614</v>
      </c>
      <c r="L35" s="7">
        <v>0.014760503308965348</v>
      </c>
      <c r="M35" s="8">
        <f t="shared" si="1"/>
        <v>30311693</v>
      </c>
    </row>
    <row r="36">
      <c r="A36" s="9">
        <v>45558.0</v>
      </c>
      <c r="B36" s="4">
        <v>1749.0</v>
      </c>
      <c r="C36" s="4">
        <v>1766.35</v>
      </c>
      <c r="D36" s="4">
        <v>1740.25</v>
      </c>
      <c r="E36" s="4">
        <v>1741.2</v>
      </c>
      <c r="F36" s="4">
        <v>1759.8</v>
      </c>
      <c r="G36" s="4">
        <v>1756.93</v>
      </c>
      <c r="H36" s="1" t="s">
        <v>355</v>
      </c>
      <c r="I36" s="1" t="s">
        <v>357</v>
      </c>
      <c r="J36" s="1" t="s">
        <v>359</v>
      </c>
      <c r="K36" s="6">
        <f t="shared" si="2"/>
        <v>0.01068228808</v>
      </c>
      <c r="L36" s="7">
        <v>0.005742324342453401</v>
      </c>
      <c r="M36" s="8">
        <f t="shared" si="1"/>
        <v>13482675</v>
      </c>
    </row>
    <row r="37">
      <c r="A37" s="9">
        <v>45559.0</v>
      </c>
      <c r="B37" s="4">
        <v>1765.0</v>
      </c>
      <c r="C37" s="4">
        <v>1781.65</v>
      </c>
      <c r="D37" s="4">
        <v>1754.25</v>
      </c>
      <c r="E37" s="4">
        <v>1759.8</v>
      </c>
      <c r="F37" s="4">
        <v>1768.05</v>
      </c>
      <c r="G37" s="4">
        <v>1768.8</v>
      </c>
      <c r="H37" s="1" t="s">
        <v>364</v>
      </c>
      <c r="I37" s="1" t="s">
        <v>366</v>
      </c>
      <c r="J37" s="1" t="s">
        <v>369</v>
      </c>
      <c r="K37" s="6">
        <f t="shared" si="2"/>
        <v>0.004688032731</v>
      </c>
      <c r="L37" s="7">
        <v>5.2045082607195824E-5</v>
      </c>
      <c r="M37" s="8">
        <f t="shared" si="1"/>
        <v>16519518</v>
      </c>
    </row>
    <row r="38">
      <c r="A38" s="9">
        <v>45560.0</v>
      </c>
      <c r="B38" s="4">
        <v>1760.15</v>
      </c>
      <c r="C38" s="4">
        <v>1788.0</v>
      </c>
      <c r="D38" s="4">
        <v>1760.15</v>
      </c>
      <c r="E38" s="4">
        <v>1768.05</v>
      </c>
      <c r="F38" s="4">
        <v>1779.1</v>
      </c>
      <c r="G38" s="4">
        <v>1778.97</v>
      </c>
      <c r="H38" s="1" t="s">
        <v>375</v>
      </c>
      <c r="I38" s="1" t="s">
        <v>377</v>
      </c>
      <c r="J38" s="1" t="s">
        <v>379</v>
      </c>
      <c r="K38" s="6">
        <f t="shared" si="2"/>
        <v>0.006249823252</v>
      </c>
      <c r="L38" s="7">
        <v>0.0024575565527131422</v>
      </c>
      <c r="M38" s="8">
        <f t="shared" si="1"/>
        <v>15982656</v>
      </c>
    </row>
    <row r="39">
      <c r="A39" s="9">
        <v>45561.0</v>
      </c>
      <c r="B39" s="4">
        <v>1773.05</v>
      </c>
      <c r="C39" s="4">
        <v>1788.0</v>
      </c>
      <c r="D39" s="4">
        <v>1768.05</v>
      </c>
      <c r="E39" s="4">
        <v>1779.1</v>
      </c>
      <c r="F39" s="4">
        <v>1783.45</v>
      </c>
      <c r="G39" s="4">
        <v>1778.51</v>
      </c>
      <c r="H39" s="1" t="s">
        <v>387</v>
      </c>
      <c r="I39" s="1" t="s">
        <v>388</v>
      </c>
      <c r="J39" s="1" t="s">
        <v>391</v>
      </c>
      <c r="K39" s="6">
        <f t="shared" si="2"/>
        <v>0.002445056489</v>
      </c>
      <c r="L39" s="7">
        <v>0.008148699342220293</v>
      </c>
      <c r="M39" s="8">
        <f t="shared" si="1"/>
        <v>15949822</v>
      </c>
    </row>
    <row r="40">
      <c r="A40" s="9">
        <v>45562.0</v>
      </c>
      <c r="B40" s="4">
        <v>1777.0</v>
      </c>
      <c r="C40" s="4">
        <v>1778.2</v>
      </c>
      <c r="D40" s="4">
        <v>1750.0</v>
      </c>
      <c r="E40" s="4">
        <v>1783.45</v>
      </c>
      <c r="F40" s="4">
        <v>1752.65</v>
      </c>
      <c r="G40" s="4">
        <v>1759.73</v>
      </c>
      <c r="H40" s="1" t="s">
        <v>399</v>
      </c>
      <c r="I40" s="1" t="s">
        <v>402</v>
      </c>
      <c r="J40" s="1" t="s">
        <v>405</v>
      </c>
      <c r="K40" s="6">
        <f t="shared" si="2"/>
        <v>-0.01726989823</v>
      </c>
      <c r="L40" s="7">
        <v>-0.0014151636116042862</v>
      </c>
      <c r="M40" s="8">
        <f t="shared" si="1"/>
        <v>17806751</v>
      </c>
    </row>
    <row r="41">
      <c r="A41" s="9">
        <v>45565.0</v>
      </c>
      <c r="B41" s="4">
        <v>1748.8</v>
      </c>
      <c r="C41" s="4">
        <v>1751.45</v>
      </c>
      <c r="D41" s="4">
        <v>1724.4</v>
      </c>
      <c r="E41" s="4">
        <v>1752.65</v>
      </c>
      <c r="F41" s="4">
        <v>1732.05</v>
      </c>
      <c r="G41" s="4">
        <v>1734.57</v>
      </c>
      <c r="H41" s="1" t="s">
        <v>409</v>
      </c>
      <c r="I41" s="1" t="s">
        <v>412</v>
      </c>
      <c r="J41" s="1" t="s">
        <v>415</v>
      </c>
      <c r="K41" s="6">
        <f t="shared" si="2"/>
        <v>-0.01175363022</v>
      </c>
      <c r="L41" s="7">
        <v>-0.014060915353748036</v>
      </c>
      <c r="M41" s="8">
        <f t="shared" si="1"/>
        <v>13191767</v>
      </c>
    </row>
    <row r="42">
      <c r="A42" s="3">
        <v>45566.0</v>
      </c>
      <c r="B42" s="4">
        <v>1724.0</v>
      </c>
      <c r="C42" s="4">
        <v>1742.0</v>
      </c>
      <c r="D42" s="4">
        <v>1720.1</v>
      </c>
      <c r="E42" s="4">
        <v>1732.05</v>
      </c>
      <c r="F42" s="4">
        <v>1726.2</v>
      </c>
      <c r="G42" s="4">
        <v>1725.83</v>
      </c>
      <c r="H42" s="1" t="s">
        <v>421</v>
      </c>
      <c r="I42" s="1" t="s">
        <v>424</v>
      </c>
      <c r="J42" s="1" t="s">
        <v>427</v>
      </c>
      <c r="K42" s="6">
        <f t="shared" si="2"/>
        <v>-0.00337750065</v>
      </c>
      <c r="L42" s="7">
        <v>-5.40470383578886E-4</v>
      </c>
      <c r="M42" s="8">
        <f t="shared" si="1"/>
        <v>12286142</v>
      </c>
    </row>
    <row r="43">
      <c r="A43" s="3">
        <v>45568.0</v>
      </c>
      <c r="B43" s="4">
        <v>1715.65</v>
      </c>
      <c r="C43" s="4">
        <v>1726.15</v>
      </c>
      <c r="D43" s="4">
        <v>1673.35</v>
      </c>
      <c r="E43" s="4">
        <v>1726.2</v>
      </c>
      <c r="F43" s="4">
        <v>1682.0</v>
      </c>
      <c r="G43" s="4">
        <v>1694.79</v>
      </c>
      <c r="H43" s="1" t="s">
        <v>436</v>
      </c>
      <c r="I43" s="1" t="s">
        <v>438</v>
      </c>
      <c r="J43" s="1" t="s">
        <v>440</v>
      </c>
      <c r="K43" s="6">
        <f t="shared" si="2"/>
        <v>-0.02560537597</v>
      </c>
      <c r="L43" s="7">
        <v>-0.021196345297303278</v>
      </c>
      <c r="M43" s="8">
        <f t="shared" si="1"/>
        <v>24236699</v>
      </c>
    </row>
    <row r="44">
      <c r="A44" s="3">
        <v>45569.0</v>
      </c>
      <c r="B44" s="4">
        <v>1674.5</v>
      </c>
      <c r="C44" s="4">
        <v>1690.65</v>
      </c>
      <c r="D44" s="4">
        <v>1653.0</v>
      </c>
      <c r="E44" s="4">
        <v>1682.0</v>
      </c>
      <c r="F44" s="4">
        <v>1657.65</v>
      </c>
      <c r="G44" s="4">
        <v>1673.77</v>
      </c>
      <c r="H44" s="1" t="s">
        <v>447</v>
      </c>
      <c r="I44" s="1" t="s">
        <v>449</v>
      </c>
      <c r="J44" s="1" t="s">
        <v>451</v>
      </c>
      <c r="K44" s="6">
        <f t="shared" si="2"/>
        <v>-0.01447681332</v>
      </c>
      <c r="L44" s="7">
        <v>-0.009326695735858473</v>
      </c>
      <c r="M44" s="8">
        <f t="shared" si="1"/>
        <v>24341616</v>
      </c>
    </row>
    <row r="45">
      <c r="A45" s="3">
        <v>45572.0</v>
      </c>
      <c r="B45" s="4">
        <v>1652.2</v>
      </c>
      <c r="C45" s="4">
        <v>1659.0</v>
      </c>
      <c r="D45" s="4">
        <v>1613.0</v>
      </c>
      <c r="E45" s="4">
        <v>1657.65</v>
      </c>
      <c r="F45" s="4">
        <v>1617.8</v>
      </c>
      <c r="G45" s="4">
        <v>1631.55</v>
      </c>
      <c r="H45" s="1" t="s">
        <v>455</v>
      </c>
      <c r="I45" s="1" t="s">
        <v>459</v>
      </c>
      <c r="J45" s="1" t="s">
        <v>463</v>
      </c>
      <c r="K45" s="6">
        <f t="shared" si="2"/>
        <v>-0.02404005671</v>
      </c>
      <c r="L45" s="7">
        <v>-0.008748890647861591</v>
      </c>
      <c r="M45" s="8">
        <f t="shared" si="1"/>
        <v>47229148</v>
      </c>
    </row>
    <row r="46">
      <c r="A46" s="3">
        <v>45573.0</v>
      </c>
      <c r="B46" s="4">
        <v>1630.0</v>
      </c>
      <c r="C46" s="4">
        <v>1656.8</v>
      </c>
      <c r="D46" s="4">
        <v>1622.0</v>
      </c>
      <c r="E46" s="4">
        <v>1617.8</v>
      </c>
      <c r="F46" s="4">
        <v>1651.05</v>
      </c>
      <c r="G46" s="4">
        <v>1645.56</v>
      </c>
      <c r="H46" s="1" t="s">
        <v>467</v>
      </c>
      <c r="I46" s="1" t="s">
        <v>471</v>
      </c>
      <c r="J46" s="1" t="s">
        <v>475</v>
      </c>
      <c r="K46" s="6">
        <f t="shared" si="2"/>
        <v>0.0205526023</v>
      </c>
      <c r="L46" s="7">
        <v>0.008767631549761611</v>
      </c>
      <c r="M46" s="8">
        <f t="shared" si="1"/>
        <v>14867203</v>
      </c>
    </row>
    <row r="47">
      <c r="A47" s="3">
        <v>45574.0</v>
      </c>
      <c r="B47" s="4">
        <v>1649.5</v>
      </c>
      <c r="C47" s="4">
        <v>1656.75</v>
      </c>
      <c r="D47" s="4">
        <v>1628.7</v>
      </c>
      <c r="E47" s="4">
        <v>1651.05</v>
      </c>
      <c r="F47" s="4">
        <v>1633.15</v>
      </c>
      <c r="G47" s="4">
        <v>1640.12</v>
      </c>
      <c r="H47" s="1" t="s">
        <v>485</v>
      </c>
      <c r="I47" s="1" t="s">
        <v>486</v>
      </c>
      <c r="J47" s="1" t="s">
        <v>487</v>
      </c>
      <c r="K47" s="6">
        <f t="shared" si="2"/>
        <v>-0.01084158566</v>
      </c>
      <c r="L47" s="7">
        <v>-0.0012473438971101491</v>
      </c>
      <c r="M47" s="8">
        <f t="shared" si="1"/>
        <v>20562821</v>
      </c>
    </row>
    <row r="48">
      <c r="A48" s="9">
        <v>45575.0</v>
      </c>
      <c r="B48" s="4">
        <v>1639.0</v>
      </c>
      <c r="C48" s="4">
        <v>1665.45</v>
      </c>
      <c r="D48" s="4">
        <v>1632.5</v>
      </c>
      <c r="E48" s="4">
        <v>1633.15</v>
      </c>
      <c r="F48" s="4">
        <v>1662.4</v>
      </c>
      <c r="G48" s="4">
        <v>1649.38</v>
      </c>
      <c r="H48" s="1" t="s">
        <v>494</v>
      </c>
      <c r="I48" s="1" t="s">
        <v>496</v>
      </c>
      <c r="J48" s="1" t="s">
        <v>498</v>
      </c>
      <c r="K48" s="6">
        <f t="shared" si="2"/>
        <v>0.01791017359</v>
      </c>
      <c r="L48" s="7">
        <v>6.604768642960217E-4</v>
      </c>
      <c r="M48" s="8">
        <f t="shared" si="1"/>
        <v>10877383</v>
      </c>
    </row>
    <row r="49">
      <c r="A49" s="9">
        <v>45576.0</v>
      </c>
      <c r="B49" s="4">
        <v>1664.45</v>
      </c>
      <c r="C49" s="4">
        <v>1664.45</v>
      </c>
      <c r="D49" s="4">
        <v>1643.25</v>
      </c>
      <c r="E49" s="4">
        <v>1662.4</v>
      </c>
      <c r="F49" s="4">
        <v>1651.0</v>
      </c>
      <c r="G49" s="4">
        <v>1651.51</v>
      </c>
      <c r="H49" s="1" t="s">
        <v>506</v>
      </c>
      <c r="I49" s="1" t="s">
        <v>508</v>
      </c>
      <c r="J49" s="1" t="s">
        <v>509</v>
      </c>
      <c r="K49" s="6">
        <f t="shared" si="2"/>
        <v>-0.006857555342</v>
      </c>
      <c r="L49" s="7">
        <v>-0.001368084821258947</v>
      </c>
      <c r="M49" s="8">
        <f t="shared" si="1"/>
        <v>11836297</v>
      </c>
    </row>
    <row r="50">
      <c r="A50" s="9">
        <v>45579.0</v>
      </c>
      <c r="B50" s="4">
        <v>1656.05</v>
      </c>
      <c r="C50" s="4">
        <v>1692.05</v>
      </c>
      <c r="D50" s="4">
        <v>1654.0</v>
      </c>
      <c r="E50" s="4">
        <v>1651.0</v>
      </c>
      <c r="F50" s="4">
        <v>1688.1</v>
      </c>
      <c r="G50" s="4">
        <v>1682.72</v>
      </c>
      <c r="H50" s="1" t="s">
        <v>516</v>
      </c>
      <c r="I50" s="1" t="s">
        <v>517</v>
      </c>
      <c r="J50" s="1" t="s">
        <v>518</v>
      </c>
      <c r="K50" s="6">
        <f t="shared" si="2"/>
        <v>0.02247122956</v>
      </c>
      <c r="L50" s="7">
        <v>0.006557377049180357</v>
      </c>
      <c r="M50" s="8">
        <f t="shared" si="1"/>
        <v>9263754</v>
      </c>
    </row>
    <row r="51">
      <c r="A51" s="9">
        <v>45580.0</v>
      </c>
      <c r="B51" s="4">
        <v>1694.0</v>
      </c>
      <c r="C51" s="4">
        <v>1698.0</v>
      </c>
      <c r="D51" s="4">
        <v>1675.5</v>
      </c>
      <c r="E51" s="4">
        <v>1688.1</v>
      </c>
      <c r="F51" s="4">
        <v>1684.1</v>
      </c>
      <c r="G51" s="4">
        <v>1684.09</v>
      </c>
      <c r="H51" s="1" t="s">
        <v>527</v>
      </c>
      <c r="I51" s="1" t="s">
        <v>528</v>
      </c>
      <c r="J51" s="1" t="s">
        <v>529</v>
      </c>
      <c r="K51" s="6">
        <f t="shared" si="2"/>
        <v>-0.002369527872</v>
      </c>
      <c r="L51" s="7">
        <v>-0.0028096203629823435</v>
      </c>
      <c r="M51" s="8">
        <f t="shared" si="1"/>
        <v>9825565</v>
      </c>
    </row>
    <row r="52">
      <c r="A52" s="9">
        <v>45581.0</v>
      </c>
      <c r="B52" s="4">
        <v>1680.1</v>
      </c>
      <c r="C52" s="4">
        <v>1707.95</v>
      </c>
      <c r="D52" s="4">
        <v>1680.1</v>
      </c>
      <c r="E52" s="4">
        <v>1684.1</v>
      </c>
      <c r="F52" s="4">
        <v>1699.8</v>
      </c>
      <c r="G52" s="4">
        <v>1698.75</v>
      </c>
      <c r="H52" s="1" t="s">
        <v>538</v>
      </c>
      <c r="I52" s="1" t="s">
        <v>540</v>
      </c>
      <c r="J52" s="1" t="s">
        <v>541</v>
      </c>
      <c r="K52" s="6">
        <f t="shared" si="2"/>
        <v>0.009322486788</v>
      </c>
      <c r="L52" s="7">
        <v>-0.003434122123847864</v>
      </c>
      <c r="M52" s="8">
        <f t="shared" si="1"/>
        <v>10235341</v>
      </c>
    </row>
    <row r="53">
      <c r="A53" s="9">
        <v>45582.0</v>
      </c>
      <c r="B53" s="4">
        <v>1694.95</v>
      </c>
      <c r="C53" s="4">
        <v>1697.65</v>
      </c>
      <c r="D53" s="4">
        <v>1665.2</v>
      </c>
      <c r="E53" s="4">
        <v>1699.8</v>
      </c>
      <c r="F53" s="4">
        <v>1673.15</v>
      </c>
      <c r="G53" s="4">
        <v>1676.22</v>
      </c>
      <c r="H53" s="1" t="s">
        <v>545</v>
      </c>
      <c r="I53" s="1" t="s">
        <v>548</v>
      </c>
      <c r="J53" s="1" t="s">
        <v>550</v>
      </c>
      <c r="K53" s="6">
        <f t="shared" si="2"/>
        <v>-0.0156783151</v>
      </c>
      <c r="L53" s="7">
        <v>-0.008868180671410809</v>
      </c>
      <c r="M53" s="8">
        <f t="shared" si="1"/>
        <v>7347866</v>
      </c>
    </row>
    <row r="54">
      <c r="A54" s="9">
        <v>45583.0</v>
      </c>
      <c r="B54" s="4">
        <v>1663.1</v>
      </c>
      <c r="C54" s="4">
        <v>1691.0</v>
      </c>
      <c r="D54" s="4">
        <v>1654.1</v>
      </c>
      <c r="E54" s="4">
        <v>1673.15</v>
      </c>
      <c r="F54" s="4">
        <v>1681.85</v>
      </c>
      <c r="G54" s="4">
        <v>1674.9</v>
      </c>
      <c r="H54" s="1" t="s">
        <v>557</v>
      </c>
      <c r="I54" s="1" t="s">
        <v>559</v>
      </c>
      <c r="J54" s="1" t="s">
        <v>561</v>
      </c>
      <c r="K54" s="6">
        <f t="shared" si="2"/>
        <v>0.005199772883</v>
      </c>
      <c r="L54" s="7">
        <v>0.004210126526019379</v>
      </c>
      <c r="M54" s="8">
        <f t="shared" si="1"/>
        <v>12404862</v>
      </c>
    </row>
    <row r="55">
      <c r="A55" s="9">
        <v>45586.0</v>
      </c>
      <c r="B55" s="4">
        <v>1715.0</v>
      </c>
      <c r="C55" s="4">
        <v>1748.15</v>
      </c>
      <c r="D55" s="4">
        <v>1711.05</v>
      </c>
      <c r="E55" s="4">
        <v>1681.85</v>
      </c>
      <c r="F55" s="4">
        <v>1728.7</v>
      </c>
      <c r="G55" s="4">
        <v>1732.82</v>
      </c>
      <c r="H55" s="1" t="s">
        <v>568</v>
      </c>
      <c r="I55" s="1" t="s">
        <v>570</v>
      </c>
      <c r="J55" s="1" t="s">
        <v>572</v>
      </c>
      <c r="K55" s="6">
        <f t="shared" si="2"/>
        <v>0.02785622975</v>
      </c>
      <c r="L55" s="7">
        <v>-0.0029351353199981787</v>
      </c>
      <c r="M55" s="8">
        <f t="shared" si="1"/>
        <v>23274177</v>
      </c>
    </row>
    <row r="56">
      <c r="A56" s="9">
        <v>45587.0</v>
      </c>
      <c r="B56" s="4">
        <v>1730.05</v>
      </c>
      <c r="C56" s="4">
        <v>1740.0</v>
      </c>
      <c r="D56" s="4">
        <v>1710.7</v>
      </c>
      <c r="E56" s="4">
        <v>1728.7</v>
      </c>
      <c r="F56" s="4">
        <v>1714.55</v>
      </c>
      <c r="G56" s="4">
        <v>1721.78</v>
      </c>
      <c r="H56" s="1" t="s">
        <v>581</v>
      </c>
      <c r="I56" s="1" t="s">
        <v>585</v>
      </c>
      <c r="J56" s="1" t="s">
        <v>589</v>
      </c>
      <c r="K56" s="6">
        <f t="shared" si="2"/>
        <v>-0.008185341586</v>
      </c>
      <c r="L56" s="7">
        <v>-0.012469180141317376</v>
      </c>
      <c r="M56" s="8">
        <f t="shared" si="1"/>
        <v>19437640</v>
      </c>
    </row>
    <row r="57">
      <c r="A57" s="9">
        <v>45588.0</v>
      </c>
      <c r="B57" s="4">
        <v>1705.05</v>
      </c>
      <c r="C57" s="4">
        <v>1746.5</v>
      </c>
      <c r="D57" s="4">
        <v>1705.05</v>
      </c>
      <c r="E57" s="4">
        <v>1714.55</v>
      </c>
      <c r="F57" s="4">
        <v>1735.8</v>
      </c>
      <c r="G57" s="4">
        <v>1736.32</v>
      </c>
      <c r="H57" s="1" t="s">
        <v>594</v>
      </c>
      <c r="I57" s="1" t="s">
        <v>597</v>
      </c>
      <c r="J57" s="1" t="s">
        <v>600</v>
      </c>
      <c r="K57" s="6">
        <f t="shared" si="2"/>
        <v>0.0123939226</v>
      </c>
      <c r="L57" s="7">
        <v>-0.0014955806816741737</v>
      </c>
      <c r="M57" s="8">
        <f t="shared" si="1"/>
        <v>19018045</v>
      </c>
    </row>
    <row r="58">
      <c r="A58" s="9">
        <v>45589.0</v>
      </c>
      <c r="B58" s="4">
        <v>1738.1</v>
      </c>
      <c r="C58" s="4">
        <v>1768.65</v>
      </c>
      <c r="D58" s="4">
        <v>1738.1</v>
      </c>
      <c r="E58" s="4">
        <v>1735.8</v>
      </c>
      <c r="F58" s="4">
        <v>1749.65</v>
      </c>
      <c r="G58" s="4">
        <v>1755.99</v>
      </c>
      <c r="H58" s="1" t="s">
        <v>605</v>
      </c>
      <c r="I58" s="1" t="s">
        <v>606</v>
      </c>
      <c r="J58" s="1" t="s">
        <v>607</v>
      </c>
      <c r="K58" s="6">
        <f t="shared" si="2"/>
        <v>0.007979029842</v>
      </c>
      <c r="L58" s="7">
        <v>-0.0014773587608192403</v>
      </c>
      <c r="M58" s="8">
        <f t="shared" si="1"/>
        <v>15416129</v>
      </c>
    </row>
    <row r="59">
      <c r="A59" s="9">
        <v>45590.0</v>
      </c>
      <c r="B59" s="4">
        <v>1755.0</v>
      </c>
      <c r="C59" s="4">
        <v>1757.85</v>
      </c>
      <c r="D59" s="4">
        <v>1728.7</v>
      </c>
      <c r="E59" s="4">
        <v>1749.65</v>
      </c>
      <c r="F59" s="4">
        <v>1743.4</v>
      </c>
      <c r="G59" s="4">
        <v>1740.64</v>
      </c>
      <c r="H59" s="1" t="s">
        <v>617</v>
      </c>
      <c r="I59" s="1" t="s">
        <v>618</v>
      </c>
      <c r="J59" s="1" t="s">
        <v>619</v>
      </c>
      <c r="K59" s="6">
        <f t="shared" si="2"/>
        <v>-0.003572143</v>
      </c>
      <c r="L59" s="7">
        <v>-0.008959236702541954</v>
      </c>
      <c r="M59" s="8">
        <f t="shared" si="1"/>
        <v>13065239</v>
      </c>
    </row>
    <row r="60">
      <c r="A60" s="9">
        <v>45593.0</v>
      </c>
      <c r="B60" s="4">
        <v>1742.0</v>
      </c>
      <c r="C60" s="4">
        <v>1751.0</v>
      </c>
      <c r="D60" s="4">
        <v>1728.9</v>
      </c>
      <c r="E60" s="4">
        <v>1743.4</v>
      </c>
      <c r="F60" s="4">
        <v>1734.2</v>
      </c>
      <c r="G60" s="4">
        <v>1738.17</v>
      </c>
      <c r="H60" s="1" t="s">
        <v>626</v>
      </c>
      <c r="I60" s="1" t="s">
        <v>627</v>
      </c>
      <c r="J60" s="1" t="s">
        <v>628</v>
      </c>
      <c r="K60" s="6">
        <f t="shared" si="2"/>
        <v>-0.005277044855</v>
      </c>
      <c r="L60" s="7">
        <v>0.006548584000529436</v>
      </c>
      <c r="M60" s="8">
        <f t="shared" si="1"/>
        <v>11006071</v>
      </c>
    </row>
    <row r="61">
      <c r="A61" s="9">
        <v>45594.0</v>
      </c>
      <c r="B61" s="4">
        <v>1726.15</v>
      </c>
      <c r="C61" s="4">
        <v>1764.0</v>
      </c>
      <c r="D61" s="4">
        <v>1725.1</v>
      </c>
      <c r="E61" s="4">
        <v>1734.2</v>
      </c>
      <c r="F61" s="4">
        <v>1751.85</v>
      </c>
      <c r="G61" s="4">
        <v>1744.14</v>
      </c>
      <c r="H61" s="1" t="s">
        <v>633</v>
      </c>
      <c r="I61" s="1" t="s">
        <v>636</v>
      </c>
      <c r="J61" s="1" t="s">
        <v>637</v>
      </c>
      <c r="K61" s="6">
        <f t="shared" si="2"/>
        <v>0.01017760351</v>
      </c>
      <c r="L61" s="7">
        <v>0.005246691030705554</v>
      </c>
      <c r="M61" s="8">
        <f t="shared" si="1"/>
        <v>17897463</v>
      </c>
    </row>
    <row r="62">
      <c r="A62" s="9">
        <v>45595.0</v>
      </c>
      <c r="B62" s="4">
        <v>1742.0</v>
      </c>
      <c r="C62" s="4">
        <v>1754.75</v>
      </c>
      <c r="D62" s="4">
        <v>1724.2</v>
      </c>
      <c r="E62" s="4">
        <v>1751.85</v>
      </c>
      <c r="F62" s="4">
        <v>1734.6</v>
      </c>
      <c r="G62" s="4">
        <v>1736.38</v>
      </c>
      <c r="H62" s="1" t="s">
        <v>638</v>
      </c>
      <c r="I62" s="1" t="s">
        <v>640</v>
      </c>
      <c r="J62" s="1" t="s">
        <v>643</v>
      </c>
      <c r="K62" s="6">
        <f t="shared" si="2"/>
        <v>-0.009846733453</v>
      </c>
      <c r="L62" s="7">
        <v>-0.00514982517160975</v>
      </c>
      <c r="M62" s="8">
        <f t="shared" si="1"/>
        <v>16357862</v>
      </c>
    </row>
    <row r="63">
      <c r="A63" s="9">
        <v>45596.0</v>
      </c>
      <c r="B63" s="4">
        <v>1728.0</v>
      </c>
      <c r="C63" s="4">
        <v>1738.9</v>
      </c>
      <c r="D63" s="4">
        <v>1719.4</v>
      </c>
      <c r="E63" s="4">
        <v>1734.6</v>
      </c>
      <c r="F63" s="4">
        <v>1735.7</v>
      </c>
      <c r="G63" s="4">
        <v>1731.49</v>
      </c>
      <c r="H63" s="1" t="s">
        <v>648</v>
      </c>
      <c r="I63" s="1" t="s">
        <v>650</v>
      </c>
      <c r="J63" s="1" t="s">
        <v>652</v>
      </c>
      <c r="K63" s="6">
        <f t="shared" si="2"/>
        <v>0.0006341519659</v>
      </c>
      <c r="L63" s="7">
        <v>-0.005566773551457735</v>
      </c>
      <c r="M63" s="8">
        <f t="shared" si="1"/>
        <v>11447956</v>
      </c>
    </row>
    <row r="64">
      <c r="A64" s="3">
        <v>45597.0</v>
      </c>
      <c r="B64" s="4">
        <v>1733.0</v>
      </c>
      <c r="C64" s="4">
        <v>1744.1</v>
      </c>
      <c r="D64" s="4">
        <v>1726.1</v>
      </c>
      <c r="E64" s="4">
        <v>1735.7</v>
      </c>
      <c r="F64" s="4">
        <v>1737.3</v>
      </c>
      <c r="G64" s="4">
        <v>1738.79</v>
      </c>
      <c r="H64" s="1" t="s">
        <v>659</v>
      </c>
      <c r="I64" s="1" t="s">
        <v>660</v>
      </c>
      <c r="J64" s="11">
        <v>69860.0</v>
      </c>
      <c r="K64" s="6">
        <f t="shared" si="2"/>
        <v>0.0009218182866</v>
      </c>
      <c r="L64" s="7">
        <v>0.004090004895611921</v>
      </c>
      <c r="M64" s="8">
        <f t="shared" si="1"/>
        <v>879846</v>
      </c>
    </row>
    <row r="65">
      <c r="A65" s="3">
        <v>45600.0</v>
      </c>
      <c r="B65" s="4">
        <v>1745.0</v>
      </c>
      <c r="C65" s="4">
        <v>1745.0</v>
      </c>
      <c r="D65" s="4">
        <v>1710.9</v>
      </c>
      <c r="E65" s="4">
        <v>1737.3</v>
      </c>
      <c r="F65" s="4">
        <v>1714.1</v>
      </c>
      <c r="G65" s="4">
        <v>1723.47</v>
      </c>
      <c r="H65" s="1" t="s">
        <v>667</v>
      </c>
      <c r="I65" s="1" t="s">
        <v>668</v>
      </c>
      <c r="J65" s="1" t="s">
        <v>669</v>
      </c>
      <c r="K65" s="6">
        <f t="shared" si="2"/>
        <v>-0.01335405514</v>
      </c>
      <c r="L65" s="7">
        <v>-0.012713773460306488</v>
      </c>
      <c r="M65" s="8">
        <f t="shared" si="1"/>
        <v>14044624</v>
      </c>
    </row>
    <row r="66">
      <c r="A66" s="3">
        <v>45601.0</v>
      </c>
      <c r="B66" s="4">
        <v>1703.0</v>
      </c>
      <c r="C66" s="4">
        <v>1762.7</v>
      </c>
      <c r="D66" s="4">
        <v>1697.9</v>
      </c>
      <c r="E66" s="4">
        <v>1714.1</v>
      </c>
      <c r="F66" s="4">
        <v>1757.85</v>
      </c>
      <c r="G66" s="4">
        <v>1736.4</v>
      </c>
      <c r="H66" s="1" t="s">
        <v>677</v>
      </c>
      <c r="I66" s="1" t="s">
        <v>679</v>
      </c>
      <c r="J66" s="1" t="s">
        <v>680</v>
      </c>
      <c r="K66" s="6">
        <f t="shared" si="2"/>
        <v>0.02552359839</v>
      </c>
      <c r="L66" s="7">
        <v>0.009083009833155204</v>
      </c>
      <c r="M66" s="8">
        <f t="shared" si="1"/>
        <v>22116203</v>
      </c>
    </row>
    <row r="67">
      <c r="A67" s="3">
        <v>45602.0</v>
      </c>
      <c r="B67" s="4">
        <v>1771.5</v>
      </c>
      <c r="C67" s="4">
        <v>1771.5</v>
      </c>
      <c r="D67" s="4">
        <v>1745.35</v>
      </c>
      <c r="E67" s="4">
        <v>1757.85</v>
      </c>
      <c r="F67" s="4">
        <v>1755.25</v>
      </c>
      <c r="G67" s="4">
        <v>1753.58</v>
      </c>
      <c r="H67" s="1" t="s">
        <v>687</v>
      </c>
      <c r="I67" s="1" t="s">
        <v>688</v>
      </c>
      <c r="J67" s="1" t="s">
        <v>689</v>
      </c>
      <c r="K67" s="6">
        <f t="shared" si="2"/>
        <v>-0.001479079557</v>
      </c>
      <c r="L67" s="7">
        <v>0.011181871120417292</v>
      </c>
      <c r="M67" s="8">
        <f t="shared" si="1"/>
        <v>13893955</v>
      </c>
    </row>
    <row r="68">
      <c r="A68" s="3">
        <v>45603.0</v>
      </c>
      <c r="B68" s="4">
        <v>1744.3</v>
      </c>
      <c r="C68" s="4">
        <v>1760.95</v>
      </c>
      <c r="D68" s="4">
        <v>1738.0</v>
      </c>
      <c r="E68" s="4">
        <v>1755.25</v>
      </c>
      <c r="F68" s="4">
        <v>1746.55</v>
      </c>
      <c r="G68" s="4">
        <v>1746.6</v>
      </c>
      <c r="H68" s="1" t="s">
        <v>696</v>
      </c>
      <c r="I68" s="1" t="s">
        <v>697</v>
      </c>
      <c r="J68" s="1" t="s">
        <v>698</v>
      </c>
      <c r="K68" s="6">
        <f t="shared" si="2"/>
        <v>-0.004956558895</v>
      </c>
      <c r="L68" s="7">
        <v>-0.01162797821438858</v>
      </c>
      <c r="M68" s="8">
        <f t="shared" si="1"/>
        <v>9447728</v>
      </c>
    </row>
    <row r="69">
      <c r="A69" s="3">
        <v>45604.0</v>
      </c>
      <c r="B69" s="4">
        <v>1752.0</v>
      </c>
      <c r="C69" s="4">
        <v>1761.8</v>
      </c>
      <c r="D69" s="4">
        <v>1745.85</v>
      </c>
      <c r="E69" s="4">
        <v>1746.55</v>
      </c>
      <c r="F69" s="4">
        <v>1754.45</v>
      </c>
      <c r="G69" s="4">
        <v>1754.62</v>
      </c>
      <c r="H69" s="1" t="s">
        <v>707</v>
      </c>
      <c r="I69" s="1" t="s">
        <v>709</v>
      </c>
      <c r="J69" s="1" t="s">
        <v>712</v>
      </c>
      <c r="K69" s="6">
        <f t="shared" si="2"/>
        <v>0.004523202886</v>
      </c>
      <c r="L69" s="7">
        <v>-0.0021136931363858044</v>
      </c>
      <c r="M69" s="8">
        <f t="shared" si="1"/>
        <v>9951493</v>
      </c>
    </row>
    <row r="70">
      <c r="A70" s="9">
        <v>45607.0</v>
      </c>
      <c r="B70" s="4">
        <v>1754.55</v>
      </c>
      <c r="C70" s="4">
        <v>1782.8</v>
      </c>
      <c r="D70" s="4">
        <v>1751.2</v>
      </c>
      <c r="E70" s="4">
        <v>1754.45</v>
      </c>
      <c r="F70" s="4">
        <v>1766.3</v>
      </c>
      <c r="G70" s="4">
        <v>1768.85</v>
      </c>
      <c r="H70" s="1" t="s">
        <v>720</v>
      </c>
      <c r="I70" s="1" t="s">
        <v>721</v>
      </c>
      <c r="J70" s="1" t="s">
        <v>722</v>
      </c>
      <c r="K70" s="6">
        <f t="shared" si="2"/>
        <v>0.00675425347</v>
      </c>
      <c r="L70" s="7">
        <v>-2.857355827764163E-4</v>
      </c>
      <c r="M70" s="8">
        <f t="shared" si="1"/>
        <v>12282681</v>
      </c>
    </row>
    <row r="71">
      <c r="A71" s="9">
        <v>45608.0</v>
      </c>
      <c r="B71" s="4">
        <v>1772.0</v>
      </c>
      <c r="C71" s="4">
        <v>1775.0</v>
      </c>
      <c r="D71" s="4">
        <v>1708.65</v>
      </c>
      <c r="E71" s="4">
        <v>1766.3</v>
      </c>
      <c r="F71" s="4">
        <v>1718.2</v>
      </c>
      <c r="G71" s="4">
        <v>1731.71</v>
      </c>
      <c r="H71" s="1" t="s">
        <v>729</v>
      </c>
      <c r="I71" s="1" t="s">
        <v>730</v>
      </c>
      <c r="J71" s="1" t="s">
        <v>731</v>
      </c>
      <c r="K71" s="6">
        <f t="shared" si="2"/>
        <v>-0.02723206703</v>
      </c>
      <c r="L71" s="7">
        <v>-0.010680866399075383</v>
      </c>
      <c r="M71" s="8">
        <f t="shared" si="1"/>
        <v>15697703</v>
      </c>
    </row>
    <row r="72">
      <c r="A72" s="9">
        <v>45609.0</v>
      </c>
      <c r="B72" s="4">
        <v>1716.75</v>
      </c>
      <c r="C72" s="4">
        <v>1729.4</v>
      </c>
      <c r="D72" s="4">
        <v>1673.0</v>
      </c>
      <c r="E72" s="4">
        <v>1718.2</v>
      </c>
      <c r="F72" s="4">
        <v>1681.35</v>
      </c>
      <c r="G72" s="4">
        <v>1699.7</v>
      </c>
      <c r="H72" s="1" t="s">
        <v>741</v>
      </c>
      <c r="I72" s="1" t="s">
        <v>742</v>
      </c>
      <c r="J72" s="1" t="s">
        <v>743</v>
      </c>
      <c r="K72" s="6">
        <f t="shared" si="2"/>
        <v>-0.021446863</v>
      </c>
      <c r="L72" s="7">
        <v>-0.013582627300494754</v>
      </c>
      <c r="M72" s="8">
        <f t="shared" si="1"/>
        <v>17864250</v>
      </c>
    </row>
    <row r="73">
      <c r="A73" s="9">
        <v>45610.0</v>
      </c>
      <c r="B73" s="4">
        <v>1673.1</v>
      </c>
      <c r="C73" s="4">
        <v>1704.85</v>
      </c>
      <c r="D73" s="4">
        <v>1672.1</v>
      </c>
      <c r="E73" s="4">
        <v>1681.35</v>
      </c>
      <c r="F73" s="4">
        <v>1692.75</v>
      </c>
      <c r="G73" s="4">
        <v>1692.96</v>
      </c>
      <c r="H73" s="1" t="s">
        <v>749</v>
      </c>
      <c r="I73" s="1" t="s">
        <v>751</v>
      </c>
      <c r="J73" s="1" t="s">
        <v>752</v>
      </c>
      <c r="K73" s="6">
        <f t="shared" si="2"/>
        <v>0.006780265858</v>
      </c>
      <c r="L73" s="7">
        <v>-0.001118466152073133</v>
      </c>
      <c r="M73" s="8">
        <f t="shared" si="1"/>
        <v>13573235</v>
      </c>
    </row>
    <row r="74">
      <c r="A74" s="9">
        <v>45614.0</v>
      </c>
      <c r="B74" s="4">
        <v>1700.0</v>
      </c>
      <c r="C74" s="4">
        <v>1718.9</v>
      </c>
      <c r="D74" s="4">
        <v>1695.0</v>
      </c>
      <c r="E74" s="4">
        <v>1692.75</v>
      </c>
      <c r="F74" s="4">
        <v>1705.1</v>
      </c>
      <c r="G74" s="4">
        <v>1707.94</v>
      </c>
      <c r="H74" s="1" t="s">
        <v>759</v>
      </c>
      <c r="I74" s="1" t="s">
        <v>761</v>
      </c>
      <c r="J74" s="1" t="s">
        <v>762</v>
      </c>
      <c r="K74" s="6">
        <f t="shared" si="2"/>
        <v>0.007295820411</v>
      </c>
      <c r="L74" s="7">
        <v>-0.003352781448792593</v>
      </c>
      <c r="M74" s="8">
        <f t="shared" si="1"/>
        <v>13540984</v>
      </c>
    </row>
    <row r="75">
      <c r="A75" s="9">
        <v>45615.0</v>
      </c>
      <c r="B75" s="4">
        <v>1714.0</v>
      </c>
      <c r="C75" s="4">
        <v>1753.75</v>
      </c>
      <c r="D75" s="4">
        <v>1702.7</v>
      </c>
      <c r="E75" s="4">
        <v>1705.1</v>
      </c>
      <c r="F75" s="4">
        <v>1742.25</v>
      </c>
      <c r="G75" s="4">
        <v>1739.1</v>
      </c>
      <c r="H75" s="1" t="s">
        <v>775</v>
      </c>
      <c r="I75" s="1" t="s">
        <v>778</v>
      </c>
      <c r="J75" s="1" t="s">
        <v>780</v>
      </c>
      <c r="K75" s="6">
        <f t="shared" si="2"/>
        <v>0.02178757844</v>
      </c>
      <c r="L75" s="7">
        <v>0.002758614808687749</v>
      </c>
      <c r="M75" s="8">
        <f t="shared" si="1"/>
        <v>25490636</v>
      </c>
    </row>
    <row r="76">
      <c r="A76" s="9">
        <v>45617.0</v>
      </c>
      <c r="B76" s="4">
        <v>1749.4</v>
      </c>
      <c r="C76" s="4">
        <v>1759.0</v>
      </c>
      <c r="D76" s="4">
        <v>1734.2</v>
      </c>
      <c r="E76" s="4">
        <v>1742.25</v>
      </c>
      <c r="F76" s="4">
        <v>1741.2</v>
      </c>
      <c r="G76" s="4">
        <v>1743.63</v>
      </c>
      <c r="H76" s="1" t="s">
        <v>798</v>
      </c>
      <c r="I76" s="1" t="s">
        <v>799</v>
      </c>
      <c r="J76" s="1" t="s">
        <v>800</v>
      </c>
      <c r="K76" s="6">
        <f t="shared" si="2"/>
        <v>-0.0006026689625</v>
      </c>
      <c r="L76" s="7">
        <v>-0.007168824542381468</v>
      </c>
      <c r="M76" s="8">
        <f t="shared" si="1"/>
        <v>17858256</v>
      </c>
    </row>
    <row r="77">
      <c r="A77" s="9">
        <v>45618.0</v>
      </c>
      <c r="B77" s="4">
        <v>1743.55</v>
      </c>
      <c r="C77" s="4">
        <v>1754.3</v>
      </c>
      <c r="D77" s="4">
        <v>1729.55</v>
      </c>
      <c r="E77" s="4">
        <v>1741.2</v>
      </c>
      <c r="F77" s="4">
        <v>1745.6</v>
      </c>
      <c r="G77" s="4">
        <v>1743.57</v>
      </c>
      <c r="H77" s="1" t="s">
        <v>810</v>
      </c>
      <c r="I77" s="1" t="s">
        <v>811</v>
      </c>
      <c r="J77" s="1" t="s">
        <v>812</v>
      </c>
      <c r="K77" s="6">
        <f t="shared" si="2"/>
        <v>0.002526992878</v>
      </c>
      <c r="L77" s="7">
        <v>0.023869481239748285</v>
      </c>
      <c r="M77" s="8">
        <f t="shared" si="1"/>
        <v>12386806</v>
      </c>
    </row>
    <row r="78">
      <c r="A78" s="9">
        <v>45621.0</v>
      </c>
      <c r="B78" s="4">
        <v>1785.05</v>
      </c>
      <c r="C78" s="4">
        <v>1803.55</v>
      </c>
      <c r="D78" s="4">
        <v>1764.9</v>
      </c>
      <c r="E78" s="4">
        <v>1745.6</v>
      </c>
      <c r="F78" s="4">
        <v>1785.6</v>
      </c>
      <c r="G78" s="4">
        <v>1784.46</v>
      </c>
      <c r="H78" s="1" t="s">
        <v>815</v>
      </c>
      <c r="I78" s="1" t="s">
        <v>818</v>
      </c>
      <c r="J78" s="1" t="s">
        <v>820</v>
      </c>
      <c r="K78" s="6">
        <f t="shared" si="2"/>
        <v>0.0229147571</v>
      </c>
      <c r="L78" s="7">
        <v>0.01316127952817666</v>
      </c>
      <c r="M78" s="8">
        <f t="shared" si="1"/>
        <v>213868637</v>
      </c>
    </row>
    <row r="79">
      <c r="A79" s="9">
        <v>45622.0</v>
      </c>
      <c r="B79" s="4">
        <v>1810.0</v>
      </c>
      <c r="C79" s="4">
        <v>1810.0</v>
      </c>
      <c r="D79" s="4">
        <v>1769.8</v>
      </c>
      <c r="E79" s="4">
        <v>1785.6</v>
      </c>
      <c r="F79" s="4">
        <v>1785.55</v>
      </c>
      <c r="G79" s="4">
        <v>1784.75</v>
      </c>
      <c r="H79" s="1" t="s">
        <v>825</v>
      </c>
      <c r="I79" s="1" t="s">
        <v>827</v>
      </c>
      <c r="J79" s="1" t="s">
        <v>829</v>
      </c>
      <c r="K79" s="6">
        <f t="shared" si="2"/>
        <v>-0.00002800179211</v>
      </c>
      <c r="L79" s="7">
        <v>-0.0011312077087264605</v>
      </c>
      <c r="M79" s="8">
        <f t="shared" si="1"/>
        <v>15467783</v>
      </c>
    </row>
    <row r="80">
      <c r="A80" s="9">
        <v>45623.0</v>
      </c>
      <c r="B80" s="4">
        <v>1789.9</v>
      </c>
      <c r="C80" s="4">
        <v>1817.35</v>
      </c>
      <c r="D80" s="4">
        <v>1785.15</v>
      </c>
      <c r="E80" s="4">
        <v>1785.55</v>
      </c>
      <c r="F80" s="4">
        <v>1812.3</v>
      </c>
      <c r="G80" s="4">
        <v>1801.57</v>
      </c>
      <c r="H80" s="1" t="s">
        <v>834</v>
      </c>
      <c r="I80" s="1" t="s">
        <v>835</v>
      </c>
      <c r="J80" s="1" t="s">
        <v>838</v>
      </c>
      <c r="K80" s="6">
        <f t="shared" si="2"/>
        <v>0.01498137829</v>
      </c>
      <c r="L80" s="7">
        <v>0.003323069292607884</v>
      </c>
      <c r="M80" s="8">
        <f t="shared" si="1"/>
        <v>16357488</v>
      </c>
    </row>
    <row r="81">
      <c r="A81" s="9">
        <v>45624.0</v>
      </c>
      <c r="B81" s="4">
        <v>1819.0</v>
      </c>
      <c r="C81" s="4">
        <v>1836.1</v>
      </c>
      <c r="D81" s="4">
        <v>1788.0</v>
      </c>
      <c r="E81" s="4">
        <v>1812.3</v>
      </c>
      <c r="F81" s="4">
        <v>1793.15</v>
      </c>
      <c r="G81" s="4">
        <v>1808.45</v>
      </c>
      <c r="H81" s="1" t="s">
        <v>846</v>
      </c>
      <c r="I81" s="1" t="s">
        <v>847</v>
      </c>
      <c r="J81" s="1" t="s">
        <v>848</v>
      </c>
      <c r="K81" s="6">
        <f t="shared" si="2"/>
        <v>-0.01056668322</v>
      </c>
      <c r="L81" s="7">
        <v>-0.014861029293632517</v>
      </c>
      <c r="M81" s="8">
        <f t="shared" si="1"/>
        <v>17861196</v>
      </c>
    </row>
    <row r="82">
      <c r="A82" s="9">
        <v>45625.0</v>
      </c>
      <c r="B82" s="4">
        <v>1801.3</v>
      </c>
      <c r="C82" s="4">
        <v>1804.6</v>
      </c>
      <c r="D82" s="4">
        <v>1782.9</v>
      </c>
      <c r="E82" s="4">
        <v>1793.15</v>
      </c>
      <c r="F82" s="4">
        <v>1796.05</v>
      </c>
      <c r="G82" s="4">
        <v>1793.91</v>
      </c>
      <c r="H82" s="1" t="s">
        <v>857</v>
      </c>
      <c r="I82" s="1" t="s">
        <v>859</v>
      </c>
      <c r="J82" s="1" t="s">
        <v>860</v>
      </c>
      <c r="K82" s="6">
        <f t="shared" si="2"/>
        <v>0.001617265706</v>
      </c>
      <c r="L82" s="7">
        <v>0.009072034757664273</v>
      </c>
      <c r="M82" s="8">
        <f t="shared" si="1"/>
        <v>13834768</v>
      </c>
    </row>
    <row r="83">
      <c r="A83" s="3">
        <v>45628.0</v>
      </c>
      <c r="B83" s="4">
        <v>1803.5</v>
      </c>
      <c r="C83" s="4">
        <v>1808.15</v>
      </c>
      <c r="D83" s="4">
        <v>1775.0</v>
      </c>
      <c r="E83" s="4">
        <v>1796.05</v>
      </c>
      <c r="F83" s="4">
        <v>1804.7</v>
      </c>
      <c r="G83" s="4">
        <v>1791.81</v>
      </c>
      <c r="H83" s="1" t="s">
        <v>867</v>
      </c>
      <c r="I83" s="1" t="s">
        <v>868</v>
      </c>
      <c r="J83" s="1" t="s">
        <v>869</v>
      </c>
      <c r="K83" s="6">
        <f t="shared" si="2"/>
        <v>0.004816124273</v>
      </c>
      <c r="L83" s="7">
        <v>0.006006771344862055</v>
      </c>
      <c r="M83" s="8">
        <f t="shared" si="1"/>
        <v>7555438</v>
      </c>
    </row>
    <row r="84">
      <c r="A84" s="3">
        <v>45629.0</v>
      </c>
      <c r="B84" s="4">
        <v>1822.7</v>
      </c>
      <c r="C84" s="4">
        <v>1837.4</v>
      </c>
      <c r="D84" s="4">
        <v>1816.1</v>
      </c>
      <c r="E84" s="4">
        <v>1804.7</v>
      </c>
      <c r="F84" s="4">
        <v>1826.3</v>
      </c>
      <c r="G84" s="4">
        <v>1827.25</v>
      </c>
      <c r="H84" s="1" t="s">
        <v>876</v>
      </c>
      <c r="I84" s="1" t="s">
        <v>878</v>
      </c>
      <c r="J84" s="1" t="s">
        <v>880</v>
      </c>
      <c r="K84" s="6">
        <f t="shared" si="2"/>
        <v>0.01196874827</v>
      </c>
      <c r="L84" s="7">
        <v>0.007460027475639661</v>
      </c>
      <c r="M84" s="8">
        <f t="shared" si="1"/>
        <v>21705121</v>
      </c>
    </row>
    <row r="85">
      <c r="A85" s="3">
        <v>45630.0</v>
      </c>
      <c r="B85" s="4">
        <v>1838.0</v>
      </c>
      <c r="C85" s="4">
        <v>1865.0</v>
      </c>
      <c r="D85" s="4">
        <v>1831.15</v>
      </c>
      <c r="E85" s="4">
        <v>1826.3</v>
      </c>
      <c r="F85" s="4">
        <v>1860.1</v>
      </c>
      <c r="G85" s="4">
        <v>1854.85</v>
      </c>
      <c r="H85" s="1" t="s">
        <v>883</v>
      </c>
      <c r="I85" s="1" t="s">
        <v>885</v>
      </c>
      <c r="J85" s="1" t="s">
        <v>887</v>
      </c>
      <c r="K85" s="6">
        <f t="shared" si="2"/>
        <v>0.01850736462</v>
      </c>
      <c r="L85" s="7">
        <v>4.211447368151756E-4</v>
      </c>
      <c r="M85" s="8">
        <f t="shared" si="1"/>
        <v>22334542</v>
      </c>
    </row>
    <row r="86">
      <c r="A86" s="3">
        <v>45631.0</v>
      </c>
      <c r="B86" s="4">
        <v>1860.0</v>
      </c>
      <c r="C86" s="4">
        <v>1879.95</v>
      </c>
      <c r="D86" s="4">
        <v>1835.2</v>
      </c>
      <c r="E86" s="4">
        <v>1860.1</v>
      </c>
      <c r="F86" s="4">
        <v>1865.75</v>
      </c>
      <c r="G86" s="4">
        <v>1862.43</v>
      </c>
      <c r="H86" s="1" t="s">
        <v>894</v>
      </c>
      <c r="I86" s="1" t="s">
        <v>895</v>
      </c>
      <c r="J86" s="1" t="s">
        <v>897</v>
      </c>
      <c r="K86" s="6">
        <f t="shared" si="2"/>
        <v>0.003037471104</v>
      </c>
      <c r="L86" s="7">
        <v>0.009847777353177415</v>
      </c>
      <c r="M86" s="8">
        <f t="shared" si="1"/>
        <v>19841357</v>
      </c>
    </row>
    <row r="87">
      <c r="A87" s="3">
        <v>45632.0</v>
      </c>
      <c r="B87" s="4">
        <v>1857.0</v>
      </c>
      <c r="C87" s="4">
        <v>1864.2</v>
      </c>
      <c r="D87" s="4">
        <v>1844.0</v>
      </c>
      <c r="E87" s="4">
        <v>1865.75</v>
      </c>
      <c r="F87" s="4">
        <v>1855.85</v>
      </c>
      <c r="G87" s="4">
        <v>1856.73</v>
      </c>
      <c r="H87" s="1" t="s">
        <v>903</v>
      </c>
      <c r="I87" s="1" t="s">
        <v>905</v>
      </c>
      <c r="J87" s="1" t="s">
        <v>906</v>
      </c>
      <c r="K87" s="6">
        <f t="shared" si="2"/>
        <v>-0.005306177141</v>
      </c>
      <c r="L87" s="7">
        <v>-0.0012384452251057204</v>
      </c>
      <c r="M87" s="8">
        <f t="shared" si="1"/>
        <v>8891578</v>
      </c>
    </row>
    <row r="88">
      <c r="A88" s="3">
        <v>45635.0</v>
      </c>
      <c r="B88" s="4">
        <v>1853.65</v>
      </c>
      <c r="C88" s="4">
        <v>1880.0</v>
      </c>
      <c r="D88" s="4">
        <v>1849.0</v>
      </c>
      <c r="E88" s="4">
        <v>1855.85</v>
      </c>
      <c r="F88" s="4">
        <v>1870.0</v>
      </c>
      <c r="G88" s="4">
        <v>1871.09</v>
      </c>
      <c r="H88" s="1" t="s">
        <v>914</v>
      </c>
      <c r="I88" s="1" t="s">
        <v>916</v>
      </c>
      <c r="J88" s="1" t="s">
        <v>917</v>
      </c>
      <c r="K88" s="6">
        <f t="shared" si="2"/>
        <v>0.007624538621</v>
      </c>
      <c r="L88" s="7">
        <v>-0.0023827083451522938</v>
      </c>
      <c r="M88" s="8">
        <f t="shared" si="1"/>
        <v>13473956</v>
      </c>
    </row>
    <row r="89">
      <c r="A89" s="9">
        <v>45636.0</v>
      </c>
      <c r="B89" s="4">
        <v>1877.7</v>
      </c>
      <c r="C89" s="4">
        <v>1877.7</v>
      </c>
      <c r="D89" s="4">
        <v>1858.55</v>
      </c>
      <c r="E89" s="4">
        <v>1870.0</v>
      </c>
      <c r="F89" s="4">
        <v>1868.1</v>
      </c>
      <c r="G89" s="4">
        <v>1867.3</v>
      </c>
      <c r="H89" s="1" t="s">
        <v>923</v>
      </c>
      <c r="I89" s="1" t="s">
        <v>926</v>
      </c>
      <c r="J89" s="1" t="s">
        <v>928</v>
      </c>
      <c r="K89" s="6">
        <f t="shared" si="2"/>
        <v>-0.001016042781</v>
      </c>
      <c r="L89" s="7">
        <v>-3.635403550103874E-4</v>
      </c>
      <c r="M89" s="8">
        <f t="shared" si="1"/>
        <v>6662740</v>
      </c>
    </row>
    <row r="90">
      <c r="A90" s="9">
        <v>45637.0</v>
      </c>
      <c r="B90" s="4">
        <v>1861.7</v>
      </c>
      <c r="C90" s="4">
        <v>1871.9</v>
      </c>
      <c r="D90" s="4">
        <v>1856.75</v>
      </c>
      <c r="E90" s="4">
        <v>1868.1</v>
      </c>
      <c r="F90" s="4">
        <v>1863.1</v>
      </c>
      <c r="G90" s="4">
        <v>1864.0</v>
      </c>
      <c r="H90" s="1" t="s">
        <v>933</v>
      </c>
      <c r="I90" s="1" t="s">
        <v>934</v>
      </c>
      <c r="J90" s="1" t="s">
        <v>935</v>
      </c>
      <c r="K90" s="6">
        <f t="shared" si="2"/>
        <v>-0.002676516246</v>
      </c>
      <c r="L90" s="7">
        <v>0.00129012334391844</v>
      </c>
      <c r="M90" s="8">
        <f t="shared" si="1"/>
        <v>7022713</v>
      </c>
    </row>
    <row r="91">
      <c r="A91" s="9">
        <v>45638.0</v>
      </c>
      <c r="B91" s="4">
        <v>1851.0</v>
      </c>
      <c r="C91" s="4">
        <v>1868.65</v>
      </c>
      <c r="D91" s="4">
        <v>1848.7</v>
      </c>
      <c r="E91" s="4">
        <v>1863.1</v>
      </c>
      <c r="F91" s="4">
        <v>1859.25</v>
      </c>
      <c r="G91" s="4">
        <v>1858.38</v>
      </c>
      <c r="H91" s="1" t="s">
        <v>945</v>
      </c>
      <c r="I91" s="1" t="s">
        <v>946</v>
      </c>
      <c r="J91" s="1" t="s">
        <v>947</v>
      </c>
      <c r="K91" s="6">
        <f t="shared" si="2"/>
        <v>-0.002066448392</v>
      </c>
      <c r="L91" s="7">
        <v>-0.00377813309092674</v>
      </c>
      <c r="M91" s="8">
        <f t="shared" si="1"/>
        <v>8646895</v>
      </c>
    </row>
    <row r="92">
      <c r="A92" s="9">
        <v>45639.0</v>
      </c>
      <c r="B92" s="4">
        <v>1862.5</v>
      </c>
      <c r="C92" s="4">
        <v>1875.0</v>
      </c>
      <c r="D92" s="4">
        <v>1829.25</v>
      </c>
      <c r="E92" s="4">
        <v>1859.25</v>
      </c>
      <c r="F92" s="4">
        <v>1871.75</v>
      </c>
      <c r="G92" s="4">
        <v>1858.29</v>
      </c>
      <c r="H92" s="1" t="s">
        <v>955</v>
      </c>
      <c r="I92" s="1" t="s">
        <v>957</v>
      </c>
      <c r="J92" s="1" t="s">
        <v>958</v>
      </c>
      <c r="K92" s="6">
        <f t="shared" si="2"/>
        <v>0.006723141051</v>
      </c>
      <c r="L92" s="7">
        <v>0.008945483874909814</v>
      </c>
      <c r="M92" s="8">
        <f t="shared" si="1"/>
        <v>9504501</v>
      </c>
    </row>
    <row r="93">
      <c r="A93" s="9">
        <v>45642.0</v>
      </c>
      <c r="B93" s="4">
        <v>1865.1</v>
      </c>
      <c r="C93" s="4">
        <v>1869.95</v>
      </c>
      <c r="D93" s="4">
        <v>1855.25</v>
      </c>
      <c r="E93" s="4">
        <v>1871.75</v>
      </c>
      <c r="F93" s="4">
        <v>1865.2</v>
      </c>
      <c r="G93" s="4">
        <v>1863.37</v>
      </c>
      <c r="H93" s="1" t="s">
        <v>963</v>
      </c>
      <c r="I93" s="1" t="s">
        <v>965</v>
      </c>
      <c r="J93" s="1" t="s">
        <v>967</v>
      </c>
      <c r="K93" s="6">
        <f t="shared" si="2"/>
        <v>-0.003499398958</v>
      </c>
      <c r="L93" s="7">
        <v>-0.004039437506813115</v>
      </c>
      <c r="M93" s="8">
        <f t="shared" si="1"/>
        <v>6553541</v>
      </c>
    </row>
    <row r="94">
      <c r="A94" s="9">
        <v>45643.0</v>
      </c>
      <c r="B94" s="4">
        <v>1856.35</v>
      </c>
      <c r="C94" s="4">
        <v>1862.35</v>
      </c>
      <c r="D94" s="4">
        <v>1826.5</v>
      </c>
      <c r="E94" s="4">
        <v>1865.2</v>
      </c>
      <c r="F94" s="4">
        <v>1833.25</v>
      </c>
      <c r="G94" s="4">
        <v>1840.34</v>
      </c>
      <c r="H94" s="1" t="s">
        <v>974</v>
      </c>
      <c r="I94" s="1" t="s">
        <v>976</v>
      </c>
      <c r="J94" s="1" t="s">
        <v>978</v>
      </c>
      <c r="K94" s="6">
        <f t="shared" si="2"/>
        <v>-0.01712953035</v>
      </c>
      <c r="L94" s="7">
        <v>-0.013468730047733423</v>
      </c>
      <c r="M94" s="8">
        <f t="shared" si="1"/>
        <v>10539766</v>
      </c>
    </row>
    <row r="95">
      <c r="A95" s="9">
        <v>45644.0</v>
      </c>
      <c r="B95" s="4">
        <v>1829.85</v>
      </c>
      <c r="C95" s="4">
        <v>1836.0</v>
      </c>
      <c r="D95" s="4">
        <v>1807.15</v>
      </c>
      <c r="E95" s="4">
        <v>1833.25</v>
      </c>
      <c r="F95" s="4">
        <v>1810.7</v>
      </c>
      <c r="G95" s="4">
        <v>1817.52</v>
      </c>
      <c r="H95" s="1" t="s">
        <v>984</v>
      </c>
      <c r="I95" s="1" t="s">
        <v>986</v>
      </c>
      <c r="J95" s="1" t="s">
        <v>989</v>
      </c>
      <c r="K95" s="6">
        <f t="shared" si="2"/>
        <v>-0.01230055912</v>
      </c>
      <c r="L95" s="7">
        <v>-0.0056356837606838205</v>
      </c>
      <c r="M95" s="8">
        <f t="shared" si="1"/>
        <v>11711156</v>
      </c>
    </row>
    <row r="96">
      <c r="A96" s="9">
        <v>45645.0</v>
      </c>
      <c r="B96" s="4">
        <v>1799.6</v>
      </c>
      <c r="C96" s="4">
        <v>1801.1</v>
      </c>
      <c r="D96" s="4">
        <v>1779.0</v>
      </c>
      <c r="E96" s="4">
        <v>1810.7</v>
      </c>
      <c r="F96" s="4">
        <v>1793.5</v>
      </c>
      <c r="G96" s="4">
        <v>1791.37</v>
      </c>
      <c r="H96" s="1" t="s">
        <v>994</v>
      </c>
      <c r="I96" s="1" t="s">
        <v>996</v>
      </c>
      <c r="J96" s="1" t="s">
        <v>998</v>
      </c>
      <c r="K96" s="6">
        <f t="shared" si="2"/>
        <v>-0.00949908875</v>
      </c>
      <c r="L96" s="7">
        <v>-0.010213295259898624</v>
      </c>
      <c r="M96" s="8">
        <f t="shared" si="1"/>
        <v>12690385</v>
      </c>
    </row>
    <row r="97">
      <c r="A97" s="9">
        <v>45646.0</v>
      </c>
      <c r="B97" s="4">
        <v>1782.2</v>
      </c>
      <c r="C97" s="4">
        <v>1797.55</v>
      </c>
      <c r="D97" s="4">
        <v>1767.05</v>
      </c>
      <c r="E97" s="4">
        <v>1793.5</v>
      </c>
      <c r="F97" s="4">
        <v>1771.5</v>
      </c>
      <c r="G97" s="4">
        <v>1778.49</v>
      </c>
      <c r="H97" s="1" t="s">
        <v>1005</v>
      </c>
      <c r="I97" s="1" t="s">
        <v>1006</v>
      </c>
      <c r="J97" s="1" t="s">
        <v>1007</v>
      </c>
      <c r="K97" s="6">
        <f t="shared" si="2"/>
        <v>-0.01226651798</v>
      </c>
      <c r="L97" s="7">
        <v>-0.01520560127256106</v>
      </c>
      <c r="M97" s="8">
        <f t="shared" si="1"/>
        <v>12846174</v>
      </c>
    </row>
    <row r="98">
      <c r="A98" s="9">
        <v>45649.0</v>
      </c>
      <c r="B98" s="4">
        <v>1782.0</v>
      </c>
      <c r="C98" s="4">
        <v>1806.0</v>
      </c>
      <c r="D98" s="4">
        <v>1781.3</v>
      </c>
      <c r="E98" s="4">
        <v>1771.5</v>
      </c>
      <c r="F98" s="4">
        <v>1801.0</v>
      </c>
      <c r="G98" s="4">
        <v>1798.41</v>
      </c>
      <c r="H98" s="1" t="s">
        <v>1015</v>
      </c>
      <c r="I98" s="1" t="s">
        <v>1018</v>
      </c>
      <c r="J98" s="1" t="s">
        <v>1020</v>
      </c>
      <c r="K98" s="6">
        <f t="shared" si="2"/>
        <v>0.01665255433</v>
      </c>
      <c r="L98" s="7">
        <v>0.007035506094329655</v>
      </c>
      <c r="M98" s="8">
        <f t="shared" si="1"/>
        <v>5522296</v>
      </c>
    </row>
    <row r="99">
      <c r="A99" s="9">
        <v>45650.0</v>
      </c>
      <c r="B99" s="4">
        <v>1802.05</v>
      </c>
      <c r="C99" s="4">
        <v>1808.7</v>
      </c>
      <c r="D99" s="4">
        <v>1789.55</v>
      </c>
      <c r="E99" s="4">
        <v>1801.0</v>
      </c>
      <c r="F99" s="4">
        <v>1798.1</v>
      </c>
      <c r="G99" s="4">
        <v>1798.76</v>
      </c>
      <c r="H99" s="1" t="s">
        <v>1028</v>
      </c>
      <c r="I99" s="1" t="s">
        <v>1029</v>
      </c>
      <c r="J99" s="1" t="s">
        <v>1030</v>
      </c>
      <c r="K99" s="6">
        <f t="shared" si="2"/>
        <v>-0.001610216546</v>
      </c>
      <c r="L99" s="7">
        <v>-0.0010861580107310422</v>
      </c>
      <c r="M99" s="8">
        <f t="shared" si="1"/>
        <v>7242917</v>
      </c>
    </row>
    <row r="100">
      <c r="A100" s="9">
        <v>45652.0</v>
      </c>
      <c r="B100" s="4">
        <v>1798.55</v>
      </c>
      <c r="C100" s="4">
        <v>1812.0</v>
      </c>
      <c r="D100" s="4">
        <v>1780.75</v>
      </c>
      <c r="E100" s="4">
        <v>1798.1</v>
      </c>
      <c r="F100" s="4">
        <v>1790.75</v>
      </c>
      <c r="G100" s="4">
        <v>1793.76</v>
      </c>
      <c r="H100" s="1" t="s">
        <v>1038</v>
      </c>
      <c r="I100" s="1" t="s">
        <v>1040</v>
      </c>
      <c r="J100" s="1" t="s">
        <v>1042</v>
      </c>
      <c r="K100" s="6">
        <f t="shared" si="2"/>
        <v>-0.004087648073</v>
      </c>
      <c r="L100" s="7">
        <v>9.5036803054661E-4</v>
      </c>
      <c r="M100" s="8">
        <f t="shared" si="1"/>
        <v>5240839</v>
      </c>
    </row>
    <row r="101">
      <c r="A101" s="9">
        <v>45653.0</v>
      </c>
      <c r="B101" s="4">
        <v>1794.8</v>
      </c>
      <c r="C101" s="4">
        <v>1805.95</v>
      </c>
      <c r="D101" s="4">
        <v>1789.1</v>
      </c>
      <c r="E101" s="4">
        <v>1790.75</v>
      </c>
      <c r="F101" s="4">
        <v>1798.25</v>
      </c>
      <c r="G101" s="4">
        <v>1796.11</v>
      </c>
      <c r="H101" s="1" t="s">
        <v>1048</v>
      </c>
      <c r="I101" s="1" t="s">
        <v>1051</v>
      </c>
      <c r="J101" s="1" t="s">
        <v>1053</v>
      </c>
      <c r="K101" s="6">
        <f t="shared" si="2"/>
        <v>0.004188189306</v>
      </c>
      <c r="L101" s="7">
        <v>0.0026610302229034166</v>
      </c>
      <c r="M101" s="8">
        <f t="shared" si="1"/>
        <v>3629665</v>
      </c>
    </row>
    <row r="102">
      <c r="A102" s="9">
        <v>45656.0</v>
      </c>
      <c r="B102" s="4">
        <v>1792.2</v>
      </c>
      <c r="C102" s="4">
        <v>1815.0</v>
      </c>
      <c r="D102" s="4">
        <v>1771.0</v>
      </c>
      <c r="E102" s="4">
        <v>1798.25</v>
      </c>
      <c r="F102" s="4">
        <v>1777.9</v>
      </c>
      <c r="G102" s="4">
        <v>1785.2</v>
      </c>
      <c r="H102" s="1" t="s">
        <v>1058</v>
      </c>
      <c r="I102" s="1" t="s">
        <v>1059</v>
      </c>
      <c r="J102" s="1" t="s">
        <v>1061</v>
      </c>
      <c r="K102" s="6">
        <f t="shared" si="2"/>
        <v>-0.01131655776</v>
      </c>
      <c r="L102" s="7">
        <v>-0.007075848051937144</v>
      </c>
      <c r="M102" s="8">
        <f t="shared" si="1"/>
        <v>11111109</v>
      </c>
    </row>
    <row r="103">
      <c r="A103" s="9">
        <v>45657.0</v>
      </c>
      <c r="B103" s="4">
        <v>1770.3</v>
      </c>
      <c r="C103" s="4">
        <v>1781.8</v>
      </c>
      <c r="D103" s="4">
        <v>1765.6</v>
      </c>
      <c r="E103" s="4">
        <v>1777.9</v>
      </c>
      <c r="F103" s="4">
        <v>1772.85</v>
      </c>
      <c r="G103" s="4">
        <v>1773.08</v>
      </c>
      <c r="H103" s="1" t="s">
        <v>1074</v>
      </c>
      <c r="I103" s="1" t="s">
        <v>1075</v>
      </c>
      <c r="J103" s="1" t="s">
        <v>1077</v>
      </c>
      <c r="K103" s="6">
        <f t="shared" si="2"/>
        <v>-0.00284042972</v>
      </c>
      <c r="L103" s="7">
        <v>-4.2292418239105594E-6</v>
      </c>
      <c r="M103" s="8">
        <f t="shared" si="1"/>
        <v>7058618</v>
      </c>
    </row>
    <row r="104">
      <c r="A104" s="3">
        <v>45658.0</v>
      </c>
      <c r="B104" s="4">
        <v>1773.45</v>
      </c>
      <c r="C104" s="4">
        <v>1794.0</v>
      </c>
      <c r="D104" s="4">
        <v>1761.1</v>
      </c>
      <c r="E104" s="4">
        <v>1772.85</v>
      </c>
      <c r="F104" s="4">
        <v>1782.75</v>
      </c>
      <c r="G104" s="4">
        <v>1781.22</v>
      </c>
      <c r="H104" s="1" t="s">
        <v>1087</v>
      </c>
      <c r="I104" s="1" t="s">
        <v>1088</v>
      </c>
      <c r="J104" s="1" t="s">
        <v>1092</v>
      </c>
      <c r="K104" s="6">
        <f t="shared" si="2"/>
        <v>0.005584228784</v>
      </c>
      <c r="L104" s="7">
        <v>0.004148903775883162</v>
      </c>
      <c r="M104" s="8">
        <f t="shared" si="1"/>
        <v>3656903</v>
      </c>
    </row>
    <row r="105">
      <c r="A105" s="3">
        <v>45659.0</v>
      </c>
      <c r="B105" s="4">
        <v>1777.1</v>
      </c>
      <c r="C105" s="4">
        <v>1803.45</v>
      </c>
      <c r="D105" s="4">
        <v>1773.0</v>
      </c>
      <c r="E105" s="4">
        <v>1782.75</v>
      </c>
      <c r="F105" s="4">
        <v>1793.75</v>
      </c>
      <c r="G105" s="4">
        <v>1792.0</v>
      </c>
      <c r="H105" s="1" t="s">
        <v>1101</v>
      </c>
      <c r="I105" s="1" t="s">
        <v>1102</v>
      </c>
      <c r="J105" s="1" t="s">
        <v>1104</v>
      </c>
      <c r="K105" s="6">
        <f t="shared" si="2"/>
        <v>0.006170242603</v>
      </c>
      <c r="L105" s="7">
        <v>0.01877403350054121</v>
      </c>
      <c r="M105" s="8">
        <f t="shared" si="1"/>
        <v>9279288</v>
      </c>
    </row>
    <row r="106">
      <c r="A106" s="3">
        <v>45660.0</v>
      </c>
      <c r="B106" s="4">
        <v>1791.0</v>
      </c>
      <c r="C106" s="4">
        <v>1795.25</v>
      </c>
      <c r="D106" s="4">
        <v>1746.3</v>
      </c>
      <c r="E106" s="4">
        <v>1793.75</v>
      </c>
      <c r="F106" s="4">
        <v>1749.2</v>
      </c>
      <c r="G106" s="4">
        <v>1758.6</v>
      </c>
      <c r="H106" s="1" t="s">
        <v>1113</v>
      </c>
      <c r="I106" s="1" t="s">
        <v>1115</v>
      </c>
      <c r="J106" s="1" t="s">
        <v>1118</v>
      </c>
      <c r="K106" s="6">
        <f t="shared" si="2"/>
        <v>-0.02483623693</v>
      </c>
      <c r="L106" s="7">
        <v>-0.0076027393012839265</v>
      </c>
      <c r="M106" s="8">
        <f t="shared" si="1"/>
        <v>12213097</v>
      </c>
    </row>
    <row r="107">
      <c r="A107" s="3">
        <v>45663.0</v>
      </c>
      <c r="B107" s="4">
        <v>1740.1</v>
      </c>
      <c r="C107" s="4">
        <v>1757.2</v>
      </c>
      <c r="D107" s="4">
        <v>1705.8</v>
      </c>
      <c r="E107" s="4">
        <v>1749.2</v>
      </c>
      <c r="F107" s="4">
        <v>1710.5</v>
      </c>
      <c r="G107" s="4">
        <v>1725.21</v>
      </c>
      <c r="H107" s="1" t="s">
        <v>1126</v>
      </c>
      <c r="I107" s="1" t="s">
        <v>1128</v>
      </c>
      <c r="J107" s="1" t="s">
        <v>1129</v>
      </c>
      <c r="K107" s="6">
        <f t="shared" si="2"/>
        <v>-0.02212439973</v>
      </c>
      <c r="L107" s="7">
        <v>-0.016192628542267707</v>
      </c>
      <c r="M107" s="8">
        <f t="shared" si="1"/>
        <v>9408174</v>
      </c>
    </row>
    <row r="108">
      <c r="A108" s="3">
        <v>45664.0</v>
      </c>
      <c r="B108" s="4">
        <v>1715.0</v>
      </c>
      <c r="C108" s="4">
        <v>1721.0</v>
      </c>
      <c r="D108" s="4">
        <v>1700.0</v>
      </c>
      <c r="E108" s="4">
        <v>1710.5</v>
      </c>
      <c r="F108" s="4">
        <v>1713.4</v>
      </c>
      <c r="G108" s="4">
        <v>1712.76</v>
      </c>
      <c r="H108" s="1" t="s">
        <v>1136</v>
      </c>
      <c r="I108" s="1" t="s">
        <v>1137</v>
      </c>
      <c r="J108" s="1" t="s">
        <v>1138</v>
      </c>
      <c r="K108" s="6">
        <f t="shared" si="2"/>
        <v>0.001695410699</v>
      </c>
      <c r="L108" s="7">
        <v>0.003889304096155038</v>
      </c>
      <c r="M108" s="8">
        <f t="shared" si="1"/>
        <v>6763953</v>
      </c>
    </row>
    <row r="109">
      <c r="A109" s="3">
        <v>45665.0</v>
      </c>
      <c r="B109" s="4">
        <v>1708.25</v>
      </c>
      <c r="C109" s="4">
        <v>1711.65</v>
      </c>
      <c r="D109" s="4">
        <v>1683.35</v>
      </c>
      <c r="E109" s="4">
        <v>1713.4</v>
      </c>
      <c r="F109" s="4">
        <v>1694.3</v>
      </c>
      <c r="G109" s="4">
        <v>1694.07</v>
      </c>
      <c r="H109" s="1" t="s">
        <v>1148</v>
      </c>
      <c r="I109" s="1" t="s">
        <v>1149</v>
      </c>
      <c r="J109" s="1" t="s">
        <v>1150</v>
      </c>
      <c r="K109" s="6">
        <f t="shared" si="2"/>
        <v>-0.01114742617</v>
      </c>
      <c r="L109" s="7">
        <v>-7.993116218644725E-4</v>
      </c>
      <c r="M109" s="8">
        <f t="shared" si="1"/>
        <v>9869095</v>
      </c>
    </row>
    <row r="110">
      <c r="A110" s="3">
        <v>45666.0</v>
      </c>
      <c r="B110" s="4">
        <v>1684.15</v>
      </c>
      <c r="C110" s="4">
        <v>1689.0</v>
      </c>
      <c r="D110" s="4">
        <v>1658.1</v>
      </c>
      <c r="E110" s="4">
        <v>1694.3</v>
      </c>
      <c r="F110" s="4">
        <v>1667.8</v>
      </c>
      <c r="G110" s="4">
        <v>1668.1</v>
      </c>
      <c r="H110" s="1" t="s">
        <v>1159</v>
      </c>
      <c r="I110" s="1" t="s">
        <v>1160</v>
      </c>
      <c r="J110" s="1" t="s">
        <v>1161</v>
      </c>
      <c r="K110" s="6">
        <f t="shared" si="2"/>
        <v>-0.01564067757</v>
      </c>
      <c r="L110" s="7">
        <v>-0.006857627712498896</v>
      </c>
      <c r="M110" s="8">
        <f t="shared" si="1"/>
        <v>20210111</v>
      </c>
    </row>
    <row r="111">
      <c r="A111" s="9">
        <v>45667.0</v>
      </c>
      <c r="B111" s="4">
        <v>1671.0</v>
      </c>
      <c r="C111" s="4">
        <v>1674.9</v>
      </c>
      <c r="D111" s="4">
        <v>1654.0</v>
      </c>
      <c r="E111" s="4">
        <v>1667.8</v>
      </c>
      <c r="F111" s="4">
        <v>1656.75</v>
      </c>
      <c r="G111" s="4">
        <v>1664.65</v>
      </c>
      <c r="H111" s="1" t="s">
        <v>1169</v>
      </c>
      <c r="I111" s="1" t="s">
        <v>1171</v>
      </c>
      <c r="J111" s="1" t="s">
        <v>1173</v>
      </c>
      <c r="K111" s="6">
        <f t="shared" si="2"/>
        <v>-0.006625494664</v>
      </c>
      <c r="L111" s="7">
        <v>-0.00403799970246318</v>
      </c>
      <c r="M111" s="8">
        <f t="shared" si="1"/>
        <v>8726640</v>
      </c>
    </row>
    <row r="112">
      <c r="A112" s="9">
        <v>45670.0</v>
      </c>
      <c r="B112" s="4">
        <v>1640.0</v>
      </c>
      <c r="C112" s="4">
        <v>1646.75</v>
      </c>
      <c r="D112" s="4">
        <v>1624.3</v>
      </c>
      <c r="E112" s="4">
        <v>1656.75</v>
      </c>
      <c r="F112" s="4">
        <v>1630.85</v>
      </c>
      <c r="G112" s="4">
        <v>1634.5</v>
      </c>
      <c r="H112" s="1" t="s">
        <v>1180</v>
      </c>
      <c r="I112" s="1" t="s">
        <v>1181</v>
      </c>
      <c r="J112" s="1" t="s">
        <v>1182</v>
      </c>
      <c r="K112" s="6">
        <f t="shared" si="2"/>
        <v>-0.01563301645</v>
      </c>
      <c r="L112" s="7">
        <v>-0.014747241960608552</v>
      </c>
      <c r="M112" s="8">
        <f t="shared" si="1"/>
        <v>10834533</v>
      </c>
    </row>
    <row r="113">
      <c r="A113" s="9">
        <v>45671.0</v>
      </c>
      <c r="B113" s="4">
        <v>1639.9</v>
      </c>
      <c r="C113" s="4">
        <v>1656.2</v>
      </c>
      <c r="D113" s="4">
        <v>1637.0</v>
      </c>
      <c r="E113" s="4">
        <v>1630.85</v>
      </c>
      <c r="F113" s="4">
        <v>1646.6</v>
      </c>
      <c r="G113" s="4">
        <v>1646.85</v>
      </c>
      <c r="H113" s="1" t="s">
        <v>1190</v>
      </c>
      <c r="I113" s="1" t="s">
        <v>1192</v>
      </c>
      <c r="J113" s="1" t="s">
        <v>1194</v>
      </c>
      <c r="K113" s="6">
        <f t="shared" si="2"/>
        <v>0.009657540546</v>
      </c>
      <c r="L113" s="7">
        <v>0.0039028066854514777</v>
      </c>
      <c r="M113" s="8">
        <f t="shared" si="1"/>
        <v>13330716</v>
      </c>
    </row>
    <row r="114">
      <c r="A114" s="9">
        <v>45672.0</v>
      </c>
      <c r="B114" s="4">
        <v>1656.5</v>
      </c>
      <c r="C114" s="4">
        <v>1662.7</v>
      </c>
      <c r="D114" s="4">
        <v>1636.3</v>
      </c>
      <c r="E114" s="4">
        <v>1646.6</v>
      </c>
      <c r="F114" s="4">
        <v>1643.05</v>
      </c>
      <c r="G114" s="4">
        <v>1648.56</v>
      </c>
      <c r="H114" s="1" t="s">
        <v>1201</v>
      </c>
      <c r="I114" s="1" t="s">
        <v>1202</v>
      </c>
      <c r="J114" s="1" t="s">
        <v>1205</v>
      </c>
      <c r="K114" s="6">
        <f t="shared" si="2"/>
        <v>-0.002155957731</v>
      </c>
      <c r="L114" s="7">
        <v>0.0016029478707545702</v>
      </c>
      <c r="M114" s="8">
        <f t="shared" si="1"/>
        <v>7011446</v>
      </c>
    </row>
    <row r="115">
      <c r="A115" s="9">
        <v>45673.0</v>
      </c>
      <c r="B115" s="4">
        <v>1652.85</v>
      </c>
      <c r="C115" s="4">
        <v>1660.55</v>
      </c>
      <c r="D115" s="4">
        <v>1642.85</v>
      </c>
      <c r="E115" s="4">
        <v>1643.05</v>
      </c>
      <c r="F115" s="4">
        <v>1652.05</v>
      </c>
      <c r="G115" s="4">
        <v>1650.92</v>
      </c>
      <c r="H115" s="1" t="s">
        <v>1212</v>
      </c>
      <c r="I115" s="1" t="s">
        <v>1214</v>
      </c>
      <c r="J115" s="1" t="s">
        <v>1215</v>
      </c>
      <c r="K115" s="6">
        <f t="shared" si="2"/>
        <v>0.005477617845</v>
      </c>
      <c r="L115" s="7">
        <v>0.004247583271586793</v>
      </c>
      <c r="M115" s="8">
        <f t="shared" si="1"/>
        <v>10606227</v>
      </c>
    </row>
    <row r="116">
      <c r="A116" s="9">
        <v>45674.0</v>
      </c>
      <c r="B116" s="4">
        <v>1643.5</v>
      </c>
      <c r="C116" s="4">
        <v>1650.5</v>
      </c>
      <c r="D116" s="4">
        <v>1628.5</v>
      </c>
      <c r="E116" s="4">
        <v>1652.05</v>
      </c>
      <c r="F116" s="4">
        <v>1636.75</v>
      </c>
      <c r="G116" s="4">
        <v>1636.01</v>
      </c>
      <c r="H116" s="1" t="s">
        <v>1220</v>
      </c>
      <c r="I116" s="1" t="s">
        <v>1221</v>
      </c>
      <c r="J116" s="1" t="s">
        <v>1225</v>
      </c>
      <c r="K116" s="6">
        <f t="shared" si="2"/>
        <v>-0.009261220907</v>
      </c>
      <c r="L116" s="7">
        <v>-0.0046585849226571325</v>
      </c>
      <c r="M116" s="8">
        <f t="shared" si="1"/>
        <v>11556038</v>
      </c>
    </row>
    <row r="117">
      <c r="A117" s="9">
        <v>45677.0</v>
      </c>
      <c r="B117" s="4">
        <v>1626.0</v>
      </c>
      <c r="C117" s="4">
        <v>1660.95</v>
      </c>
      <c r="D117" s="4">
        <v>1626.0</v>
      </c>
      <c r="E117" s="4">
        <v>1636.75</v>
      </c>
      <c r="F117" s="4">
        <v>1651.25</v>
      </c>
      <c r="G117" s="4">
        <v>1646.81</v>
      </c>
      <c r="H117" s="1" t="s">
        <v>1232</v>
      </c>
      <c r="I117" s="1" t="s">
        <v>1234</v>
      </c>
      <c r="J117" s="1" t="s">
        <v>1236</v>
      </c>
      <c r="K117" s="6">
        <f t="shared" si="2"/>
        <v>0.008859019398</v>
      </c>
      <c r="L117" s="7">
        <v>0.006100451661839715</v>
      </c>
      <c r="M117" s="8">
        <f t="shared" si="1"/>
        <v>8778809</v>
      </c>
    </row>
    <row r="118">
      <c r="A118" s="9">
        <v>45678.0</v>
      </c>
      <c r="B118" s="4">
        <v>1658.25</v>
      </c>
      <c r="C118" s="4">
        <v>1661.05</v>
      </c>
      <c r="D118" s="4">
        <v>1633.05</v>
      </c>
      <c r="E118" s="4">
        <v>1651.25</v>
      </c>
      <c r="F118" s="4">
        <v>1642.4</v>
      </c>
      <c r="G118" s="4">
        <v>1645.24</v>
      </c>
      <c r="H118" s="1" t="s">
        <v>1243</v>
      </c>
      <c r="I118" s="1" t="s">
        <v>1244</v>
      </c>
      <c r="J118" s="1" t="s">
        <v>1246</v>
      </c>
      <c r="K118" s="6">
        <f t="shared" si="2"/>
        <v>-0.005359576079</v>
      </c>
      <c r="L118" s="7">
        <v>-0.013711862410177815</v>
      </c>
      <c r="M118" s="8">
        <f t="shared" si="1"/>
        <v>15579072</v>
      </c>
    </row>
    <row r="119">
      <c r="A119" s="9">
        <v>45679.0</v>
      </c>
      <c r="B119" s="4">
        <v>1642.4</v>
      </c>
      <c r="C119" s="4">
        <v>1671.9</v>
      </c>
      <c r="D119" s="4">
        <v>1625.45</v>
      </c>
      <c r="E119" s="4">
        <v>1642.4</v>
      </c>
      <c r="F119" s="4">
        <v>1666.05</v>
      </c>
      <c r="G119" s="4">
        <v>1653.85</v>
      </c>
      <c r="H119" s="1" t="s">
        <v>1252</v>
      </c>
      <c r="I119" s="1" t="s">
        <v>1255</v>
      </c>
      <c r="J119" s="1" t="s">
        <v>1256</v>
      </c>
      <c r="K119" s="6">
        <f t="shared" si="2"/>
        <v>0.01439965904</v>
      </c>
      <c r="L119" s="7">
        <v>0.005676524941747088</v>
      </c>
      <c r="M119" s="8">
        <f t="shared" si="1"/>
        <v>15309653</v>
      </c>
    </row>
    <row r="120">
      <c r="A120" s="9">
        <v>45680.0</v>
      </c>
      <c r="B120" s="4">
        <v>1687.0</v>
      </c>
      <c r="C120" s="4">
        <v>1687.0</v>
      </c>
      <c r="D120" s="4">
        <v>1651.25</v>
      </c>
      <c r="E120" s="4">
        <v>1666.05</v>
      </c>
      <c r="F120" s="4">
        <v>1664.9</v>
      </c>
      <c r="G120" s="4">
        <v>1665.84</v>
      </c>
      <c r="H120" s="1" t="s">
        <v>1264</v>
      </c>
      <c r="I120" s="1" t="s">
        <v>1265</v>
      </c>
      <c r="J120" s="1" t="s">
        <v>1267</v>
      </c>
      <c r="K120" s="6">
        <f t="shared" si="2"/>
        <v>-0.0006902553945</v>
      </c>
      <c r="L120" s="7">
        <v>0.0021593281898135853</v>
      </c>
      <c r="M120" s="8">
        <f t="shared" si="1"/>
        <v>17454579</v>
      </c>
    </row>
    <row r="121">
      <c r="A121" s="9">
        <v>45681.0</v>
      </c>
      <c r="B121" s="4">
        <v>1660.0</v>
      </c>
      <c r="C121" s="4">
        <v>1670.3</v>
      </c>
      <c r="D121" s="4">
        <v>1644.5</v>
      </c>
      <c r="E121" s="4">
        <v>1664.9</v>
      </c>
      <c r="F121" s="4">
        <v>1649.8</v>
      </c>
      <c r="G121" s="4">
        <v>1658.68</v>
      </c>
      <c r="H121" s="1" t="s">
        <v>1276</v>
      </c>
      <c r="I121" s="1" t="s">
        <v>1277</v>
      </c>
      <c r="J121" s="1" t="s">
        <v>1278</v>
      </c>
      <c r="K121" s="6">
        <f t="shared" si="2"/>
        <v>-0.009069613791</v>
      </c>
      <c r="L121" s="7">
        <v>-0.004876030742910485</v>
      </c>
      <c r="M121" s="8">
        <f t="shared" si="1"/>
        <v>12118100</v>
      </c>
    </row>
    <row r="122">
      <c r="A122" s="9">
        <v>45684.0</v>
      </c>
      <c r="B122" s="4">
        <v>1641.1</v>
      </c>
      <c r="C122" s="4">
        <v>1643.6</v>
      </c>
      <c r="D122" s="4">
        <v>1626.0</v>
      </c>
      <c r="E122" s="4">
        <v>1649.8</v>
      </c>
      <c r="F122" s="4">
        <v>1629.8</v>
      </c>
      <c r="G122" s="4">
        <v>1632.37</v>
      </c>
      <c r="H122" s="1" t="s">
        <v>1287</v>
      </c>
      <c r="I122" s="1" t="s">
        <v>1289</v>
      </c>
      <c r="J122" s="1" t="s">
        <v>1290</v>
      </c>
      <c r="K122" s="6">
        <f t="shared" si="2"/>
        <v>-0.01212268154</v>
      </c>
      <c r="L122" s="7">
        <v>-0.011391292297832136</v>
      </c>
      <c r="M122" s="8">
        <f t="shared" si="1"/>
        <v>11402083</v>
      </c>
    </row>
    <row r="123">
      <c r="A123" s="9">
        <v>45685.0</v>
      </c>
      <c r="B123" s="4">
        <v>1647.0</v>
      </c>
      <c r="C123" s="4">
        <v>1684.3</v>
      </c>
      <c r="D123" s="4">
        <v>1647.0</v>
      </c>
      <c r="E123" s="4">
        <v>1629.8</v>
      </c>
      <c r="F123" s="4">
        <v>1670.4</v>
      </c>
      <c r="G123" s="4">
        <v>1670.57</v>
      </c>
      <c r="H123" s="1" t="s">
        <v>1297</v>
      </c>
      <c r="I123" s="1" t="s">
        <v>1298</v>
      </c>
      <c r="J123" s="1" t="s">
        <v>1299</v>
      </c>
      <c r="K123" s="6">
        <f t="shared" si="2"/>
        <v>0.02491103203</v>
      </c>
      <c r="L123" s="7">
        <v>0.005611247024089751</v>
      </c>
      <c r="M123" s="8">
        <f t="shared" si="1"/>
        <v>15089656</v>
      </c>
    </row>
    <row r="124">
      <c r="A124" s="9">
        <v>45686.0</v>
      </c>
      <c r="B124" s="4">
        <v>1675.0</v>
      </c>
      <c r="C124" s="4">
        <v>1681.15</v>
      </c>
      <c r="D124" s="4">
        <v>1668.85</v>
      </c>
      <c r="E124" s="4">
        <v>1670.4</v>
      </c>
      <c r="F124" s="4">
        <v>1677.3</v>
      </c>
      <c r="G124" s="4">
        <v>1675.45</v>
      </c>
      <c r="H124" s="1" t="s">
        <v>1304</v>
      </c>
      <c r="I124" s="1" t="s">
        <v>1306</v>
      </c>
      <c r="J124" s="1" t="s">
        <v>1308</v>
      </c>
      <c r="K124" s="6">
        <f t="shared" si="2"/>
        <v>0.004130747126</v>
      </c>
      <c r="L124" s="7">
        <v>0.008966666303673067</v>
      </c>
      <c r="M124" s="8">
        <f t="shared" si="1"/>
        <v>6309945</v>
      </c>
    </row>
    <row r="125">
      <c r="A125" s="9">
        <v>45687.0</v>
      </c>
      <c r="B125" s="4">
        <v>1681.0</v>
      </c>
      <c r="C125" s="4">
        <v>1697.9</v>
      </c>
      <c r="D125" s="4">
        <v>1672.55</v>
      </c>
      <c r="E125" s="4">
        <v>1677.3</v>
      </c>
      <c r="F125" s="4">
        <v>1691.5</v>
      </c>
      <c r="G125" s="4">
        <v>1685.73</v>
      </c>
      <c r="H125" s="1" t="s">
        <v>1317</v>
      </c>
      <c r="I125" s="1" t="s">
        <v>1318</v>
      </c>
      <c r="J125" s="1" t="s">
        <v>1319</v>
      </c>
      <c r="K125" s="6">
        <f t="shared" si="2"/>
        <v>0.008465987003</v>
      </c>
      <c r="L125" s="7">
        <v>0.00373007067275112</v>
      </c>
      <c r="M125" s="8">
        <f t="shared" si="1"/>
        <v>12872423</v>
      </c>
    </row>
    <row r="126">
      <c r="A126" s="9">
        <v>45688.0</v>
      </c>
      <c r="B126" s="4">
        <v>1687.25</v>
      </c>
      <c r="C126" s="4">
        <v>1704.7</v>
      </c>
      <c r="D126" s="4">
        <v>1683.95</v>
      </c>
      <c r="E126" s="4">
        <v>1691.5</v>
      </c>
      <c r="F126" s="4">
        <v>1698.75</v>
      </c>
      <c r="G126" s="4">
        <v>1696.52</v>
      </c>
      <c r="H126" s="1" t="s">
        <v>1329</v>
      </c>
      <c r="I126" s="1" t="s">
        <v>1330</v>
      </c>
      <c r="J126" s="1" t="s">
        <v>1331</v>
      </c>
      <c r="K126" s="6">
        <f t="shared" si="2"/>
        <v>0.004286136565</v>
      </c>
      <c r="L126" s="7">
        <v>0.011135723348889286</v>
      </c>
      <c r="M126" s="8">
        <f t="shared" si="1"/>
        <v>7910843</v>
      </c>
    </row>
    <row r="127">
      <c r="A127" s="3">
        <v>45689.0</v>
      </c>
      <c r="B127" s="4">
        <v>1697.5</v>
      </c>
      <c r="C127" s="4">
        <v>1713.0</v>
      </c>
      <c r="D127" s="4">
        <v>1676.05</v>
      </c>
      <c r="E127" s="4">
        <v>1698.75</v>
      </c>
      <c r="F127" s="4">
        <v>1690.95</v>
      </c>
      <c r="G127" s="4">
        <v>1694.22</v>
      </c>
      <c r="H127" s="1" t="s">
        <v>1336</v>
      </c>
      <c r="I127" s="1" t="s">
        <v>1338</v>
      </c>
      <c r="J127" s="11">
        <v>88839.0</v>
      </c>
      <c r="K127" s="6">
        <f t="shared" si="2"/>
        <v>-0.004591611479</v>
      </c>
      <c r="L127" s="7">
        <v>-0.0011166221435742116</v>
      </c>
      <c r="M127" s="8">
        <f t="shared" si="1"/>
        <v>2793764</v>
      </c>
    </row>
    <row r="128">
      <c r="A128" s="3">
        <v>45691.0</v>
      </c>
      <c r="B128" s="4">
        <v>1670.0</v>
      </c>
      <c r="C128" s="4">
        <v>1686.8</v>
      </c>
      <c r="D128" s="4">
        <v>1663.45</v>
      </c>
      <c r="E128" s="4">
        <v>1690.95</v>
      </c>
      <c r="F128" s="4">
        <v>1678.0</v>
      </c>
      <c r="G128" s="4">
        <v>1679.49</v>
      </c>
      <c r="H128" s="1" t="s">
        <v>1346</v>
      </c>
      <c r="I128" s="1" t="s">
        <v>1347</v>
      </c>
      <c r="J128" s="1" t="s">
        <v>1348</v>
      </c>
      <c r="K128" s="6">
        <f t="shared" si="2"/>
        <v>-0.007658416866</v>
      </c>
      <c r="L128" s="7">
        <v>-0.005157108697457523</v>
      </c>
      <c r="M128" s="8">
        <f t="shared" si="1"/>
        <v>10138270</v>
      </c>
    </row>
    <row r="129">
      <c r="A129" s="3">
        <v>45692.0</v>
      </c>
      <c r="B129" s="4">
        <v>1688.7</v>
      </c>
      <c r="C129" s="4">
        <v>1725.8</v>
      </c>
      <c r="D129" s="4">
        <v>1680.05</v>
      </c>
      <c r="E129" s="4">
        <v>1678.0</v>
      </c>
      <c r="F129" s="4">
        <v>1720.9</v>
      </c>
      <c r="G129" s="4">
        <v>1710.93</v>
      </c>
      <c r="H129" s="1" t="s">
        <v>1354</v>
      </c>
      <c r="I129" s="1" t="s">
        <v>1358</v>
      </c>
      <c r="J129" s="1" t="s">
        <v>1360</v>
      </c>
      <c r="K129" s="6">
        <f t="shared" si="2"/>
        <v>0.02556615018</v>
      </c>
      <c r="L129" s="7">
        <v>0.016189340804458736</v>
      </c>
      <c r="M129" s="8">
        <f t="shared" si="1"/>
        <v>14308251</v>
      </c>
    </row>
    <row r="130">
      <c r="A130" s="3">
        <v>45693.0</v>
      </c>
      <c r="B130" s="4">
        <v>1733.0</v>
      </c>
      <c r="C130" s="4">
        <v>1744.2</v>
      </c>
      <c r="D130" s="4">
        <v>1718.9</v>
      </c>
      <c r="E130" s="4">
        <v>1720.9</v>
      </c>
      <c r="F130" s="4">
        <v>1737.8</v>
      </c>
      <c r="G130" s="4">
        <v>1733.84</v>
      </c>
      <c r="H130" s="1" t="s">
        <v>1367</v>
      </c>
      <c r="I130" s="1" t="s">
        <v>1368</v>
      </c>
      <c r="J130" s="1" t="s">
        <v>1369</v>
      </c>
      <c r="K130" s="6">
        <f t="shared" si="2"/>
        <v>0.009820442792</v>
      </c>
      <c r="L130" s="7">
        <v>-0.0018092399717767296</v>
      </c>
      <c r="M130" s="8">
        <f t="shared" si="1"/>
        <v>11837753</v>
      </c>
    </row>
    <row r="131">
      <c r="A131" s="3">
        <v>45694.0</v>
      </c>
      <c r="B131" s="4">
        <v>1735.5</v>
      </c>
      <c r="C131" s="4">
        <v>1749.0</v>
      </c>
      <c r="D131" s="4">
        <v>1724.0</v>
      </c>
      <c r="E131" s="4">
        <v>1737.8</v>
      </c>
      <c r="F131" s="4">
        <v>1743.85</v>
      </c>
      <c r="G131" s="4">
        <v>1735.75</v>
      </c>
      <c r="H131" s="1" t="s">
        <v>1379</v>
      </c>
      <c r="I131" s="1" t="s">
        <v>1380</v>
      </c>
      <c r="J131" s="1" t="s">
        <v>1381</v>
      </c>
      <c r="K131" s="6">
        <f t="shared" si="2"/>
        <v>0.003481413281</v>
      </c>
      <c r="L131" s="7">
        <v>-0.0039225533100104544</v>
      </c>
      <c r="M131" s="8">
        <f t="shared" si="1"/>
        <v>13380358</v>
      </c>
    </row>
    <row r="132">
      <c r="A132" s="3">
        <v>45695.0</v>
      </c>
      <c r="B132" s="4">
        <v>1750.0</v>
      </c>
      <c r="C132" s="4">
        <v>1767.0</v>
      </c>
      <c r="D132" s="4">
        <v>1725.0</v>
      </c>
      <c r="E132" s="4">
        <v>1743.85</v>
      </c>
      <c r="F132" s="4">
        <v>1732.75</v>
      </c>
      <c r="G132" s="4">
        <v>1744.99</v>
      </c>
      <c r="H132" s="1" t="s">
        <v>1391</v>
      </c>
      <c r="I132" s="1" t="s">
        <v>1392</v>
      </c>
      <c r="J132" s="1" t="s">
        <v>1393</v>
      </c>
      <c r="K132" s="6">
        <f t="shared" si="2"/>
        <v>-0.006365226367</v>
      </c>
      <c r="L132" s="7">
        <v>-0.0018387220458112013</v>
      </c>
      <c r="M132" s="8">
        <f t="shared" si="1"/>
        <v>11754800</v>
      </c>
    </row>
    <row r="133">
      <c r="A133" s="9">
        <v>45698.0</v>
      </c>
      <c r="B133" s="4">
        <v>1717.3</v>
      </c>
      <c r="C133" s="4">
        <v>1723.45</v>
      </c>
      <c r="D133" s="4">
        <v>1708.5</v>
      </c>
      <c r="E133" s="4">
        <v>1732.75</v>
      </c>
      <c r="F133" s="4">
        <v>1715.75</v>
      </c>
      <c r="G133" s="4">
        <v>1715.57</v>
      </c>
      <c r="H133" s="1" t="s">
        <v>1403</v>
      </c>
      <c r="I133" s="1" t="s">
        <v>1404</v>
      </c>
      <c r="J133" s="1" t="s">
        <v>1405</v>
      </c>
      <c r="K133" s="6">
        <f t="shared" si="2"/>
        <v>-0.009810994085</v>
      </c>
      <c r="L133" s="7">
        <v>-0.00757005002132866</v>
      </c>
      <c r="M133" s="8">
        <f t="shared" si="1"/>
        <v>8597975</v>
      </c>
    </row>
    <row r="134">
      <c r="A134" s="9">
        <v>45699.0</v>
      </c>
      <c r="B134" s="4">
        <v>1703.0</v>
      </c>
      <c r="C134" s="4">
        <v>1711.0</v>
      </c>
      <c r="D134" s="4">
        <v>1688.7</v>
      </c>
      <c r="E134" s="4">
        <v>1715.75</v>
      </c>
      <c r="F134" s="4">
        <v>1701.4</v>
      </c>
      <c r="G134" s="4">
        <v>1700.06</v>
      </c>
      <c r="H134" s="1" t="s">
        <v>1412</v>
      </c>
      <c r="I134" s="1" t="s">
        <v>1415</v>
      </c>
      <c r="J134" s="1" t="s">
        <v>1417</v>
      </c>
      <c r="K134" s="6">
        <f t="shared" si="2"/>
        <v>-0.008363689349</v>
      </c>
      <c r="L134" s="7">
        <v>-0.013249734834228593</v>
      </c>
      <c r="M134" s="8">
        <f t="shared" si="1"/>
        <v>11362352</v>
      </c>
    </row>
    <row r="135">
      <c r="A135" s="9">
        <v>45700.0</v>
      </c>
      <c r="B135" s="4">
        <v>1693.0</v>
      </c>
      <c r="C135" s="4">
        <v>1712.0</v>
      </c>
      <c r="D135" s="4">
        <v>1681.2</v>
      </c>
      <c r="E135" s="4">
        <v>1701.4</v>
      </c>
      <c r="F135" s="4">
        <v>1706.8</v>
      </c>
      <c r="G135" s="4">
        <v>1696.59</v>
      </c>
      <c r="H135" s="1" t="s">
        <v>1424</v>
      </c>
      <c r="I135" s="1" t="s">
        <v>1425</v>
      </c>
      <c r="J135" s="1" t="s">
        <v>1426</v>
      </c>
      <c r="K135" s="6">
        <f t="shared" si="2"/>
        <v>0.003173856824</v>
      </c>
      <c r="L135" s="7">
        <v>-0.001150755467713801</v>
      </c>
      <c r="M135" s="8">
        <f t="shared" si="1"/>
        <v>11404785</v>
      </c>
    </row>
    <row r="136">
      <c r="A136" s="9">
        <v>45701.0</v>
      </c>
      <c r="B136" s="4">
        <v>1699.0</v>
      </c>
      <c r="C136" s="4">
        <v>1714.25</v>
      </c>
      <c r="D136" s="4">
        <v>1693.55</v>
      </c>
      <c r="E136" s="4">
        <v>1706.8</v>
      </c>
      <c r="F136" s="4">
        <v>1697.7</v>
      </c>
      <c r="G136" s="4">
        <v>1702.88</v>
      </c>
      <c r="H136" s="1" t="s">
        <v>1430</v>
      </c>
      <c r="I136" s="1" t="s">
        <v>1431</v>
      </c>
      <c r="J136" s="1" t="s">
        <v>1433</v>
      </c>
      <c r="K136" s="6">
        <f t="shared" si="2"/>
        <v>-0.005331614718</v>
      </c>
      <c r="L136" s="7">
        <v>-6.009915275381497E-4</v>
      </c>
      <c r="M136" s="8">
        <f t="shared" si="1"/>
        <v>6301217</v>
      </c>
    </row>
    <row r="137">
      <c r="A137" s="9">
        <v>45702.0</v>
      </c>
      <c r="B137" s="4">
        <v>1701.9</v>
      </c>
      <c r="C137" s="4">
        <v>1701.9</v>
      </c>
      <c r="D137" s="4">
        <v>1680.0</v>
      </c>
      <c r="E137" s="4">
        <v>1697.7</v>
      </c>
      <c r="F137" s="4">
        <v>1694.85</v>
      </c>
      <c r="G137" s="4">
        <v>1690.46</v>
      </c>
      <c r="H137" s="1" t="s">
        <v>1442</v>
      </c>
      <c r="I137" s="1" t="s">
        <v>1443</v>
      </c>
      <c r="J137" s="1" t="s">
        <v>1444</v>
      </c>
      <c r="K137" s="6">
        <f t="shared" si="2"/>
        <v>-0.001678741827</v>
      </c>
      <c r="L137" s="7">
        <v>-0.004435249268390173</v>
      </c>
      <c r="M137" s="8">
        <f t="shared" si="1"/>
        <v>9979946</v>
      </c>
    </row>
    <row r="138">
      <c r="A138" s="9">
        <v>45705.0</v>
      </c>
      <c r="B138" s="4">
        <v>1685.2</v>
      </c>
      <c r="C138" s="4">
        <v>1720.0</v>
      </c>
      <c r="D138" s="4">
        <v>1681.25</v>
      </c>
      <c r="E138" s="4">
        <v>1694.85</v>
      </c>
      <c r="F138" s="4">
        <v>1717.35</v>
      </c>
      <c r="G138" s="4">
        <v>1702.14</v>
      </c>
      <c r="H138" s="1" t="s">
        <v>1452</v>
      </c>
      <c r="I138" s="1" t="s">
        <v>1453</v>
      </c>
      <c r="J138" s="1" t="s">
        <v>1455</v>
      </c>
      <c r="K138" s="6">
        <f t="shared" si="2"/>
        <v>0.01327551111</v>
      </c>
      <c r="L138" s="7">
        <v>0.001319275597762683</v>
      </c>
      <c r="M138" s="8">
        <f t="shared" si="1"/>
        <v>6469473</v>
      </c>
    </row>
    <row r="139">
      <c r="A139" s="9">
        <v>45706.0</v>
      </c>
      <c r="B139" s="4">
        <v>1713.05</v>
      </c>
      <c r="C139" s="4">
        <v>1731.55</v>
      </c>
      <c r="D139" s="4">
        <v>1706.15</v>
      </c>
      <c r="E139" s="4">
        <v>1717.35</v>
      </c>
      <c r="F139" s="4">
        <v>1723.05</v>
      </c>
      <c r="G139" s="4">
        <v>1721.09</v>
      </c>
      <c r="H139" s="1" t="s">
        <v>1462</v>
      </c>
      <c r="I139" s="1" t="s">
        <v>1463</v>
      </c>
      <c r="J139" s="1" t="s">
        <v>1464</v>
      </c>
      <c r="K139" s="6">
        <f t="shared" si="2"/>
        <v>0.003319067167</v>
      </c>
      <c r="L139" s="7">
        <v>-6.184803676038558E-4</v>
      </c>
      <c r="M139" s="8">
        <f t="shared" si="1"/>
        <v>8175455</v>
      </c>
    </row>
    <row r="140">
      <c r="A140" s="9">
        <v>45707.0</v>
      </c>
      <c r="B140" s="4">
        <v>1717.0</v>
      </c>
      <c r="C140" s="4">
        <v>1737.9</v>
      </c>
      <c r="D140" s="4">
        <v>1712.45</v>
      </c>
      <c r="E140" s="4">
        <v>1723.05</v>
      </c>
      <c r="F140" s="4">
        <v>1727.2</v>
      </c>
      <c r="G140" s="4">
        <v>1727.42</v>
      </c>
      <c r="H140" s="1" t="s">
        <v>1471</v>
      </c>
      <c r="I140" s="1" t="s">
        <v>1472</v>
      </c>
      <c r="J140" s="1" t="s">
        <v>1473</v>
      </c>
      <c r="K140" s="6">
        <f t="shared" si="2"/>
        <v>0.002408519776</v>
      </c>
      <c r="L140" s="7">
        <v>-5.404156842576832E-4</v>
      </c>
      <c r="M140" s="8">
        <f t="shared" si="1"/>
        <v>5942056</v>
      </c>
    </row>
    <row r="141">
      <c r="A141" s="9">
        <v>45708.0</v>
      </c>
      <c r="B141" s="4">
        <v>1711.0</v>
      </c>
      <c r="C141" s="4">
        <v>1714.7</v>
      </c>
      <c r="D141" s="4">
        <v>1685.3</v>
      </c>
      <c r="E141" s="4">
        <v>1727.2</v>
      </c>
      <c r="F141" s="4">
        <v>1687.1</v>
      </c>
      <c r="G141" s="4">
        <v>1695.04</v>
      </c>
      <c r="H141" s="1" t="s">
        <v>1489</v>
      </c>
      <c r="I141" s="1" t="s">
        <v>1490</v>
      </c>
      <c r="J141" s="1" t="s">
        <v>1491</v>
      </c>
      <c r="K141" s="6">
        <f t="shared" si="2"/>
        <v>-0.02321676702</v>
      </c>
      <c r="L141" s="7">
        <v>-8.612081332932162E-4</v>
      </c>
      <c r="M141" s="8">
        <f t="shared" si="1"/>
        <v>13195255</v>
      </c>
    </row>
    <row r="142">
      <c r="A142" s="9">
        <v>45709.0</v>
      </c>
      <c r="B142" s="4">
        <v>1680.9</v>
      </c>
      <c r="C142" s="4">
        <v>1694.95</v>
      </c>
      <c r="D142" s="4">
        <v>1677.25</v>
      </c>
      <c r="E142" s="4">
        <v>1687.1</v>
      </c>
      <c r="F142" s="4">
        <v>1692.5</v>
      </c>
      <c r="G142" s="4">
        <v>1686.23</v>
      </c>
      <c r="H142" s="1" t="s">
        <v>1501</v>
      </c>
      <c r="I142" s="1" t="s">
        <v>1502</v>
      </c>
      <c r="J142" s="1" t="s">
        <v>1503</v>
      </c>
      <c r="K142" s="6">
        <f t="shared" si="2"/>
        <v>0.003200758698</v>
      </c>
      <c r="L142" s="7">
        <v>-0.005117148886119979</v>
      </c>
      <c r="M142" s="8">
        <f t="shared" si="1"/>
        <v>7840470</v>
      </c>
    </row>
    <row r="143">
      <c r="A143" s="9">
        <v>45712.0</v>
      </c>
      <c r="B143" s="4">
        <v>1681.1</v>
      </c>
      <c r="C143" s="4">
        <v>1684.2</v>
      </c>
      <c r="D143" s="4">
        <v>1661.1</v>
      </c>
      <c r="E143" s="4">
        <v>1692.5</v>
      </c>
      <c r="F143" s="4">
        <v>1677.1</v>
      </c>
      <c r="G143" s="4">
        <v>1672.34</v>
      </c>
      <c r="H143" s="1" t="s">
        <v>1508</v>
      </c>
      <c r="I143" s="1" t="s">
        <v>1511</v>
      </c>
      <c r="J143" s="1" t="s">
        <v>1513</v>
      </c>
      <c r="K143" s="6">
        <f t="shared" si="2"/>
        <v>-0.009098966027</v>
      </c>
      <c r="L143" s="7">
        <v>-0.010640071240881163</v>
      </c>
      <c r="M143" s="8">
        <f t="shared" si="1"/>
        <v>10346823</v>
      </c>
    </row>
    <row r="144">
      <c r="A144" s="9">
        <v>45713.0</v>
      </c>
      <c r="B144" s="4">
        <v>1671.1</v>
      </c>
      <c r="C144" s="4">
        <v>1688.0</v>
      </c>
      <c r="D144" s="4">
        <v>1671.1</v>
      </c>
      <c r="E144" s="4">
        <v>1677.1</v>
      </c>
      <c r="F144" s="4">
        <v>1682.35</v>
      </c>
      <c r="G144" s="4">
        <v>1681.8</v>
      </c>
      <c r="H144" s="1" t="s">
        <v>1519</v>
      </c>
      <c r="I144" s="1" t="s">
        <v>1520</v>
      </c>
      <c r="J144" s="1" t="s">
        <v>1521</v>
      </c>
      <c r="K144" s="6">
        <f t="shared" si="2"/>
        <v>0.003130403673</v>
      </c>
      <c r="L144" s="7">
        <v>-2.571680038663557E-4</v>
      </c>
      <c r="M144" s="8">
        <f t="shared" si="1"/>
        <v>12069354</v>
      </c>
    </row>
    <row r="145">
      <c r="A145" s="9">
        <v>45715.0</v>
      </c>
      <c r="B145" s="4">
        <v>1682.55</v>
      </c>
      <c r="C145" s="4">
        <v>1710.75</v>
      </c>
      <c r="D145" s="4">
        <v>1682.55</v>
      </c>
      <c r="E145" s="4">
        <v>1682.35</v>
      </c>
      <c r="F145" s="4">
        <v>1700.7</v>
      </c>
      <c r="G145" s="4">
        <v>1701.04</v>
      </c>
      <c r="H145" s="1" t="s">
        <v>1529</v>
      </c>
      <c r="I145" s="1" t="s">
        <v>1531</v>
      </c>
      <c r="J145" s="1" t="s">
        <v>1533</v>
      </c>
      <c r="K145" s="6">
        <f t="shared" si="2"/>
        <v>0.01090736173</v>
      </c>
      <c r="L145" s="7">
        <v>-1.1087679149175853E-4</v>
      </c>
      <c r="M145" s="8">
        <f t="shared" si="1"/>
        <v>17893400</v>
      </c>
    </row>
    <row r="146">
      <c r="A146" s="9">
        <v>45716.0</v>
      </c>
      <c r="B146" s="4">
        <v>1685.0</v>
      </c>
      <c r="C146" s="4">
        <v>1737.25</v>
      </c>
      <c r="D146" s="4">
        <v>1685.0</v>
      </c>
      <c r="E146" s="4">
        <v>1700.7</v>
      </c>
      <c r="F146" s="4">
        <v>1732.4</v>
      </c>
      <c r="G146" s="4">
        <v>1721.14</v>
      </c>
      <c r="H146" s="1" t="s">
        <v>1543</v>
      </c>
      <c r="I146" s="1" t="s">
        <v>1544</v>
      </c>
      <c r="J146" s="1" t="s">
        <v>1546</v>
      </c>
      <c r="K146" s="6">
        <f t="shared" si="2"/>
        <v>0.01863938378</v>
      </c>
      <c r="L146" s="7">
        <v>-0.018644891007116797</v>
      </c>
      <c r="M146" s="8">
        <f t="shared" si="1"/>
        <v>27258364</v>
      </c>
    </row>
    <row r="147">
      <c r="A147" s="3">
        <v>45719.0</v>
      </c>
      <c r="B147" s="4">
        <v>1739.8</v>
      </c>
      <c r="C147" s="4">
        <v>1743.05</v>
      </c>
      <c r="D147" s="4">
        <v>1694.1</v>
      </c>
      <c r="E147" s="4">
        <v>1732.4</v>
      </c>
      <c r="F147" s="4">
        <v>1701.55</v>
      </c>
      <c r="G147" s="4">
        <v>1709.27</v>
      </c>
      <c r="H147" s="1" t="s">
        <v>1555</v>
      </c>
      <c r="I147" s="1" t="s">
        <v>1556</v>
      </c>
      <c r="J147" s="1" t="s">
        <v>1557</v>
      </c>
      <c r="K147" s="6">
        <f t="shared" si="2"/>
        <v>-0.01780766567</v>
      </c>
      <c r="L147" s="7">
        <v>-2.4407110604896133E-4</v>
      </c>
      <c r="M147" s="8">
        <f t="shared" si="1"/>
        <v>10602682</v>
      </c>
    </row>
    <row r="148">
      <c r="A148" s="3">
        <v>45720.0</v>
      </c>
      <c r="B148" s="4">
        <v>1698.0</v>
      </c>
      <c r="C148" s="4">
        <v>1714.3</v>
      </c>
      <c r="D148" s="4">
        <v>1693.25</v>
      </c>
      <c r="E148" s="4">
        <v>1701.55</v>
      </c>
      <c r="F148" s="4">
        <v>1710.0</v>
      </c>
      <c r="G148" s="4">
        <v>1706.3</v>
      </c>
      <c r="H148" s="1" t="s">
        <v>1562</v>
      </c>
      <c r="I148" s="1" t="s">
        <v>1563</v>
      </c>
      <c r="J148" s="1" t="s">
        <v>1565</v>
      </c>
      <c r="K148" s="6">
        <f t="shared" si="2"/>
        <v>0.004966060357</v>
      </c>
      <c r="L148" s="7">
        <v>-0.001656924043708337</v>
      </c>
      <c r="M148" s="8">
        <f t="shared" si="1"/>
        <v>9960479</v>
      </c>
    </row>
    <row r="149">
      <c r="A149" s="3">
        <v>45721.0</v>
      </c>
      <c r="B149" s="4">
        <v>1701.95</v>
      </c>
      <c r="C149" s="4">
        <v>1710.8</v>
      </c>
      <c r="D149" s="4">
        <v>1688.25</v>
      </c>
      <c r="E149" s="4">
        <v>1710.0</v>
      </c>
      <c r="F149" s="4">
        <v>1690.0</v>
      </c>
      <c r="G149" s="4">
        <v>1695.97</v>
      </c>
      <c r="H149" s="1" t="s">
        <v>1573</v>
      </c>
      <c r="I149" s="1" t="s">
        <v>1574</v>
      </c>
      <c r="J149" s="1" t="s">
        <v>1575</v>
      </c>
      <c r="K149" s="6">
        <f t="shared" si="2"/>
        <v>-0.01169590643</v>
      </c>
      <c r="L149" s="7">
        <v>0.011531677583985519</v>
      </c>
      <c r="M149" s="8">
        <f t="shared" si="1"/>
        <v>10791936</v>
      </c>
    </row>
    <row r="150">
      <c r="A150" s="3">
        <v>45722.0</v>
      </c>
      <c r="B150" s="4">
        <v>1687.0</v>
      </c>
      <c r="C150" s="4">
        <v>1699.9</v>
      </c>
      <c r="D150" s="4">
        <v>1672.25</v>
      </c>
      <c r="E150" s="4">
        <v>1690.0</v>
      </c>
      <c r="F150" s="4">
        <v>1691.2</v>
      </c>
      <c r="G150" s="4">
        <v>1686.14</v>
      </c>
      <c r="H150" s="1" t="s">
        <v>1582</v>
      </c>
      <c r="I150" s="1" t="s">
        <v>1583</v>
      </c>
      <c r="J150" s="1" t="s">
        <v>1584</v>
      </c>
      <c r="K150" s="6">
        <f t="shared" si="2"/>
        <v>0.0007100591716</v>
      </c>
      <c r="L150" s="7">
        <v>0.009284918051868466</v>
      </c>
      <c r="M150" s="8">
        <f t="shared" si="1"/>
        <v>16483044</v>
      </c>
    </row>
    <row r="151">
      <c r="A151" s="3">
        <v>45723.0</v>
      </c>
      <c r="B151" s="4">
        <v>1682.0</v>
      </c>
      <c r="C151" s="4">
        <v>1701.15</v>
      </c>
      <c r="D151" s="4">
        <v>1677.6</v>
      </c>
      <c r="E151" s="4">
        <v>1691.2</v>
      </c>
      <c r="F151" s="4">
        <v>1689.25</v>
      </c>
      <c r="G151" s="4">
        <v>1690.66</v>
      </c>
      <c r="H151" s="1" t="s">
        <v>1589</v>
      </c>
      <c r="I151" s="1" t="s">
        <v>1591</v>
      </c>
      <c r="J151" s="1" t="s">
        <v>1592</v>
      </c>
      <c r="K151" s="6">
        <f t="shared" si="2"/>
        <v>-0.001153027436</v>
      </c>
      <c r="L151" s="7">
        <v>3.459793210820846E-4</v>
      </c>
      <c r="M151" s="8">
        <f t="shared" si="1"/>
        <v>6686457</v>
      </c>
    </row>
    <row r="152">
      <c r="A152" s="9">
        <v>45726.0</v>
      </c>
      <c r="B152" s="4">
        <v>1689.0</v>
      </c>
      <c r="C152" s="4">
        <v>1699.9</v>
      </c>
      <c r="D152" s="4">
        <v>1683.05</v>
      </c>
      <c r="E152" s="4">
        <v>1689.25</v>
      </c>
      <c r="F152" s="4">
        <v>1687.5</v>
      </c>
      <c r="G152" s="4">
        <v>1689.67</v>
      </c>
      <c r="H152" s="1" t="s">
        <v>1595</v>
      </c>
      <c r="I152" s="1" t="s">
        <v>1598</v>
      </c>
      <c r="J152" s="1" t="s">
        <v>1599</v>
      </c>
      <c r="K152" s="6">
        <f t="shared" si="2"/>
        <v>-0.001035962705</v>
      </c>
      <c r="L152" s="7">
        <v>-0.004088238554484014</v>
      </c>
      <c r="M152" s="8">
        <f t="shared" si="1"/>
        <v>7802025</v>
      </c>
    </row>
    <row r="153">
      <c r="A153" s="9">
        <v>45727.0</v>
      </c>
      <c r="B153" s="4">
        <v>1682.4</v>
      </c>
      <c r="C153" s="4">
        <v>1694.0</v>
      </c>
      <c r="D153" s="4">
        <v>1670.05</v>
      </c>
      <c r="E153" s="4">
        <v>1687.5</v>
      </c>
      <c r="F153" s="4">
        <v>1685.5</v>
      </c>
      <c r="G153" s="4">
        <v>1685.65</v>
      </c>
      <c r="H153" s="1" t="s">
        <v>1606</v>
      </c>
      <c r="I153" s="1" t="s">
        <v>1607</v>
      </c>
      <c r="J153" s="1" t="s">
        <v>1608</v>
      </c>
      <c r="K153" s="6">
        <f t="shared" si="2"/>
        <v>-0.001185185185</v>
      </c>
      <c r="L153" s="7">
        <v>0.0016740649056335927</v>
      </c>
      <c r="M153" s="8">
        <f t="shared" si="1"/>
        <v>9949215</v>
      </c>
    </row>
    <row r="154">
      <c r="A154" s="9">
        <v>45728.0</v>
      </c>
      <c r="B154" s="4">
        <v>1691.55</v>
      </c>
      <c r="C154" s="4">
        <v>1718.5</v>
      </c>
      <c r="D154" s="4">
        <v>1691.55</v>
      </c>
      <c r="E154" s="4">
        <v>1685.5</v>
      </c>
      <c r="F154" s="4">
        <v>1711.15</v>
      </c>
      <c r="G154" s="4">
        <v>1710.44</v>
      </c>
      <c r="H154" s="1" t="s">
        <v>1614</v>
      </c>
      <c r="I154" s="1" t="s">
        <v>1616</v>
      </c>
      <c r="J154" s="1" t="s">
        <v>1617</v>
      </c>
      <c r="K154" s="6">
        <f t="shared" si="2"/>
        <v>0.01521803619</v>
      </c>
      <c r="L154" s="7">
        <v>-0.0012178914476462894</v>
      </c>
      <c r="M154" s="8">
        <f t="shared" si="1"/>
        <v>9392053</v>
      </c>
    </row>
    <row r="155">
      <c r="A155" s="9">
        <v>45729.0</v>
      </c>
      <c r="B155" s="4">
        <v>1716.05</v>
      </c>
      <c r="C155" s="4">
        <v>1720.8</v>
      </c>
      <c r="D155" s="4">
        <v>1700.05</v>
      </c>
      <c r="E155" s="4">
        <v>1711.15</v>
      </c>
      <c r="F155" s="4">
        <v>1706.6</v>
      </c>
      <c r="G155" s="4">
        <v>1711.11</v>
      </c>
      <c r="H155" s="1" t="s">
        <v>1624</v>
      </c>
      <c r="I155" s="1" t="s">
        <v>1625</v>
      </c>
      <c r="J155" s="1" t="s">
        <v>1626</v>
      </c>
      <c r="K155" s="6">
        <f t="shared" si="2"/>
        <v>-0.002659030477</v>
      </c>
      <c r="L155" s="7">
        <v>-0.003262054693932012</v>
      </c>
      <c r="M155" s="8">
        <f t="shared" si="1"/>
        <v>7868132</v>
      </c>
    </row>
    <row r="156">
      <c r="A156" s="9">
        <v>45733.0</v>
      </c>
      <c r="B156" s="4">
        <v>1705.0</v>
      </c>
      <c r="C156" s="4">
        <v>1724.0</v>
      </c>
      <c r="D156" s="4">
        <v>1705.0</v>
      </c>
      <c r="E156" s="4">
        <v>1706.6</v>
      </c>
      <c r="F156" s="4">
        <v>1710.4</v>
      </c>
      <c r="G156" s="4">
        <v>1711.13</v>
      </c>
      <c r="H156" s="1" t="s">
        <v>1634</v>
      </c>
      <c r="I156" s="1" t="s">
        <v>1635</v>
      </c>
      <c r="J156" s="1" t="s">
        <v>1637</v>
      </c>
      <c r="K156" s="6">
        <f t="shared" si="2"/>
        <v>0.002226649478</v>
      </c>
      <c r="L156" s="7">
        <v>0.0049805332809458</v>
      </c>
      <c r="M156" s="8">
        <f t="shared" si="1"/>
        <v>9475957</v>
      </c>
    </row>
    <row r="157">
      <c r="A157" s="9">
        <v>45734.0</v>
      </c>
      <c r="B157" s="4">
        <v>1728.0</v>
      </c>
      <c r="C157" s="4">
        <v>1737.4</v>
      </c>
      <c r="D157" s="4">
        <v>1715.05</v>
      </c>
      <c r="E157" s="4">
        <v>1710.4</v>
      </c>
      <c r="F157" s="4">
        <v>1732.2</v>
      </c>
      <c r="G157" s="4">
        <v>1729.28</v>
      </c>
      <c r="H157" s="1" t="s">
        <v>1643</v>
      </c>
      <c r="I157" s="1" t="s">
        <v>1645</v>
      </c>
      <c r="J157" s="1" t="s">
        <v>1647</v>
      </c>
      <c r="K157" s="6">
        <f t="shared" si="2"/>
        <v>0.01274555659</v>
      </c>
      <c r="L157" s="7">
        <v>0.014463264286110925</v>
      </c>
      <c r="M157" s="8">
        <f t="shared" si="1"/>
        <v>10953589</v>
      </c>
    </row>
    <row r="158">
      <c r="A158" s="9">
        <v>45735.0</v>
      </c>
      <c r="B158" s="4">
        <v>1735.0</v>
      </c>
      <c r="C158" s="4">
        <v>1751.0</v>
      </c>
      <c r="D158" s="4">
        <v>1732.2</v>
      </c>
      <c r="E158" s="4">
        <v>1732.2</v>
      </c>
      <c r="F158" s="4">
        <v>1744.1</v>
      </c>
      <c r="G158" s="4">
        <v>1743.72</v>
      </c>
      <c r="H158" s="1" t="s">
        <v>1652</v>
      </c>
      <c r="I158" s="1" t="s">
        <v>1654</v>
      </c>
      <c r="J158" s="1" t="s">
        <v>1656</v>
      </c>
      <c r="K158" s="6">
        <f t="shared" si="2"/>
        <v>0.006869876458</v>
      </c>
      <c r="L158" s="7">
        <v>0.0032100830767748203</v>
      </c>
      <c r="M158" s="8">
        <f t="shared" si="1"/>
        <v>7610703</v>
      </c>
    </row>
    <row r="159">
      <c r="A159" s="9">
        <v>45736.0</v>
      </c>
      <c r="B159" s="4">
        <v>1754.0</v>
      </c>
      <c r="C159" s="4">
        <v>1774.0</v>
      </c>
      <c r="D159" s="4">
        <v>1749.3</v>
      </c>
      <c r="E159" s="4">
        <v>1744.1</v>
      </c>
      <c r="F159" s="4">
        <v>1768.75</v>
      </c>
      <c r="G159" s="4">
        <v>1760.62</v>
      </c>
      <c r="H159" s="1" t="s">
        <v>1669</v>
      </c>
      <c r="I159" s="1" t="s">
        <v>1670</v>
      </c>
      <c r="J159" s="1" t="s">
        <v>1671</v>
      </c>
      <c r="K159" s="6">
        <f t="shared" si="2"/>
        <v>0.01413336391</v>
      </c>
      <c r="L159" s="7">
        <v>0.0123561612739878</v>
      </c>
      <c r="M159" s="8">
        <f t="shared" si="1"/>
        <v>8916989</v>
      </c>
    </row>
    <row r="160">
      <c r="A160" s="9">
        <v>45737.0</v>
      </c>
      <c r="B160" s="4">
        <v>1755.55</v>
      </c>
      <c r="C160" s="4">
        <v>1774.1</v>
      </c>
      <c r="D160" s="4">
        <v>1755.55</v>
      </c>
      <c r="E160" s="4">
        <v>1768.75</v>
      </c>
      <c r="F160" s="4">
        <v>1770.35</v>
      </c>
      <c r="G160" s="4">
        <v>1766.98</v>
      </c>
      <c r="H160" s="1" t="s">
        <v>1681</v>
      </c>
      <c r="I160" s="1" t="s">
        <v>1682</v>
      </c>
      <c r="J160" s="1" t="s">
        <v>1683</v>
      </c>
      <c r="K160" s="6">
        <f t="shared" si="2"/>
        <v>0.0009045936396</v>
      </c>
      <c r="L160" s="7">
        <v>0.0068885520673202345</v>
      </c>
      <c r="M160" s="8">
        <f t="shared" si="1"/>
        <v>16754132</v>
      </c>
    </row>
    <row r="161">
      <c r="A161" s="9">
        <v>45740.0</v>
      </c>
      <c r="B161" s="4">
        <v>1779.0</v>
      </c>
      <c r="C161" s="4">
        <v>1804.4</v>
      </c>
      <c r="D161" s="4">
        <v>1773.65</v>
      </c>
      <c r="E161" s="4">
        <v>1770.35</v>
      </c>
      <c r="F161" s="4">
        <v>1800.0</v>
      </c>
      <c r="G161" s="4">
        <v>1794.28</v>
      </c>
      <c r="H161" s="1" t="s">
        <v>1692</v>
      </c>
      <c r="I161" s="1" t="s">
        <v>1693</v>
      </c>
      <c r="J161" s="1" t="s">
        <v>1694</v>
      </c>
      <c r="K161" s="6">
        <f t="shared" si="2"/>
        <v>0.01674810066</v>
      </c>
      <c r="L161" s="7">
        <v>0.013188210908592447</v>
      </c>
      <c r="M161" s="8">
        <f t="shared" si="1"/>
        <v>8696868</v>
      </c>
    </row>
    <row r="162">
      <c r="A162" s="9">
        <v>45741.0</v>
      </c>
      <c r="B162" s="4">
        <v>1804.9</v>
      </c>
      <c r="C162" s="4">
        <v>1843.7</v>
      </c>
      <c r="D162" s="4">
        <v>1801.5</v>
      </c>
      <c r="E162" s="4">
        <v>1800.0</v>
      </c>
      <c r="F162" s="4">
        <v>1821.45</v>
      </c>
      <c r="G162" s="4">
        <v>1825.84</v>
      </c>
      <c r="H162" s="1" t="s">
        <v>1702</v>
      </c>
      <c r="I162" s="1" t="s">
        <v>1705</v>
      </c>
      <c r="J162" s="1" t="s">
        <v>1706</v>
      </c>
      <c r="K162" s="6">
        <f t="shared" si="2"/>
        <v>0.01191666667</v>
      </c>
      <c r="L162" s="7">
        <v>4.353642582852528E-4</v>
      </c>
      <c r="M162" s="8">
        <f t="shared" si="1"/>
        <v>19550708</v>
      </c>
    </row>
    <row r="163">
      <c r="A163" s="9">
        <v>45742.0</v>
      </c>
      <c r="B163" s="4">
        <v>1825.0</v>
      </c>
      <c r="C163" s="4">
        <v>1827.5</v>
      </c>
      <c r="D163" s="4">
        <v>1802.0</v>
      </c>
      <c r="E163" s="4">
        <v>1821.45</v>
      </c>
      <c r="F163" s="4">
        <v>1806.55</v>
      </c>
      <c r="G163" s="4">
        <v>1814.11</v>
      </c>
      <c r="H163" s="1" t="s">
        <v>1710</v>
      </c>
      <c r="I163" s="1" t="s">
        <v>1712</v>
      </c>
      <c r="J163" s="1" t="s">
        <v>1714</v>
      </c>
      <c r="K163" s="6">
        <f t="shared" si="2"/>
        <v>-0.008180295918</v>
      </c>
      <c r="L163" s="7">
        <v>-0.007681046447516141</v>
      </c>
      <c r="M163" s="8">
        <f t="shared" si="1"/>
        <v>12239221</v>
      </c>
    </row>
    <row r="164">
      <c r="A164" s="9">
        <v>45743.0</v>
      </c>
      <c r="B164" s="4">
        <v>1800.0</v>
      </c>
      <c r="C164" s="4">
        <v>1841.0</v>
      </c>
      <c r="D164" s="4">
        <v>1798.1</v>
      </c>
      <c r="E164" s="4">
        <v>1806.55</v>
      </c>
      <c r="F164" s="4">
        <v>1825.35</v>
      </c>
      <c r="G164" s="4">
        <v>1827.55</v>
      </c>
      <c r="H164" s="1" t="s">
        <v>1721</v>
      </c>
      <c r="I164" s="1" t="s">
        <v>1723</v>
      </c>
      <c r="J164" s="1" t="s">
        <v>1726</v>
      </c>
      <c r="K164" s="6">
        <f t="shared" si="2"/>
        <v>0.01040657607</v>
      </c>
      <c r="L164" s="7">
        <v>0.004474844434226054</v>
      </c>
      <c r="M164" s="8">
        <f t="shared" si="1"/>
        <v>20829050</v>
      </c>
    </row>
    <row r="165">
      <c r="A165" s="9">
        <v>45744.0</v>
      </c>
      <c r="B165" s="4">
        <v>1829.0</v>
      </c>
      <c r="C165" s="4">
        <v>1836.0</v>
      </c>
      <c r="D165" s="4">
        <v>1805.85</v>
      </c>
      <c r="E165" s="4">
        <v>1825.35</v>
      </c>
      <c r="F165" s="4">
        <v>1828.2</v>
      </c>
      <c r="G165" s="4">
        <v>1821.88</v>
      </c>
      <c r="H165" s="1" t="s">
        <v>1736</v>
      </c>
      <c r="I165" s="1" t="s">
        <v>1737</v>
      </c>
      <c r="J165" s="1" t="s">
        <v>1739</v>
      </c>
      <c r="K165" s="6">
        <f t="shared" si="2"/>
        <v>0.0015613444</v>
      </c>
      <c r="L165" s="7">
        <v>-0.003077320865803894</v>
      </c>
      <c r="M165" s="8">
        <f t="shared" si="1"/>
        <v>14386824</v>
      </c>
    </row>
    <row r="166">
      <c r="A166" s="3">
        <v>45748.0</v>
      </c>
      <c r="B166" s="4">
        <v>1802.0</v>
      </c>
      <c r="C166" s="4">
        <v>1809.9</v>
      </c>
      <c r="D166" s="4">
        <v>1765.35</v>
      </c>
      <c r="E166" s="4">
        <v>1828.2</v>
      </c>
      <c r="F166" s="4">
        <v>1767.85</v>
      </c>
      <c r="G166" s="4">
        <v>1781.74</v>
      </c>
      <c r="H166" s="1" t="s">
        <v>1748</v>
      </c>
      <c r="I166" s="1" t="s">
        <v>1749</v>
      </c>
      <c r="J166" s="1" t="s">
        <v>1750</v>
      </c>
      <c r="K166" s="6">
        <f t="shared" si="2"/>
        <v>-0.03301061153</v>
      </c>
      <c r="L166" s="7">
        <v>-0.015036555006834706</v>
      </c>
      <c r="M166" s="8">
        <f t="shared" si="1"/>
        <v>14255503</v>
      </c>
    </row>
    <row r="167">
      <c r="A167" s="3">
        <v>45749.0</v>
      </c>
      <c r="B167" s="4">
        <v>1770.7</v>
      </c>
      <c r="C167" s="4">
        <v>1799.2</v>
      </c>
      <c r="D167" s="4">
        <v>1770.7</v>
      </c>
      <c r="E167" s="4">
        <v>1767.85</v>
      </c>
      <c r="F167" s="4">
        <v>1796.9</v>
      </c>
      <c r="G167" s="4">
        <v>1791.24</v>
      </c>
      <c r="H167" s="1" t="s">
        <v>1758</v>
      </c>
      <c r="I167" s="1" t="s">
        <v>1760</v>
      </c>
      <c r="J167" s="1" t="s">
        <v>1761</v>
      </c>
      <c r="K167" s="6">
        <f t="shared" si="2"/>
        <v>0.01643238963</v>
      </c>
      <c r="L167" s="7">
        <v>0.007193825353863592</v>
      </c>
      <c r="M167" s="8">
        <f t="shared" si="1"/>
        <v>5786782</v>
      </c>
    </row>
    <row r="168">
      <c r="A168" s="3">
        <v>45750.0</v>
      </c>
      <c r="B168" s="4">
        <v>1781.1</v>
      </c>
      <c r="C168" s="4">
        <v>1804.0</v>
      </c>
      <c r="D168" s="4">
        <v>1777.0</v>
      </c>
      <c r="E168" s="4">
        <v>1796.9</v>
      </c>
      <c r="F168" s="4">
        <v>1794.85</v>
      </c>
      <c r="G168" s="4">
        <v>1794.09</v>
      </c>
      <c r="H168" s="1" t="s">
        <v>1768</v>
      </c>
      <c r="I168" s="1" t="s">
        <v>1770</v>
      </c>
      <c r="J168" s="1" t="s">
        <v>1772</v>
      </c>
      <c r="K168" s="6">
        <f t="shared" si="2"/>
        <v>-0.001140853692</v>
      </c>
      <c r="L168" s="7">
        <v>-0.0035251485598321647</v>
      </c>
      <c r="M168" s="8">
        <f t="shared" si="1"/>
        <v>5625019</v>
      </c>
    </row>
    <row r="169">
      <c r="A169" s="3">
        <v>45751.0</v>
      </c>
      <c r="B169" s="4">
        <v>1813.0</v>
      </c>
      <c r="C169" s="4">
        <v>1841.95</v>
      </c>
      <c r="D169" s="4">
        <v>1811.1</v>
      </c>
      <c r="E169" s="4">
        <v>1794.85</v>
      </c>
      <c r="F169" s="4">
        <v>1817.3</v>
      </c>
      <c r="G169" s="4">
        <v>1824.22</v>
      </c>
      <c r="H169" s="1" t="s">
        <v>1782</v>
      </c>
      <c r="I169" s="1" t="s">
        <v>1783</v>
      </c>
      <c r="J169" s="1" t="s">
        <v>1785</v>
      </c>
      <c r="K169" s="6">
        <f t="shared" si="2"/>
        <v>0.01250800903</v>
      </c>
      <c r="L169" s="7">
        <v>-0.014866602724289265</v>
      </c>
      <c r="M169" s="8">
        <f t="shared" si="1"/>
        <v>16770227</v>
      </c>
    </row>
    <row r="170">
      <c r="A170" s="3">
        <v>45754.0</v>
      </c>
      <c r="B170" s="4">
        <v>1762.8</v>
      </c>
      <c r="C170" s="4">
        <v>1779.85</v>
      </c>
      <c r="D170" s="4">
        <v>1738.2</v>
      </c>
      <c r="E170" s="4">
        <v>1817.3</v>
      </c>
      <c r="F170" s="4">
        <v>1757.7</v>
      </c>
      <c r="G170" s="4">
        <v>1759.15</v>
      </c>
      <c r="H170" s="1" t="s">
        <v>1792</v>
      </c>
      <c r="I170" s="1" t="s">
        <v>1794</v>
      </c>
      <c r="J170" s="1" t="s">
        <v>1796</v>
      </c>
      <c r="K170" s="6">
        <f t="shared" si="2"/>
        <v>-0.03279590601</v>
      </c>
      <c r="L170" s="7">
        <v>-0.03243256223135688</v>
      </c>
      <c r="M170" s="8">
        <f t="shared" si="1"/>
        <v>18997725</v>
      </c>
    </row>
    <row r="171">
      <c r="A171" s="3">
        <v>45755.0</v>
      </c>
      <c r="B171" s="4">
        <v>1765.0</v>
      </c>
      <c r="C171" s="4">
        <v>1782.0</v>
      </c>
      <c r="D171" s="4">
        <v>1750.3</v>
      </c>
      <c r="E171" s="4">
        <v>1757.7</v>
      </c>
      <c r="F171" s="4">
        <v>1769.15</v>
      </c>
      <c r="G171" s="4">
        <v>1769.16</v>
      </c>
      <c r="H171" s="1" t="s">
        <v>1800</v>
      </c>
      <c r="I171" s="1" t="s">
        <v>1801</v>
      </c>
      <c r="J171" s="1" t="s">
        <v>1803</v>
      </c>
      <c r="K171" s="6">
        <f t="shared" si="2"/>
        <v>0.006514194686</v>
      </c>
      <c r="L171" s="7">
        <v>0.016887318605154862</v>
      </c>
      <c r="M171" s="8">
        <f t="shared" si="1"/>
        <v>17781936</v>
      </c>
    </row>
    <row r="172">
      <c r="A172" s="3">
        <v>45756.0</v>
      </c>
      <c r="B172" s="4">
        <v>1765.0</v>
      </c>
      <c r="C172" s="4">
        <v>1775.0</v>
      </c>
      <c r="D172" s="4">
        <v>1753.5</v>
      </c>
      <c r="E172" s="4">
        <v>1769.15</v>
      </c>
      <c r="F172" s="4">
        <v>1765.0</v>
      </c>
      <c r="G172" s="4">
        <v>1761.66</v>
      </c>
      <c r="H172" s="1" t="s">
        <v>1812</v>
      </c>
      <c r="I172" s="1" t="s">
        <v>1813</v>
      </c>
      <c r="J172" s="1" t="s">
        <v>1814</v>
      </c>
      <c r="K172" s="6">
        <f t="shared" si="2"/>
        <v>-0.002345759263</v>
      </c>
      <c r="L172" s="7">
        <v>-0.00606589056991403</v>
      </c>
      <c r="M172" s="8">
        <f t="shared" si="1"/>
        <v>11227304</v>
      </c>
    </row>
    <row r="173">
      <c r="A173" s="9">
        <v>45758.0</v>
      </c>
      <c r="B173" s="4">
        <v>1774.75</v>
      </c>
      <c r="C173" s="4">
        <v>1819.4</v>
      </c>
      <c r="D173" s="4">
        <v>1774.75</v>
      </c>
      <c r="E173" s="4">
        <v>1765.0</v>
      </c>
      <c r="F173" s="4">
        <v>1806.75</v>
      </c>
      <c r="G173" s="4">
        <v>1803.31</v>
      </c>
      <c r="H173" s="1" t="s">
        <v>1824</v>
      </c>
      <c r="I173" s="1" t="s">
        <v>1825</v>
      </c>
      <c r="J173" s="1" t="s">
        <v>1826</v>
      </c>
      <c r="K173" s="6">
        <f t="shared" si="2"/>
        <v>0.02365439093</v>
      </c>
      <c r="L173" s="7">
        <v>0.019170370304230196</v>
      </c>
      <c r="M173" s="8">
        <f t="shared" si="1"/>
        <v>16387883</v>
      </c>
    </row>
    <row r="174">
      <c r="A174" s="9">
        <v>45762.0</v>
      </c>
      <c r="B174" s="4">
        <v>1865.0</v>
      </c>
      <c r="C174" s="4">
        <v>1876.8</v>
      </c>
      <c r="D174" s="4">
        <v>1855.0</v>
      </c>
      <c r="E174" s="4">
        <v>1806.75</v>
      </c>
      <c r="F174" s="4">
        <v>1864.9</v>
      </c>
      <c r="G174" s="4">
        <v>1866.76</v>
      </c>
      <c r="H174" s="1" t="s">
        <v>1833</v>
      </c>
      <c r="I174" s="1" t="s">
        <v>1834</v>
      </c>
      <c r="J174" s="1" t="s">
        <v>1835</v>
      </c>
      <c r="K174" s="6">
        <f t="shared" si="2"/>
        <v>0.03218486232</v>
      </c>
      <c r="L174" s="7">
        <v>0.021902398531663203</v>
      </c>
      <c r="M174" s="8">
        <f t="shared" si="1"/>
        <v>24649172</v>
      </c>
    </row>
    <row r="175">
      <c r="A175" s="9">
        <v>45763.0</v>
      </c>
      <c r="B175" s="4">
        <v>1883.8</v>
      </c>
      <c r="C175" s="4">
        <v>1883.8</v>
      </c>
      <c r="D175" s="4">
        <v>1860.5</v>
      </c>
      <c r="E175" s="4">
        <v>1864.9</v>
      </c>
      <c r="F175" s="4">
        <v>1878.0</v>
      </c>
      <c r="G175" s="4">
        <v>1874.15</v>
      </c>
      <c r="H175" s="1" t="s">
        <v>1845</v>
      </c>
      <c r="I175" s="1" t="s">
        <v>1846</v>
      </c>
      <c r="J175" s="1" t="s">
        <v>1847</v>
      </c>
      <c r="K175" s="6">
        <f t="shared" si="2"/>
        <v>0.007024505335</v>
      </c>
      <c r="L175" s="7">
        <v>0.0046573833350123115</v>
      </c>
      <c r="M175" s="8">
        <f t="shared" si="1"/>
        <v>9568410</v>
      </c>
    </row>
    <row r="176">
      <c r="A176" s="9">
        <v>45764.0</v>
      </c>
      <c r="B176" s="4">
        <v>1882.0</v>
      </c>
      <c r="C176" s="4">
        <v>1919.7</v>
      </c>
      <c r="D176" s="4">
        <v>1876.7</v>
      </c>
      <c r="E176" s="4">
        <v>1878.0</v>
      </c>
      <c r="F176" s="4">
        <v>1906.7</v>
      </c>
      <c r="G176" s="4">
        <v>1901.41</v>
      </c>
      <c r="H176" s="1" t="s">
        <v>1854</v>
      </c>
      <c r="I176" s="1" t="s">
        <v>1855</v>
      </c>
      <c r="J176" s="1" t="s">
        <v>1856</v>
      </c>
      <c r="K176" s="6">
        <f t="shared" si="2"/>
        <v>0.01528221512</v>
      </c>
      <c r="L176" s="7">
        <v>0.017683426347857283</v>
      </c>
      <c r="M176" s="8">
        <f t="shared" si="1"/>
        <v>17851542</v>
      </c>
    </row>
    <row r="177">
      <c r="A177" s="9">
        <v>45768.0</v>
      </c>
      <c r="B177" s="4">
        <v>1924.0</v>
      </c>
      <c r="C177" s="4">
        <v>1950.7</v>
      </c>
      <c r="D177" s="4">
        <v>1910.0</v>
      </c>
      <c r="E177" s="4">
        <v>1906.7</v>
      </c>
      <c r="F177" s="4">
        <v>1927.1</v>
      </c>
      <c r="G177" s="4">
        <v>1930.83</v>
      </c>
      <c r="H177" s="1" t="s">
        <v>1863</v>
      </c>
      <c r="I177" s="1" t="s">
        <v>1864</v>
      </c>
      <c r="J177" s="1" t="s">
        <v>1866</v>
      </c>
      <c r="K177" s="6">
        <f t="shared" si="2"/>
        <v>0.01069911365</v>
      </c>
      <c r="L177" s="7">
        <v>0.011483482274811085</v>
      </c>
      <c r="M177" s="8">
        <f t="shared" si="1"/>
        <v>17123649</v>
      </c>
    </row>
    <row r="178">
      <c r="A178" s="9">
        <v>45769.0</v>
      </c>
      <c r="B178" s="4">
        <v>1935.0</v>
      </c>
      <c r="C178" s="4">
        <v>1970.6</v>
      </c>
      <c r="D178" s="4">
        <v>1935.0</v>
      </c>
      <c r="E178" s="4">
        <v>1927.1</v>
      </c>
      <c r="F178" s="4">
        <v>1961.7</v>
      </c>
      <c r="G178" s="4">
        <v>1957.16</v>
      </c>
      <c r="H178" s="1" t="s">
        <v>1872</v>
      </c>
      <c r="I178" s="1" t="s">
        <v>1875</v>
      </c>
      <c r="J178" s="1" t="s">
        <v>1876</v>
      </c>
      <c r="K178" s="6">
        <f t="shared" si="2"/>
        <v>0.01795443931</v>
      </c>
      <c r="L178" s="7">
        <v>0.0017284580040662588</v>
      </c>
      <c r="M178" s="8">
        <f t="shared" si="1"/>
        <v>22980875</v>
      </c>
    </row>
    <row r="179">
      <c r="A179" s="9">
        <v>45770.0</v>
      </c>
      <c r="B179" s="4">
        <v>1978.9</v>
      </c>
      <c r="C179" s="4">
        <v>1978.9</v>
      </c>
      <c r="D179" s="4">
        <v>1920.5</v>
      </c>
      <c r="E179" s="4">
        <v>1961.7</v>
      </c>
      <c r="F179" s="4">
        <v>1923.9</v>
      </c>
      <c r="G179" s="4">
        <v>1939.04</v>
      </c>
      <c r="H179" s="1" t="s">
        <v>1884</v>
      </c>
      <c r="I179" s="1" t="s">
        <v>1885</v>
      </c>
      <c r="J179" s="1" t="s">
        <v>1886</v>
      </c>
      <c r="K179" s="6">
        <f t="shared" si="2"/>
        <v>-0.01926900138</v>
      </c>
      <c r="L179" s="7">
        <v>0.006690872978928125</v>
      </c>
      <c r="M179" s="8">
        <f t="shared" si="1"/>
        <v>15285321</v>
      </c>
    </row>
    <row r="180">
      <c r="A180" s="9">
        <v>45771.0</v>
      </c>
      <c r="B180" s="4">
        <v>1910.0</v>
      </c>
      <c r="C180" s="4">
        <v>1923.9</v>
      </c>
      <c r="D180" s="4">
        <v>1905.1</v>
      </c>
      <c r="E180" s="4">
        <v>1923.9</v>
      </c>
      <c r="F180" s="4">
        <v>1916.8</v>
      </c>
      <c r="G180" s="4">
        <v>1916.73</v>
      </c>
      <c r="H180" s="1" t="s">
        <v>1892</v>
      </c>
      <c r="I180" s="1" t="s">
        <v>1896</v>
      </c>
      <c r="J180" s="1" t="s">
        <v>1897</v>
      </c>
      <c r="K180" s="6">
        <f t="shared" si="2"/>
        <v>-0.0036904205</v>
      </c>
      <c r="L180" s="7">
        <v>-0.0033807459836943227</v>
      </c>
      <c r="M180" s="8">
        <f t="shared" si="1"/>
        <v>12965877</v>
      </c>
    </row>
    <row r="181">
      <c r="A181" s="9">
        <v>45772.0</v>
      </c>
      <c r="B181" s="4">
        <v>1924.8</v>
      </c>
      <c r="C181" s="4">
        <v>1933.0</v>
      </c>
      <c r="D181" s="4">
        <v>1891.8</v>
      </c>
      <c r="E181" s="4">
        <v>1916.8</v>
      </c>
      <c r="F181" s="4">
        <v>1911.2</v>
      </c>
      <c r="G181" s="4">
        <v>1911.37</v>
      </c>
      <c r="H181" s="1" t="s">
        <v>1905</v>
      </c>
      <c r="I181" s="1" t="s">
        <v>1906</v>
      </c>
      <c r="J181" s="1" t="s">
        <v>1908</v>
      </c>
      <c r="K181" s="6">
        <f t="shared" si="2"/>
        <v>-0.002921535893</v>
      </c>
      <c r="L181" s="7">
        <v>-0.008551679197581616</v>
      </c>
      <c r="M181" s="8">
        <f t="shared" si="1"/>
        <v>9250439</v>
      </c>
    </row>
    <row r="182">
      <c r="A182" s="9">
        <v>45775.0</v>
      </c>
      <c r="B182" s="4">
        <v>1911.2</v>
      </c>
      <c r="C182" s="4">
        <v>1929.7</v>
      </c>
      <c r="D182" s="4">
        <v>1908.4</v>
      </c>
      <c r="E182" s="4">
        <v>1911.2</v>
      </c>
      <c r="F182" s="4">
        <v>1920.2</v>
      </c>
      <c r="G182" s="4">
        <v>1922.17</v>
      </c>
      <c r="H182" s="1" t="s">
        <v>1914</v>
      </c>
      <c r="I182" s="1" t="s">
        <v>1915</v>
      </c>
      <c r="J182" s="1" t="s">
        <v>1916</v>
      </c>
      <c r="K182" s="6">
        <f t="shared" si="2"/>
        <v>0.004709083298</v>
      </c>
      <c r="L182" s="7">
        <v>0.012028195437896677</v>
      </c>
      <c r="M182" s="8">
        <f t="shared" si="1"/>
        <v>6960246</v>
      </c>
    </row>
    <row r="183">
      <c r="A183" s="9">
        <v>45776.0</v>
      </c>
      <c r="B183" s="4">
        <v>1918.8</v>
      </c>
      <c r="C183" s="4">
        <v>1928.8</v>
      </c>
      <c r="D183" s="4">
        <v>1900.2</v>
      </c>
      <c r="E183" s="4">
        <v>1920.2</v>
      </c>
      <c r="F183" s="4">
        <v>1908.8</v>
      </c>
      <c r="G183" s="4">
        <v>1909.52</v>
      </c>
      <c r="H183" s="1" t="s">
        <v>1921</v>
      </c>
      <c r="I183" s="1" t="s">
        <v>1923</v>
      </c>
      <c r="J183" s="1" t="s">
        <v>1925</v>
      </c>
      <c r="K183" s="6">
        <f t="shared" si="2"/>
        <v>-0.005936881575</v>
      </c>
      <c r="L183" s="7">
        <v>3.062252091169093E-4</v>
      </c>
      <c r="M183" s="8">
        <f t="shared" si="1"/>
        <v>9459154</v>
      </c>
    </row>
    <row r="184">
      <c r="A184" s="9">
        <v>45777.0</v>
      </c>
      <c r="B184" s="4">
        <v>1913.0</v>
      </c>
      <c r="C184" s="4">
        <v>1936.9</v>
      </c>
      <c r="D184" s="4">
        <v>1910.3</v>
      </c>
      <c r="E184" s="4">
        <v>1908.8</v>
      </c>
      <c r="F184" s="4">
        <v>1925.0</v>
      </c>
      <c r="G184" s="4">
        <v>1925.02</v>
      </c>
      <c r="H184" s="1" t="s">
        <v>1930</v>
      </c>
      <c r="I184" s="1" t="s">
        <v>1931</v>
      </c>
      <c r="J184" s="1" t="s">
        <v>1932</v>
      </c>
      <c r="K184" s="6">
        <f t="shared" si="2"/>
        <v>0.008487007544</v>
      </c>
      <c r="L184" s="7">
        <v>-7.191007542339626E-5</v>
      </c>
      <c r="M184" s="8">
        <f t="shared" si="1"/>
        <v>15968435</v>
      </c>
    </row>
    <row r="185">
      <c r="A185" s="12">
        <v>45779.0</v>
      </c>
      <c r="B185" s="4">
        <v>1929.8</v>
      </c>
      <c r="C185" s="4">
        <v>1941.9</v>
      </c>
      <c r="D185" s="4">
        <v>1920.0</v>
      </c>
      <c r="E185" s="4">
        <v>1925.0</v>
      </c>
      <c r="F185" s="4">
        <v>1925.0</v>
      </c>
      <c r="G185" s="4">
        <v>1930.63</v>
      </c>
      <c r="H185" s="1" t="s">
        <v>1946</v>
      </c>
      <c r="I185" s="1" t="s">
        <v>1948</v>
      </c>
      <c r="J185" s="1" t="s">
        <v>1949</v>
      </c>
      <c r="K185" s="6">
        <f t="shared" si="2"/>
        <v>0</v>
      </c>
      <c r="L185" s="7">
        <v>5.136803346730116E-4</v>
      </c>
      <c r="M185" s="8">
        <f t="shared" si="1"/>
        <v>11406024</v>
      </c>
    </row>
    <row r="186">
      <c r="A186" s="12">
        <v>45782.0</v>
      </c>
      <c r="B186" s="4">
        <v>1939.0</v>
      </c>
      <c r="C186" s="4">
        <v>1952.0</v>
      </c>
      <c r="D186" s="4">
        <v>1932.3</v>
      </c>
      <c r="E186" s="4">
        <v>1925.0</v>
      </c>
      <c r="F186" s="4">
        <v>1936.8</v>
      </c>
      <c r="G186" s="4">
        <v>1940.79</v>
      </c>
      <c r="H186" s="1" t="s">
        <v>1956</v>
      </c>
      <c r="I186" s="1" t="s">
        <v>1958</v>
      </c>
      <c r="J186" s="1" t="s">
        <v>1960</v>
      </c>
      <c r="K186" s="6">
        <f t="shared" si="2"/>
        <v>0.00612987013</v>
      </c>
      <c r="L186" s="7">
        <v>0.004700842413961675</v>
      </c>
      <c r="M186" s="8">
        <f t="shared" si="1"/>
        <v>7534012</v>
      </c>
    </row>
    <row r="187">
      <c r="A187" s="12">
        <v>45783.0</v>
      </c>
      <c r="B187" s="4">
        <v>1930.0</v>
      </c>
      <c r="C187" s="4">
        <v>1940.1</v>
      </c>
      <c r="D187" s="4">
        <v>1924.3</v>
      </c>
      <c r="E187" s="4">
        <v>1936.8</v>
      </c>
      <c r="F187" s="4">
        <v>1931.7</v>
      </c>
      <c r="G187" s="4">
        <v>1931.89</v>
      </c>
      <c r="H187" s="1" t="s">
        <v>1965</v>
      </c>
      <c r="I187" s="1" t="s">
        <v>1967</v>
      </c>
      <c r="J187" s="1" t="s">
        <v>1968</v>
      </c>
      <c r="K187" s="6">
        <f t="shared" si="2"/>
        <v>-0.002633209418</v>
      </c>
      <c r="L187" s="7">
        <v>-0.003333857974788712</v>
      </c>
      <c r="M187" s="8">
        <f t="shared" si="1"/>
        <v>8745078</v>
      </c>
    </row>
    <row r="188">
      <c r="A188" s="12">
        <v>45784.0</v>
      </c>
      <c r="B188" s="4">
        <v>1934.0</v>
      </c>
      <c r="C188" s="4">
        <v>1948.7</v>
      </c>
      <c r="D188" s="4">
        <v>1922.4</v>
      </c>
      <c r="E188" s="4">
        <v>1931.7</v>
      </c>
      <c r="F188" s="4">
        <v>1945.6</v>
      </c>
      <c r="G188" s="4">
        <v>1939.91</v>
      </c>
      <c r="H188" s="1" t="s">
        <v>1977</v>
      </c>
      <c r="I188" s="1" t="s">
        <v>1978</v>
      </c>
      <c r="J188" s="1" t="s">
        <v>1979</v>
      </c>
      <c r="K188" s="6">
        <f t="shared" si="2"/>
        <v>0.007195734327</v>
      </c>
      <c r="L188" s="7">
        <v>0.0014274229273656218</v>
      </c>
      <c r="M188" s="8">
        <f t="shared" si="1"/>
        <v>10710389</v>
      </c>
    </row>
    <row r="189">
      <c r="A189" s="12">
        <v>45785.0</v>
      </c>
      <c r="B189" s="4">
        <v>1954.8</v>
      </c>
      <c r="C189" s="4">
        <v>1954.8</v>
      </c>
      <c r="D189" s="4">
        <v>1919.1</v>
      </c>
      <c r="E189" s="4">
        <v>1945.6</v>
      </c>
      <c r="F189" s="4">
        <v>1928.5</v>
      </c>
      <c r="G189" s="4">
        <v>1933.8</v>
      </c>
      <c r="H189" s="1" t="s">
        <v>1989</v>
      </c>
      <c r="I189" s="1" t="s">
        <v>1990</v>
      </c>
      <c r="J189" s="1" t="s">
        <v>1991</v>
      </c>
      <c r="K189" s="6">
        <f t="shared" si="2"/>
        <v>-0.0087890625</v>
      </c>
      <c r="L189" s="7">
        <v>-0.005758896389016407</v>
      </c>
      <c r="M189" s="8">
        <f t="shared" si="1"/>
        <v>17401715</v>
      </c>
    </row>
    <row r="190">
      <c r="A190" s="12">
        <v>45786.0</v>
      </c>
      <c r="B190" s="4">
        <v>1910.1</v>
      </c>
      <c r="C190" s="4">
        <v>1919.0</v>
      </c>
      <c r="D190" s="4">
        <v>1886.8</v>
      </c>
      <c r="E190" s="4">
        <v>1928.5</v>
      </c>
      <c r="F190" s="4">
        <v>1889.7</v>
      </c>
      <c r="G190" s="4">
        <v>1894.97</v>
      </c>
      <c r="H190" s="1" t="s">
        <v>2007</v>
      </c>
      <c r="I190" s="1" t="s">
        <v>2008</v>
      </c>
      <c r="J190" s="1" t="s">
        <v>2009</v>
      </c>
      <c r="K190" s="6">
        <f t="shared" si="2"/>
        <v>-0.02011926368</v>
      </c>
      <c r="L190" s="7">
        <v>-0.01095007786172743</v>
      </c>
      <c r="M190" s="8">
        <f t="shared" si="1"/>
        <v>8594398</v>
      </c>
    </row>
    <row r="191">
      <c r="A191" s="13">
        <v>45789.0</v>
      </c>
      <c r="B191" s="4">
        <v>1917.6</v>
      </c>
      <c r="C191" s="4">
        <v>1959.9</v>
      </c>
      <c r="D191" s="4">
        <v>1912.3</v>
      </c>
      <c r="E191" s="4">
        <v>1889.7</v>
      </c>
      <c r="F191" s="4">
        <v>1957.2</v>
      </c>
      <c r="G191" s="4">
        <v>1948.86</v>
      </c>
      <c r="H191" s="1" t="s">
        <v>2018</v>
      </c>
      <c r="I191" s="1" t="s">
        <v>2020</v>
      </c>
      <c r="J191" s="1" t="s">
        <v>2021</v>
      </c>
      <c r="K191" s="6">
        <f t="shared" si="2"/>
        <v>0.03571995555</v>
      </c>
      <c r="L191" s="7">
        <v>0.03818310563145621</v>
      </c>
      <c r="M191" s="8">
        <f t="shared" si="1"/>
        <v>9309486</v>
      </c>
    </row>
    <row r="192">
      <c r="A192" s="13">
        <v>45790.0</v>
      </c>
      <c r="B192" s="4">
        <v>1950.0</v>
      </c>
      <c r="C192" s="4">
        <v>1961.7</v>
      </c>
      <c r="D192" s="4">
        <v>1920.0</v>
      </c>
      <c r="E192" s="4">
        <v>1957.2</v>
      </c>
      <c r="F192" s="4">
        <v>1922.6</v>
      </c>
      <c r="G192" s="4">
        <v>1930.6</v>
      </c>
      <c r="H192" s="1" t="s">
        <v>2028</v>
      </c>
      <c r="I192" s="1" t="s">
        <v>2030</v>
      </c>
      <c r="J192" s="1" t="s">
        <v>2032</v>
      </c>
      <c r="K192" s="6">
        <f t="shared" si="2"/>
        <v>-0.01767831596</v>
      </c>
      <c r="L192" s="7">
        <v>-0.01389585431319142</v>
      </c>
      <c r="M192" s="8">
        <f t="shared" si="1"/>
        <v>12121051</v>
      </c>
    </row>
    <row r="193">
      <c r="A193" s="13">
        <v>45791.0</v>
      </c>
      <c r="B193" s="4">
        <v>1922.1</v>
      </c>
      <c r="C193" s="4">
        <v>1930.2</v>
      </c>
      <c r="D193" s="4">
        <v>1903.0</v>
      </c>
      <c r="E193" s="4">
        <v>1922.6</v>
      </c>
      <c r="F193" s="4">
        <v>1910.6</v>
      </c>
      <c r="G193" s="4">
        <v>1914.76</v>
      </c>
      <c r="H193" s="1" t="s">
        <v>2041</v>
      </c>
      <c r="I193" s="1" t="s">
        <v>2044</v>
      </c>
      <c r="J193" s="1" t="s">
        <v>2046</v>
      </c>
      <c r="K193" s="6">
        <f t="shared" si="2"/>
        <v>-0.006241547904</v>
      </c>
      <c r="L193" s="7">
        <v>0.0036027642213575326</v>
      </c>
      <c r="M193" s="8">
        <f t="shared" si="1"/>
        <v>7722654</v>
      </c>
    </row>
    <row r="194">
      <c r="A194" s="13">
        <v>45792.0</v>
      </c>
      <c r="B194" s="4">
        <v>1913.5</v>
      </c>
      <c r="C194" s="4">
        <v>1944.8</v>
      </c>
      <c r="D194" s="4">
        <v>1897.0</v>
      </c>
      <c r="E194" s="4">
        <v>1910.6</v>
      </c>
      <c r="F194" s="4">
        <v>1933.8</v>
      </c>
      <c r="G194" s="4">
        <v>1923.01</v>
      </c>
      <c r="H194" s="1" t="s">
        <v>2048</v>
      </c>
      <c r="I194" s="1" t="s">
        <v>2051</v>
      </c>
      <c r="J194" s="1" t="s">
        <v>2054</v>
      </c>
      <c r="K194" s="6">
        <f t="shared" si="2"/>
        <v>0.01214278237</v>
      </c>
      <c r="L194" s="7">
        <v>0.01602147006717492</v>
      </c>
      <c r="M194" s="8">
        <f t="shared" si="1"/>
        <v>16120729</v>
      </c>
    </row>
    <row r="195">
      <c r="A195" s="13">
        <v>45793.0</v>
      </c>
      <c r="B195" s="4">
        <v>1933.8</v>
      </c>
      <c r="C195" s="4">
        <v>1943.8</v>
      </c>
      <c r="D195" s="4">
        <v>1928.4</v>
      </c>
      <c r="E195" s="4">
        <v>1933.8</v>
      </c>
      <c r="F195" s="4">
        <v>1934.7</v>
      </c>
      <c r="G195" s="4">
        <v>1933.5</v>
      </c>
      <c r="H195" s="1" t="s">
        <v>2061</v>
      </c>
      <c r="I195" s="1" t="s">
        <v>2064</v>
      </c>
      <c r="J195" s="1" t="s">
        <v>2065</v>
      </c>
      <c r="K195" s="6">
        <f t="shared" si="2"/>
        <v>0.0004654049023</v>
      </c>
      <c r="L195" s="7">
        <v>-0.0016878074862042396</v>
      </c>
      <c r="M195" s="8">
        <f t="shared" si="1"/>
        <v>7934005</v>
      </c>
    </row>
    <row r="196">
      <c r="A196" s="13">
        <v>45796.0</v>
      </c>
      <c r="B196" s="4">
        <v>1937.0</v>
      </c>
      <c r="C196" s="4">
        <v>1945.0</v>
      </c>
      <c r="D196" s="4">
        <v>1931.0</v>
      </c>
      <c r="E196" s="4">
        <v>1934.7</v>
      </c>
      <c r="F196" s="4">
        <v>1938.7</v>
      </c>
      <c r="G196" s="4">
        <v>1938.13</v>
      </c>
      <c r="H196" s="1" t="s">
        <v>2072</v>
      </c>
      <c r="I196" s="1" t="s">
        <v>2075</v>
      </c>
      <c r="J196" s="1" t="s">
        <v>2078</v>
      </c>
      <c r="K196" s="6">
        <f t="shared" si="2"/>
        <v>0.002067504006</v>
      </c>
      <c r="L196" s="7">
        <v>-0.0029716464560067845</v>
      </c>
      <c r="M196" s="8">
        <f t="shared" si="1"/>
        <v>5101482</v>
      </c>
    </row>
    <row r="197">
      <c r="A197" s="13">
        <v>45797.0</v>
      </c>
      <c r="B197" s="4">
        <v>1928.1</v>
      </c>
      <c r="C197" s="4">
        <v>1934.6</v>
      </c>
      <c r="D197" s="4">
        <v>1913.0</v>
      </c>
      <c r="E197" s="4">
        <v>1938.7</v>
      </c>
      <c r="F197" s="4">
        <v>1914.9</v>
      </c>
      <c r="G197" s="4">
        <v>1918.55</v>
      </c>
      <c r="H197" s="1" t="s">
        <v>2082</v>
      </c>
      <c r="I197" s="1" t="s">
        <v>2083</v>
      </c>
      <c r="J197" s="1" t="s">
        <v>2085</v>
      </c>
      <c r="K197" s="6">
        <f t="shared" si="2"/>
        <v>-0.0122762676</v>
      </c>
      <c r="L197" s="7">
        <v>-0.01048487800380427</v>
      </c>
      <c r="M197" s="8">
        <f t="shared" si="1"/>
        <v>11939545</v>
      </c>
    </row>
    <row r="198">
      <c r="A198" s="13">
        <v>45798.0</v>
      </c>
      <c r="B198" s="4">
        <v>1927.0</v>
      </c>
      <c r="C198" s="4">
        <v>1946.9</v>
      </c>
      <c r="D198" s="4">
        <v>1921.1</v>
      </c>
      <c r="E198" s="4">
        <v>1914.9</v>
      </c>
      <c r="F198" s="4">
        <v>1926.8</v>
      </c>
      <c r="G198" s="4">
        <v>1930.42</v>
      </c>
      <c r="H198" s="1" t="s">
        <v>2091</v>
      </c>
      <c r="I198" s="1" t="s">
        <v>2092</v>
      </c>
      <c r="J198" s="1" t="s">
        <v>2093</v>
      </c>
      <c r="K198" s="6">
        <f t="shared" si="2"/>
        <v>0.00621442373</v>
      </c>
      <c r="L198" s="7">
        <v>0.0052483602672186835</v>
      </c>
      <c r="M198" s="8">
        <f t="shared" si="1"/>
        <v>7566020</v>
      </c>
    </row>
    <row r="199">
      <c r="A199" s="13">
        <v>45799.0</v>
      </c>
      <c r="B199" s="4">
        <v>1915.2</v>
      </c>
      <c r="C199" s="4">
        <v>1924.2</v>
      </c>
      <c r="D199" s="4">
        <v>1905.2</v>
      </c>
      <c r="E199" s="4">
        <v>1926.8</v>
      </c>
      <c r="F199" s="4">
        <v>1919.9</v>
      </c>
      <c r="G199" s="4">
        <v>1914.84</v>
      </c>
      <c r="H199" s="1" t="s">
        <v>2103</v>
      </c>
      <c r="I199" s="1" t="s">
        <v>2104</v>
      </c>
      <c r="J199" s="1" t="s">
        <v>2105</v>
      </c>
      <c r="K199" s="6">
        <f t="shared" si="2"/>
        <v>-0.003581067054</v>
      </c>
      <c r="L199" s="7">
        <v>-0.00821127251551074</v>
      </c>
      <c r="M199" s="8">
        <f t="shared" si="1"/>
        <v>10653335</v>
      </c>
    </row>
    <row r="200">
      <c r="A200" s="13">
        <v>45800.0</v>
      </c>
      <c r="B200" s="4">
        <v>1920.1</v>
      </c>
      <c r="C200" s="4">
        <v>1937.0</v>
      </c>
      <c r="D200" s="4">
        <v>1914.5</v>
      </c>
      <c r="E200" s="4">
        <v>1919.9</v>
      </c>
      <c r="F200" s="4">
        <v>1933.6</v>
      </c>
      <c r="G200" s="4">
        <v>1929.98</v>
      </c>
      <c r="H200" s="1" t="s">
        <v>2113</v>
      </c>
      <c r="I200" s="1" t="s">
        <v>2115</v>
      </c>
      <c r="J200" s="1" t="s">
        <v>2116</v>
      </c>
      <c r="K200" s="6">
        <f t="shared" si="2"/>
        <v>0.007135788322</v>
      </c>
      <c r="L200" s="7">
        <v>0.009892440785543941</v>
      </c>
      <c r="M200" s="8">
        <f t="shared" si="1"/>
        <v>4783036</v>
      </c>
    </row>
    <row r="201">
      <c r="A201" s="13">
        <v>45803.0</v>
      </c>
      <c r="B201" s="4">
        <v>1935.0</v>
      </c>
      <c r="C201" s="4">
        <v>1949.9</v>
      </c>
      <c r="D201" s="4">
        <v>1926.9</v>
      </c>
      <c r="E201" s="4">
        <v>1933.6</v>
      </c>
      <c r="F201" s="4">
        <v>1940.2</v>
      </c>
      <c r="G201" s="4">
        <v>1939.47</v>
      </c>
      <c r="H201" s="1" t="s">
        <v>2120</v>
      </c>
      <c r="I201" s="1" t="s">
        <v>2121</v>
      </c>
      <c r="J201" s="1" t="s">
        <v>2123</v>
      </c>
      <c r="K201" s="6">
        <f t="shared" si="2"/>
        <v>0.0034133223</v>
      </c>
      <c r="L201" s="7">
        <v>0.005954979549875971</v>
      </c>
      <c r="M201" s="8">
        <f t="shared" si="1"/>
        <v>5401430</v>
      </c>
    </row>
    <row r="202">
      <c r="A202" s="13">
        <v>45804.0</v>
      </c>
      <c r="B202" s="4">
        <v>1931.6</v>
      </c>
      <c r="C202" s="4">
        <v>1948.0</v>
      </c>
      <c r="D202" s="4">
        <v>1916.3</v>
      </c>
      <c r="E202" s="4">
        <v>1940.2</v>
      </c>
      <c r="F202" s="4">
        <v>1926.3</v>
      </c>
      <c r="G202" s="4">
        <v>1927.12</v>
      </c>
      <c r="H202" s="1" t="s">
        <v>2132</v>
      </c>
      <c r="I202" s="1" t="s">
        <v>2133</v>
      </c>
      <c r="J202" s="1" t="s">
        <v>2138</v>
      </c>
      <c r="K202" s="6">
        <f t="shared" si="2"/>
        <v>-0.007164209875</v>
      </c>
      <c r="L202" s="7">
        <v>-0.0069976781068071155</v>
      </c>
      <c r="M202" s="8">
        <f t="shared" si="1"/>
        <v>13081074</v>
      </c>
    </row>
    <row r="203">
      <c r="A203" s="13">
        <v>45805.0</v>
      </c>
      <c r="B203" s="4">
        <v>1920.2</v>
      </c>
      <c r="C203" s="4">
        <v>1934.5</v>
      </c>
      <c r="D203" s="4">
        <v>1917.7</v>
      </c>
      <c r="E203" s="4">
        <v>1926.3</v>
      </c>
      <c r="F203" s="4">
        <v>1923.5</v>
      </c>
      <c r="G203" s="4">
        <v>1922.92</v>
      </c>
      <c r="H203" s="1" t="s">
        <v>2149</v>
      </c>
      <c r="I203" s="1" t="s">
        <v>2151</v>
      </c>
      <c r="J203" s="1" t="s">
        <v>2152</v>
      </c>
      <c r="K203" s="6">
        <f t="shared" si="2"/>
        <v>-0.001453563827</v>
      </c>
      <c r="L203" s="7">
        <v>-0.0029706519725129095</v>
      </c>
      <c r="M203" s="8">
        <f t="shared" si="1"/>
        <v>9078797</v>
      </c>
    </row>
    <row r="204">
      <c r="A204" s="13">
        <v>45806.0</v>
      </c>
      <c r="B204" s="4">
        <v>1928.0</v>
      </c>
      <c r="C204" s="4">
        <v>1940.8</v>
      </c>
      <c r="D204" s="4">
        <v>1907.3</v>
      </c>
      <c r="E204" s="4">
        <v>1923.5</v>
      </c>
      <c r="F204" s="4">
        <v>1927.5</v>
      </c>
      <c r="G204" s="4">
        <v>1921.28</v>
      </c>
      <c r="H204" s="1" t="s">
        <v>2161</v>
      </c>
      <c r="I204" s="1" t="s">
        <v>2162</v>
      </c>
      <c r="J204" s="1" t="s">
        <v>2163</v>
      </c>
      <c r="K204" s="6">
        <f t="shared" si="2"/>
        <v>0.002079542501</v>
      </c>
      <c r="L204" s="7">
        <v>0.0032784633440325226</v>
      </c>
      <c r="M204" s="8">
        <f t="shared" si="1"/>
        <v>14458897</v>
      </c>
    </row>
    <row r="205">
      <c r="A205" s="13">
        <v>45807.0</v>
      </c>
      <c r="B205" s="4">
        <v>1931.9</v>
      </c>
      <c r="C205" s="4">
        <v>1948.8</v>
      </c>
      <c r="D205" s="4">
        <v>1925.4</v>
      </c>
      <c r="E205" s="4">
        <v>1927.5</v>
      </c>
      <c r="F205" s="4">
        <v>1944.9</v>
      </c>
      <c r="G205" s="4">
        <v>1939.36</v>
      </c>
      <c r="H205" s="1" t="s">
        <v>2176</v>
      </c>
      <c r="I205" s="1" t="s">
        <v>2177</v>
      </c>
      <c r="J205" s="1" t="s">
        <v>2178</v>
      </c>
      <c r="K205" s="6">
        <f t="shared" si="2"/>
        <v>0.009027237354</v>
      </c>
      <c r="L205" s="7">
        <v>-0.0033382191869079725</v>
      </c>
      <c r="M205" s="8">
        <f t="shared" si="1"/>
        <v>14374039</v>
      </c>
    </row>
    <row r="206">
      <c r="A206" s="3">
        <v>45810.0</v>
      </c>
      <c r="B206" s="4">
        <v>1930.1</v>
      </c>
      <c r="C206" s="4">
        <v>1936.0</v>
      </c>
      <c r="D206" s="4">
        <v>1908.0</v>
      </c>
      <c r="E206" s="4">
        <v>1944.9</v>
      </c>
      <c r="F206" s="4">
        <v>1932.1</v>
      </c>
      <c r="G206" s="4">
        <v>1924.65</v>
      </c>
      <c r="H206" s="1" t="s">
        <v>2185</v>
      </c>
      <c r="I206" s="1" t="s">
        <v>2186</v>
      </c>
      <c r="J206" s="1" t="s">
        <v>2187</v>
      </c>
      <c r="K206" s="6">
        <f t="shared" si="2"/>
        <v>-0.006581315235</v>
      </c>
      <c r="L206" s="7">
        <v>-0.0013777388114276437</v>
      </c>
      <c r="M206" s="8">
        <f t="shared" si="1"/>
        <v>7334411</v>
      </c>
    </row>
    <row r="207">
      <c r="A207" s="3">
        <v>45811.0</v>
      </c>
      <c r="B207" s="4">
        <v>1938.0</v>
      </c>
      <c r="C207" s="4">
        <v>1952.0</v>
      </c>
      <c r="D207" s="4">
        <v>1920.0</v>
      </c>
      <c r="E207" s="4">
        <v>1932.1</v>
      </c>
      <c r="F207" s="4">
        <v>1924.6</v>
      </c>
      <c r="G207" s="4">
        <v>1933.85</v>
      </c>
      <c r="H207" s="1" t="s">
        <v>2197</v>
      </c>
      <c r="I207" s="1" t="s">
        <v>2198</v>
      </c>
      <c r="J207" s="1" t="s">
        <v>2199</v>
      </c>
      <c r="K207" s="6">
        <f t="shared" si="2"/>
        <v>-0.003881786657</v>
      </c>
      <c r="L207" s="7">
        <v>-0.007043849073092519</v>
      </c>
      <c r="M207" s="8">
        <f t="shared" si="1"/>
        <v>12188792</v>
      </c>
    </row>
    <row r="208">
      <c r="A208" s="3">
        <v>45812.0</v>
      </c>
      <c r="B208" s="4">
        <v>1921.0</v>
      </c>
      <c r="C208" s="4">
        <v>1943.3</v>
      </c>
      <c r="D208" s="4">
        <v>1920.9</v>
      </c>
      <c r="E208" s="4">
        <v>1924.6</v>
      </c>
      <c r="F208" s="4">
        <v>1941.2</v>
      </c>
      <c r="G208" s="4">
        <v>1935.52</v>
      </c>
      <c r="H208" s="1" t="s">
        <v>2206</v>
      </c>
      <c r="I208" s="1" t="s">
        <v>2207</v>
      </c>
      <c r="J208" s="1" t="s">
        <v>2209</v>
      </c>
      <c r="K208" s="6">
        <f t="shared" si="2"/>
        <v>0.008625168866</v>
      </c>
      <c r="L208" s="7">
        <v>0.003165936640521574</v>
      </c>
      <c r="M208" s="8">
        <f t="shared" si="1"/>
        <v>6480771</v>
      </c>
    </row>
    <row r="209">
      <c r="A209" s="3">
        <v>45813.0</v>
      </c>
      <c r="B209" s="4">
        <v>1948.0</v>
      </c>
      <c r="C209" s="4">
        <v>1958.9</v>
      </c>
      <c r="D209" s="4">
        <v>1940.2</v>
      </c>
      <c r="E209" s="4">
        <v>1941.2</v>
      </c>
      <c r="F209" s="4">
        <v>1949.6</v>
      </c>
      <c r="G209" s="4">
        <v>1950.15</v>
      </c>
      <c r="H209" s="1" t="s">
        <v>2213</v>
      </c>
      <c r="I209" s="1" t="s">
        <v>2214</v>
      </c>
      <c r="J209" s="1" t="s">
        <v>2216</v>
      </c>
      <c r="K209" s="6">
        <f t="shared" si="2"/>
        <v>0.004327220276</v>
      </c>
      <c r="L209" s="7">
        <v>0.005308648995540277</v>
      </c>
      <c r="M209" s="8">
        <f t="shared" si="1"/>
        <v>11127709</v>
      </c>
    </row>
    <row r="210">
      <c r="A210" s="3">
        <v>45814.0</v>
      </c>
      <c r="B210" s="4">
        <v>1944.0</v>
      </c>
      <c r="C210" s="4">
        <v>1996.3</v>
      </c>
      <c r="D210" s="4">
        <v>1942.7</v>
      </c>
      <c r="E210" s="4">
        <v>1949.6</v>
      </c>
      <c r="F210" s="4">
        <v>1978.7</v>
      </c>
      <c r="G210" s="4">
        <v>1976.03</v>
      </c>
      <c r="H210" s="1" t="s">
        <v>2224</v>
      </c>
      <c r="I210" s="1" t="s">
        <v>2225</v>
      </c>
      <c r="J210" s="1" t="s">
        <v>2226</v>
      </c>
      <c r="K210" s="6">
        <f t="shared" si="2"/>
        <v>0.0149261387</v>
      </c>
      <c r="L210" s="7">
        <v>0.010187508333030225</v>
      </c>
      <c r="M210" s="8">
        <f t="shared" si="1"/>
        <v>15063504</v>
      </c>
    </row>
    <row r="211">
      <c r="A211" s="3">
        <v>45817.0</v>
      </c>
      <c r="B211" s="4">
        <v>1995.0</v>
      </c>
      <c r="C211" s="4">
        <v>1995.0</v>
      </c>
      <c r="D211" s="4">
        <v>1975.9</v>
      </c>
      <c r="E211" s="4">
        <v>1978.7</v>
      </c>
      <c r="F211" s="4">
        <v>1978.9</v>
      </c>
      <c r="G211" s="4">
        <v>1982.15</v>
      </c>
      <c r="H211" s="1" t="s">
        <v>2236</v>
      </c>
      <c r="I211" s="1" t="s">
        <v>2237</v>
      </c>
      <c r="J211" s="1" t="s">
        <v>2238</v>
      </c>
      <c r="K211" s="6">
        <f t="shared" si="2"/>
        <v>0.0001010764643</v>
      </c>
      <c r="L211" s="7">
        <v>0.004005511327618089</v>
      </c>
      <c r="M211" s="8">
        <f t="shared" si="1"/>
        <v>6601294</v>
      </c>
    </row>
    <row r="212">
      <c r="A212" s="9">
        <v>45818.0</v>
      </c>
      <c r="B212" s="4">
        <v>1982.8</v>
      </c>
      <c r="C212" s="4">
        <v>1982.8</v>
      </c>
      <c r="D212" s="4">
        <v>1961.1</v>
      </c>
      <c r="E212" s="4">
        <v>1978.9</v>
      </c>
      <c r="F212" s="4">
        <v>1965.3</v>
      </c>
      <c r="G212" s="4">
        <v>1967.94</v>
      </c>
      <c r="H212" s="1" t="s">
        <v>2246</v>
      </c>
      <c r="I212" s="1" t="s">
        <v>2248</v>
      </c>
      <c r="J212" s="1" t="s">
        <v>2250</v>
      </c>
      <c r="K212" s="6">
        <f t="shared" si="2"/>
        <v>-0.006872504927</v>
      </c>
      <c r="L212" s="7">
        <v>4.1827336753851E-5</v>
      </c>
      <c r="M212" s="8">
        <f t="shared" si="1"/>
        <v>7766563</v>
      </c>
    </row>
    <row r="213">
      <c r="A213" s="9">
        <v>45819.0</v>
      </c>
      <c r="B213" s="4">
        <v>1967.6</v>
      </c>
      <c r="C213" s="4">
        <v>1967.6</v>
      </c>
      <c r="D213" s="4">
        <v>1947.0</v>
      </c>
      <c r="E213" s="4">
        <v>1965.3</v>
      </c>
      <c r="F213" s="4">
        <v>1950.4</v>
      </c>
      <c r="G213" s="4">
        <v>1956.28</v>
      </c>
      <c r="H213" s="1" t="s">
        <v>2257</v>
      </c>
      <c r="I213" s="1" t="s">
        <v>2258</v>
      </c>
      <c r="J213" s="1" t="s">
        <v>2261</v>
      </c>
      <c r="K213" s="6">
        <f t="shared" si="2"/>
        <v>-0.007581539714</v>
      </c>
      <c r="L213" s="7">
        <v>0.001479829112600514</v>
      </c>
      <c r="M213" s="8">
        <f t="shared" si="1"/>
        <v>5548197</v>
      </c>
    </row>
    <row r="214">
      <c r="A214" s="9">
        <v>45820.0</v>
      </c>
      <c r="B214" s="4">
        <v>1950.0</v>
      </c>
      <c r="C214" s="4">
        <v>1961.0</v>
      </c>
      <c r="D214" s="4">
        <v>1935.3</v>
      </c>
      <c r="E214" s="4">
        <v>1950.4</v>
      </c>
      <c r="F214" s="4">
        <v>1943.4</v>
      </c>
      <c r="G214" s="4">
        <v>1945.18</v>
      </c>
      <c r="H214" s="1" t="s">
        <v>2270</v>
      </c>
      <c r="I214" s="1" t="s">
        <v>2272</v>
      </c>
      <c r="J214" s="1" t="s">
        <v>2274</v>
      </c>
      <c r="K214" s="6">
        <f t="shared" si="2"/>
        <v>-0.003589007383</v>
      </c>
      <c r="L214" s="7">
        <v>-0.010071038207896168</v>
      </c>
      <c r="M214" s="8">
        <f t="shared" si="1"/>
        <v>8174565</v>
      </c>
    </row>
    <row r="215">
      <c r="A215" s="9">
        <v>45821.0</v>
      </c>
      <c r="B215" s="4">
        <v>1920.0</v>
      </c>
      <c r="C215" s="4">
        <v>1933.0</v>
      </c>
      <c r="D215" s="4">
        <v>1913.0</v>
      </c>
      <c r="E215" s="4">
        <v>1943.4</v>
      </c>
      <c r="F215" s="4">
        <v>1917.6</v>
      </c>
      <c r="G215" s="4">
        <v>1920.08</v>
      </c>
      <c r="H215" s="1" t="s">
        <v>2281</v>
      </c>
      <c r="I215" s="1" t="s">
        <v>2282</v>
      </c>
      <c r="J215" s="1" t="s">
        <v>2283</v>
      </c>
      <c r="K215" s="6">
        <f t="shared" si="2"/>
        <v>-0.01327570238</v>
      </c>
      <c r="L215" s="7">
        <v>-0.00681447432920027</v>
      </c>
      <c r="M215" s="8">
        <f t="shared" si="1"/>
        <v>6058881</v>
      </c>
    </row>
    <row r="216">
      <c r="A216" s="9">
        <v>45824.0</v>
      </c>
      <c r="B216" s="4">
        <v>1924.0</v>
      </c>
      <c r="C216" s="4">
        <v>1938.9</v>
      </c>
      <c r="D216" s="4">
        <v>1920.1</v>
      </c>
      <c r="E216" s="4">
        <v>1917.6</v>
      </c>
      <c r="F216" s="4">
        <v>1935.4</v>
      </c>
      <c r="G216" s="4">
        <v>1933.31</v>
      </c>
      <c r="H216" s="1" t="s">
        <v>2293</v>
      </c>
      <c r="I216" s="1" t="s">
        <v>2294</v>
      </c>
      <c r="J216" s="1" t="s">
        <v>2295</v>
      </c>
      <c r="K216" s="6">
        <f t="shared" si="2"/>
        <v>0.009282436379</v>
      </c>
      <c r="L216" s="7">
        <v>0.00921977781913221</v>
      </c>
      <c r="M216" s="8">
        <f t="shared" si="1"/>
        <v>8256873</v>
      </c>
    </row>
    <row r="217">
      <c r="A217" s="9">
        <v>45825.0</v>
      </c>
      <c r="B217" s="4">
        <v>1937.0</v>
      </c>
      <c r="C217" s="4">
        <v>1941.6</v>
      </c>
      <c r="D217" s="4">
        <v>1919.1</v>
      </c>
      <c r="E217" s="4">
        <v>1935.4</v>
      </c>
      <c r="F217" s="4">
        <v>1929.6</v>
      </c>
      <c r="G217" s="4">
        <v>1927.55</v>
      </c>
      <c r="H217" s="1" t="s">
        <v>2301</v>
      </c>
      <c r="I217" s="1" t="s">
        <v>2302</v>
      </c>
      <c r="J217" s="1" t="s">
        <v>2304</v>
      </c>
      <c r="K217" s="6">
        <f t="shared" si="2"/>
        <v>-0.002996796528</v>
      </c>
      <c r="L217" s="7">
        <v>-0.0037319864510050927</v>
      </c>
      <c r="M217" s="8">
        <f t="shared" si="1"/>
        <v>8489368</v>
      </c>
    </row>
    <row r="218">
      <c r="A218" s="9">
        <v>45826.0</v>
      </c>
      <c r="B218" s="4">
        <v>1917.0</v>
      </c>
      <c r="C218" s="4">
        <v>1936.3</v>
      </c>
      <c r="D218" s="4">
        <v>1917.0</v>
      </c>
      <c r="E218" s="4">
        <v>1929.6</v>
      </c>
      <c r="F218" s="4">
        <v>1933.9</v>
      </c>
      <c r="G218" s="4">
        <v>1928.12</v>
      </c>
      <c r="H218" s="1" t="s">
        <v>2313</v>
      </c>
      <c r="I218" s="1" t="s">
        <v>2315</v>
      </c>
      <c r="J218" s="1" t="s">
        <v>2317</v>
      </c>
      <c r="K218" s="6">
        <f t="shared" si="2"/>
        <v>0.002228441128</v>
      </c>
      <c r="L218" s="7">
        <v>-0.0016637562667482992</v>
      </c>
      <c r="M218" s="8">
        <f t="shared" si="1"/>
        <v>9216908</v>
      </c>
    </row>
    <row r="219">
      <c r="A219" s="9">
        <v>45827.0</v>
      </c>
      <c r="B219" s="4">
        <v>1933.9</v>
      </c>
      <c r="C219" s="4">
        <v>1946.8</v>
      </c>
      <c r="D219" s="4">
        <v>1925.6</v>
      </c>
      <c r="E219" s="4">
        <v>1933.9</v>
      </c>
      <c r="F219" s="4">
        <v>1935.3</v>
      </c>
      <c r="G219" s="4">
        <v>1937.61</v>
      </c>
      <c r="H219" s="1" t="s">
        <v>2325</v>
      </c>
      <c r="I219" s="1" t="s">
        <v>2328</v>
      </c>
      <c r="J219" s="1" t="s">
        <v>2330</v>
      </c>
      <c r="K219" s="6">
        <f t="shared" si="2"/>
        <v>0.0007239257459</v>
      </c>
      <c r="L219" s="7">
        <v>-7.576963612438018E-4</v>
      </c>
      <c r="M219" s="8">
        <f t="shared" si="1"/>
        <v>8438110</v>
      </c>
    </row>
    <row r="220">
      <c r="A220" s="9">
        <v>45828.0</v>
      </c>
      <c r="B220" s="4">
        <v>1931.6</v>
      </c>
      <c r="C220" s="4">
        <v>1969.9</v>
      </c>
      <c r="D220" s="4">
        <v>1931.6</v>
      </c>
      <c r="E220" s="4">
        <v>1935.3</v>
      </c>
      <c r="F220" s="4">
        <v>1964.7</v>
      </c>
      <c r="G220" s="4">
        <v>1960.39</v>
      </c>
      <c r="H220" s="1" t="s">
        <v>2334</v>
      </c>
      <c r="I220" s="1" t="s">
        <v>2340</v>
      </c>
      <c r="J220" s="1" t="s">
        <v>2341</v>
      </c>
      <c r="K220" s="6">
        <f t="shared" si="2"/>
        <v>0.01519144319</v>
      </c>
      <c r="L220" s="7">
        <v>0.012872455204541618</v>
      </c>
      <c r="M220" s="8">
        <f t="shared" si="1"/>
        <v>16450204</v>
      </c>
    </row>
    <row r="221">
      <c r="A221" s="9">
        <v>45831.0</v>
      </c>
      <c r="B221" s="4">
        <v>1948.4</v>
      </c>
      <c r="C221" s="4">
        <v>1957.9</v>
      </c>
      <c r="D221" s="4">
        <v>1941.8</v>
      </c>
      <c r="E221" s="4">
        <v>1964.7</v>
      </c>
      <c r="F221" s="4">
        <v>1948.4</v>
      </c>
      <c r="G221" s="4">
        <v>1948.19</v>
      </c>
      <c r="H221" s="1" t="s">
        <v>2345</v>
      </c>
      <c r="I221" s="1" t="s">
        <v>2347</v>
      </c>
      <c r="J221" s="1" t="s">
        <v>2349</v>
      </c>
      <c r="K221" s="6">
        <f t="shared" si="2"/>
        <v>-0.008296432025</v>
      </c>
      <c r="L221" s="7">
        <v>-0.005594845574297956</v>
      </c>
      <c r="M221" s="8">
        <f t="shared" si="1"/>
        <v>5869759</v>
      </c>
    </row>
    <row r="222">
      <c r="A222" s="9">
        <v>45832.0</v>
      </c>
      <c r="B222" s="4">
        <v>1965.0</v>
      </c>
      <c r="C222" s="4">
        <v>1979.0</v>
      </c>
      <c r="D222" s="4">
        <v>1955.6</v>
      </c>
      <c r="E222" s="4">
        <v>1948.4</v>
      </c>
      <c r="F222" s="4">
        <v>1960.9</v>
      </c>
      <c r="G222" s="4">
        <v>1964.12</v>
      </c>
      <c r="H222" s="1" t="s">
        <v>2359</v>
      </c>
      <c r="I222" s="1" t="s">
        <v>2362</v>
      </c>
      <c r="J222" s="1" t="s">
        <v>2364</v>
      </c>
      <c r="K222" s="6">
        <f t="shared" si="2"/>
        <v>0.006415520427</v>
      </c>
      <c r="L222" s="7">
        <v>0.0029012610173834224</v>
      </c>
      <c r="M222" s="8">
        <f t="shared" si="1"/>
        <v>11312661</v>
      </c>
    </row>
    <row r="223">
      <c r="A223" s="9">
        <v>45833.0</v>
      </c>
      <c r="B223" s="4">
        <v>1966.0</v>
      </c>
      <c r="C223" s="4">
        <v>1982.0</v>
      </c>
      <c r="D223" s="4">
        <v>1963.9</v>
      </c>
      <c r="E223" s="4">
        <v>1960.9</v>
      </c>
      <c r="F223" s="4">
        <v>1980.2</v>
      </c>
      <c r="G223" s="4">
        <v>1977.13</v>
      </c>
      <c r="H223" s="1" t="s">
        <v>2370</v>
      </c>
      <c r="I223" s="1" t="s">
        <v>2373</v>
      </c>
      <c r="J223" s="1" t="s">
        <v>2376</v>
      </c>
      <c r="K223" s="6">
        <f t="shared" si="2"/>
        <v>0.009842419297</v>
      </c>
      <c r="L223" s="7">
        <v>0.008001804798287895</v>
      </c>
      <c r="M223" s="8">
        <f t="shared" si="1"/>
        <v>9202966</v>
      </c>
    </row>
    <row r="224">
      <c r="A224" s="9">
        <v>45834.0</v>
      </c>
      <c r="B224" s="4">
        <v>1981.4</v>
      </c>
      <c r="C224" s="4">
        <v>2027.1</v>
      </c>
      <c r="D224" s="4">
        <v>1980.0</v>
      </c>
      <c r="E224" s="4">
        <v>1980.2</v>
      </c>
      <c r="F224" s="4">
        <v>2021.8</v>
      </c>
      <c r="G224" s="4">
        <v>2011.21</v>
      </c>
      <c r="H224" s="1" t="s">
        <v>2383</v>
      </c>
      <c r="I224" s="1" t="s">
        <v>2384</v>
      </c>
      <c r="J224" s="1" t="s">
        <v>2385</v>
      </c>
      <c r="K224" s="6">
        <f t="shared" si="2"/>
        <v>0.02100797899</v>
      </c>
      <c r="L224" s="7">
        <v>0.01205201081412967</v>
      </c>
      <c r="M224" s="8">
        <f t="shared" si="1"/>
        <v>25042415</v>
      </c>
    </row>
    <row r="225">
      <c r="A225" s="9">
        <v>45835.0</v>
      </c>
      <c r="B225" s="4">
        <v>2013.0</v>
      </c>
      <c r="C225" s="4">
        <v>2019.8</v>
      </c>
      <c r="D225" s="4">
        <v>1993.4</v>
      </c>
      <c r="E225" s="4">
        <v>2021.8</v>
      </c>
      <c r="F225" s="4">
        <v>2014.9</v>
      </c>
      <c r="G225" s="4">
        <v>2011.75</v>
      </c>
      <c r="H225" s="1" t="s">
        <v>2395</v>
      </c>
      <c r="I225" s="1" t="s">
        <v>2396</v>
      </c>
      <c r="J225" s="1" t="s">
        <v>2397</v>
      </c>
      <c r="K225" s="6">
        <f t="shared" si="2"/>
        <v>-0.003412800475</v>
      </c>
      <c r="L225" s="7">
        <v>0.003475674194684695</v>
      </c>
      <c r="M225" s="8">
        <f t="shared" si="1"/>
        <v>14106692</v>
      </c>
    </row>
    <row r="226">
      <c r="A226" s="9">
        <v>45838.0</v>
      </c>
      <c r="B226" s="4">
        <v>2011.5</v>
      </c>
      <c r="C226" s="4">
        <v>2013.8</v>
      </c>
      <c r="D226" s="4">
        <v>1995.5</v>
      </c>
      <c r="E226" s="4">
        <v>2014.9</v>
      </c>
      <c r="F226" s="4">
        <v>2001.5</v>
      </c>
      <c r="G226" s="4">
        <v>2001.16</v>
      </c>
      <c r="H226" s="1" t="s">
        <v>2407</v>
      </c>
      <c r="I226" s="1" t="s">
        <v>2408</v>
      </c>
      <c r="J226" s="1" t="s">
        <v>2409</v>
      </c>
      <c r="K226" s="6">
        <f t="shared" si="2"/>
        <v>-0.006650454117</v>
      </c>
      <c r="L226" s="7">
        <v>-0.004709842498186272</v>
      </c>
      <c r="M226" s="8">
        <f t="shared" si="1"/>
        <v>6824510</v>
      </c>
    </row>
    <row r="227">
      <c r="A227" s="3">
        <v>45839.0</v>
      </c>
      <c r="B227" s="4">
        <v>2005.0</v>
      </c>
      <c r="C227" s="4">
        <v>2016.0</v>
      </c>
      <c r="D227" s="4">
        <v>2004.0</v>
      </c>
      <c r="E227" s="4">
        <v>2001.5</v>
      </c>
      <c r="F227" s="4">
        <v>2012.1</v>
      </c>
      <c r="G227" s="4">
        <v>2010.15</v>
      </c>
      <c r="H227" s="1" t="s">
        <v>2416</v>
      </c>
      <c r="I227" s="1" t="s">
        <v>2417</v>
      </c>
      <c r="J227" s="1" t="s">
        <v>2418</v>
      </c>
      <c r="K227" s="6">
        <f t="shared" si="2"/>
        <v>0.005296027979</v>
      </c>
      <c r="L227" s="7">
        <v>9.699397069802348E-4</v>
      </c>
      <c r="M227" s="8">
        <f t="shared" si="1"/>
        <v>7194693</v>
      </c>
    </row>
    <row r="228">
      <c r="A228" s="3">
        <v>45840.0</v>
      </c>
      <c r="B228" s="4">
        <v>2019.9</v>
      </c>
      <c r="C228" s="4">
        <v>2019.9</v>
      </c>
      <c r="D228" s="4">
        <v>1977.9</v>
      </c>
      <c r="E228" s="4">
        <v>2012.1</v>
      </c>
      <c r="F228" s="4">
        <v>1986.0</v>
      </c>
      <c r="G228" s="4">
        <v>1990.25</v>
      </c>
      <c r="H228" s="1" t="s">
        <v>2422</v>
      </c>
      <c r="I228" s="1" t="s">
        <v>2423</v>
      </c>
      <c r="J228" s="1" t="s">
        <v>2425</v>
      </c>
      <c r="K228" s="6">
        <f t="shared" si="2"/>
        <v>-0.01297152229</v>
      </c>
      <c r="L228" s="7">
        <v>-0.00346099335207377</v>
      </c>
      <c r="M228" s="8">
        <f t="shared" si="1"/>
        <v>9439125</v>
      </c>
    </row>
    <row r="229">
      <c r="A229" s="3">
        <v>45841.0</v>
      </c>
      <c r="B229" s="4">
        <v>1994.9</v>
      </c>
      <c r="C229" s="4">
        <v>2008.0</v>
      </c>
      <c r="D229" s="4">
        <v>1984.3</v>
      </c>
      <c r="E229" s="4">
        <v>1986.0</v>
      </c>
      <c r="F229" s="4">
        <v>1987.1</v>
      </c>
      <c r="G229" s="4">
        <v>1993.22</v>
      </c>
      <c r="H229" s="1" t="s">
        <v>2434</v>
      </c>
      <c r="I229" s="1" t="s">
        <v>2435</v>
      </c>
      <c r="J229" s="1" t="s">
        <v>2436</v>
      </c>
      <c r="K229" s="6">
        <f t="shared" si="2"/>
        <v>0.00055387714</v>
      </c>
      <c r="L229" s="7">
        <v>-0.0018897278948982132</v>
      </c>
      <c r="M229" s="8">
        <f t="shared" si="1"/>
        <v>8430253</v>
      </c>
    </row>
    <row r="230">
      <c r="A230" s="3">
        <v>45842.0</v>
      </c>
      <c r="B230" s="4">
        <v>1987.1</v>
      </c>
      <c r="C230" s="4">
        <v>2003.5</v>
      </c>
      <c r="D230" s="4">
        <v>1980.0</v>
      </c>
      <c r="E230" s="4">
        <v>1987.1</v>
      </c>
      <c r="F230" s="4">
        <v>1989.3</v>
      </c>
      <c r="G230" s="4">
        <v>1987.51</v>
      </c>
      <c r="H230" s="1" t="s">
        <v>2446</v>
      </c>
      <c r="I230" s="1" t="s">
        <v>2447</v>
      </c>
      <c r="J230" s="1" t="s">
        <v>2448</v>
      </c>
      <c r="K230" s="6">
        <f t="shared" si="2"/>
        <v>0.00110714106</v>
      </c>
      <c r="L230" s="7">
        <v>0.0021924559048702723</v>
      </c>
      <c r="M230" s="8">
        <f t="shared" si="1"/>
        <v>3931972</v>
      </c>
    </row>
    <row r="231">
      <c r="A231" s="3">
        <v>45845.0</v>
      </c>
      <c r="B231" s="4">
        <v>1989.0</v>
      </c>
      <c r="C231" s="4">
        <v>1998.4</v>
      </c>
      <c r="D231" s="4">
        <v>1983.8</v>
      </c>
      <c r="E231" s="4">
        <v>1989.3</v>
      </c>
      <c r="F231" s="4">
        <v>1987.4</v>
      </c>
      <c r="G231" s="4">
        <v>1989.37</v>
      </c>
      <c r="H231" s="1" t="s">
        <v>2455</v>
      </c>
      <c r="I231" s="1" t="s">
        <v>2456</v>
      </c>
      <c r="J231" s="1" t="s">
        <v>2457</v>
      </c>
      <c r="K231" s="6">
        <f t="shared" si="2"/>
        <v>-0.0009551098376</v>
      </c>
      <c r="L231" s="7">
        <v>1.1782726522888827E-5</v>
      </c>
      <c r="M231" s="8">
        <f t="shared" si="1"/>
        <v>5674713</v>
      </c>
    </row>
    <row r="232">
      <c r="A232" s="3">
        <v>45846.0</v>
      </c>
      <c r="B232" s="4">
        <v>1977.0</v>
      </c>
      <c r="C232" s="4">
        <v>2005.0</v>
      </c>
      <c r="D232" s="4">
        <v>1977.0</v>
      </c>
      <c r="E232" s="4">
        <v>1987.4</v>
      </c>
      <c r="F232" s="4">
        <v>2001.4</v>
      </c>
      <c r="G232" s="4">
        <v>1992.88</v>
      </c>
      <c r="H232" s="1" t="s">
        <v>2466</v>
      </c>
      <c r="I232" s="1" t="s">
        <v>2468</v>
      </c>
      <c r="J232" s="1" t="s">
        <v>2469</v>
      </c>
      <c r="K232" s="6">
        <f t="shared" si="2"/>
        <v>0.007044379591</v>
      </c>
      <c r="L232" s="7">
        <v>0.002403647889149444</v>
      </c>
      <c r="M232" s="8">
        <f t="shared" si="1"/>
        <v>7612158</v>
      </c>
    </row>
    <row r="233">
      <c r="A233" s="3">
        <v>45847.0</v>
      </c>
      <c r="B233" s="4">
        <v>2007.0</v>
      </c>
      <c r="C233" s="4">
        <v>2013.8</v>
      </c>
      <c r="D233" s="4">
        <v>1998.1</v>
      </c>
      <c r="E233" s="4">
        <v>2001.4</v>
      </c>
      <c r="F233" s="4">
        <v>2011.2</v>
      </c>
      <c r="G233" s="4">
        <v>2007.1</v>
      </c>
      <c r="H233" s="1" t="s">
        <v>2479</v>
      </c>
      <c r="I233" s="1" t="s">
        <v>2480</v>
      </c>
      <c r="J233" s="1" t="s">
        <v>2481</v>
      </c>
      <c r="K233" s="6">
        <f t="shared" si="2"/>
        <v>0.004896572399</v>
      </c>
      <c r="L233" s="7">
        <v>-0.0018180037222059538</v>
      </c>
      <c r="M233" s="8">
        <f t="shared" si="1"/>
        <v>6930714</v>
      </c>
    </row>
    <row r="234">
      <c r="A234" s="9">
        <v>45848.0</v>
      </c>
      <c r="B234" s="4">
        <v>2016.0</v>
      </c>
      <c r="C234" s="4">
        <v>2017.0</v>
      </c>
      <c r="D234" s="4">
        <v>2000.0</v>
      </c>
      <c r="E234" s="4">
        <v>2011.2</v>
      </c>
      <c r="F234" s="4">
        <v>2006.2</v>
      </c>
      <c r="G234" s="4">
        <v>2008.54</v>
      </c>
      <c r="H234" s="1" t="s">
        <v>2487</v>
      </c>
      <c r="I234" s="1" t="s">
        <v>2489</v>
      </c>
      <c r="J234" s="1" t="s">
        <v>2491</v>
      </c>
      <c r="K234" s="6">
        <f t="shared" si="2"/>
        <v>-0.002486077963</v>
      </c>
      <c r="L234" s="7">
        <v>-0.004743661706462079</v>
      </c>
      <c r="M234" s="8">
        <f t="shared" si="1"/>
        <v>8515155</v>
      </c>
    </row>
    <row r="235">
      <c r="A235" s="9">
        <v>45849.0</v>
      </c>
      <c r="B235" s="4">
        <v>1998.0</v>
      </c>
      <c r="C235" s="4">
        <v>2004.8</v>
      </c>
      <c r="D235" s="4">
        <v>1980.9</v>
      </c>
      <c r="E235" s="4">
        <v>2006.2</v>
      </c>
      <c r="F235" s="4">
        <v>1983.7</v>
      </c>
      <c r="G235" s="4">
        <v>1987.41</v>
      </c>
      <c r="H235" s="1" t="s">
        <v>2498</v>
      </c>
      <c r="I235" s="1" t="s">
        <v>2500</v>
      </c>
      <c r="J235" s="1" t="s">
        <v>2503</v>
      </c>
      <c r="K235" s="6">
        <f t="shared" si="2"/>
        <v>-0.01121523278</v>
      </c>
      <c r="L235" s="7">
        <v>-0.008100886404196426</v>
      </c>
      <c r="M235" s="8">
        <f t="shared" si="1"/>
        <v>6258461</v>
      </c>
    </row>
    <row r="236">
      <c r="A236" s="9">
        <v>45852.0</v>
      </c>
      <c r="B236" s="4">
        <v>1983.0</v>
      </c>
      <c r="C236" s="4">
        <v>1988.7</v>
      </c>
      <c r="D236" s="4">
        <v>1970.6</v>
      </c>
      <c r="E236" s="4">
        <v>1983.7</v>
      </c>
      <c r="F236" s="4">
        <v>1983.0</v>
      </c>
      <c r="G236" s="4">
        <v>1978.8</v>
      </c>
      <c r="H236" s="1" t="s">
        <v>2517</v>
      </c>
      <c r="I236" s="1" t="s">
        <v>2518</v>
      </c>
      <c r="J236" s="1" t="s">
        <v>2519</v>
      </c>
      <c r="K236" s="6">
        <f t="shared" si="2"/>
        <v>-0.0003528759389</v>
      </c>
      <c r="L236" s="7">
        <v>-0.0026859007111374135</v>
      </c>
      <c r="M236" s="8">
        <f t="shared" si="1"/>
        <v>6544425</v>
      </c>
    </row>
    <row r="237">
      <c r="A237" s="9">
        <v>45853.0</v>
      </c>
      <c r="B237" s="4">
        <v>1973.0</v>
      </c>
      <c r="C237" s="4">
        <v>2003.6</v>
      </c>
      <c r="D237" s="4">
        <v>1973.0</v>
      </c>
      <c r="E237" s="4">
        <v>1983.0</v>
      </c>
      <c r="F237" s="4">
        <v>1995.5</v>
      </c>
      <c r="G237" s="4">
        <v>1993.02</v>
      </c>
      <c r="H237" s="1" t="s">
        <v>2526</v>
      </c>
      <c r="I237" s="1" t="s">
        <v>2528</v>
      </c>
      <c r="J237" s="1" t="s">
        <v>2530</v>
      </c>
      <c r="K237" s="6">
        <f t="shared" si="2"/>
        <v>0.006303580434</v>
      </c>
      <c r="L237" s="7">
        <v>0.004525103359739737</v>
      </c>
      <c r="M237" s="8">
        <f t="shared" si="1"/>
        <v>7249084</v>
      </c>
    </row>
    <row r="238">
      <c r="A238" s="9">
        <v>45854.0</v>
      </c>
      <c r="B238" s="4">
        <v>2018.0</v>
      </c>
      <c r="C238" s="4">
        <v>2022.7</v>
      </c>
      <c r="D238" s="4">
        <v>1992.6</v>
      </c>
      <c r="E238" s="4">
        <v>1995.5</v>
      </c>
      <c r="F238" s="4">
        <v>1996.3</v>
      </c>
      <c r="G238" s="4">
        <v>2005.54</v>
      </c>
      <c r="H238" s="1" t="s">
        <v>2534</v>
      </c>
      <c r="I238" s="1" t="s">
        <v>2536</v>
      </c>
      <c r="J238" s="1" t="s">
        <v>2538</v>
      </c>
      <c r="K238" s="6">
        <f t="shared" si="2"/>
        <v>0.0004009020296</v>
      </c>
      <c r="L238" s="7">
        <v>6.449487613014868E-4</v>
      </c>
      <c r="M238" s="8">
        <f t="shared" si="1"/>
        <v>8997306</v>
      </c>
    </row>
    <row r="239">
      <c r="A239" s="9">
        <v>45855.0</v>
      </c>
      <c r="B239" s="4">
        <v>2004.0</v>
      </c>
      <c r="C239" s="4">
        <v>2004.8</v>
      </c>
      <c r="D239" s="4">
        <v>1982.7</v>
      </c>
      <c r="E239" s="4">
        <v>1996.3</v>
      </c>
      <c r="F239" s="4">
        <v>1986.9</v>
      </c>
      <c r="G239" s="4">
        <v>1991.85</v>
      </c>
      <c r="H239" s="1" t="s">
        <v>2546</v>
      </c>
      <c r="I239" s="1" t="s">
        <v>2548</v>
      </c>
      <c r="J239" s="1" t="s">
        <v>2550</v>
      </c>
      <c r="K239" s="6">
        <f t="shared" si="2"/>
        <v>-0.004708711116</v>
      </c>
      <c r="L239" s="7">
        <v>-0.0039901555010401196</v>
      </c>
      <c r="M239" s="8">
        <f t="shared" si="1"/>
        <v>11264579</v>
      </c>
    </row>
    <row r="240">
      <c r="A240" s="9">
        <v>45856.0</v>
      </c>
      <c r="B240" s="4">
        <v>1986.9</v>
      </c>
      <c r="C240" s="4">
        <v>1997.0</v>
      </c>
      <c r="D240" s="4">
        <v>1953.0</v>
      </c>
      <c r="E240" s="4">
        <v>1986.9</v>
      </c>
      <c r="F240" s="4">
        <v>1957.4</v>
      </c>
      <c r="G240" s="4">
        <v>1968.8</v>
      </c>
      <c r="H240" s="1" t="s">
        <v>2558</v>
      </c>
      <c r="I240" s="1" t="s">
        <v>2560</v>
      </c>
      <c r="J240" s="1" t="s">
        <v>2563</v>
      </c>
      <c r="K240" s="6">
        <f t="shared" si="2"/>
        <v>-0.01484724948</v>
      </c>
      <c r="L240" s="7">
        <v>-0.00569660453697414</v>
      </c>
      <c r="M240" s="8">
        <f t="shared" si="1"/>
        <v>8064723</v>
      </c>
    </row>
    <row r="241">
      <c r="A241" s="9">
        <v>45859.0</v>
      </c>
      <c r="B241" s="4">
        <v>1978.2</v>
      </c>
      <c r="C241" s="4">
        <v>2002.0</v>
      </c>
      <c r="D241" s="4">
        <v>1976.5</v>
      </c>
      <c r="E241" s="4">
        <v>1957.4</v>
      </c>
      <c r="F241" s="4">
        <v>2000.5</v>
      </c>
      <c r="G241" s="4">
        <v>1993.45</v>
      </c>
      <c r="H241" s="1" t="s">
        <v>2573</v>
      </c>
      <c r="I241" s="1" t="s">
        <v>2574</v>
      </c>
      <c r="J241" s="1" t="s">
        <v>2575</v>
      </c>
      <c r="K241" s="6">
        <f t="shared" si="2"/>
        <v>0.0220190048</v>
      </c>
      <c r="L241" s="7">
        <v>0.00489819131382064</v>
      </c>
      <c r="M241" s="8">
        <f t="shared" si="1"/>
        <v>11154539</v>
      </c>
    </row>
    <row r="242">
      <c r="A242" s="9">
        <v>45860.0</v>
      </c>
      <c r="B242" s="4">
        <v>2013.1</v>
      </c>
      <c r="C242" s="4">
        <v>2018.0</v>
      </c>
      <c r="D242" s="4">
        <v>2003.0</v>
      </c>
      <c r="E242" s="4">
        <v>2000.5</v>
      </c>
      <c r="F242" s="4">
        <v>2007.1</v>
      </c>
      <c r="G242" s="4">
        <v>2009.05</v>
      </c>
      <c r="H242" s="1" t="s">
        <v>2584</v>
      </c>
      <c r="I242" s="1" t="s">
        <v>2586</v>
      </c>
      <c r="J242" s="1" t="s">
        <v>2588</v>
      </c>
      <c r="K242" s="6">
        <f t="shared" si="2"/>
        <v>0.003299175206</v>
      </c>
      <c r="L242" s="7">
        <v>-0.0011876910568457346</v>
      </c>
      <c r="M242" s="8">
        <f t="shared" si="1"/>
        <v>7418407</v>
      </c>
    </row>
    <row r="243">
      <c r="A243" s="9">
        <v>45861.0</v>
      </c>
      <c r="B243" s="4">
        <v>2011.0</v>
      </c>
      <c r="C243" s="4">
        <v>2029.8</v>
      </c>
      <c r="D243" s="4">
        <v>2003.0</v>
      </c>
      <c r="E243" s="4">
        <v>2007.1</v>
      </c>
      <c r="F243" s="4">
        <v>2024.3</v>
      </c>
      <c r="G243" s="4">
        <v>2019.97</v>
      </c>
      <c r="H243" s="1" t="s">
        <v>2594</v>
      </c>
      <c r="I243" s="1" t="s">
        <v>2596</v>
      </c>
      <c r="J243" s="1" t="s">
        <v>2598</v>
      </c>
      <c r="K243" s="6">
        <f t="shared" si="2"/>
        <v>0.008569577998</v>
      </c>
      <c r="L243" s="7">
        <v>0.006344544689137261</v>
      </c>
      <c r="M243" s="8">
        <f t="shared" si="1"/>
        <v>6817458</v>
      </c>
    </row>
    <row r="244">
      <c r="A244" s="9">
        <v>45862.0</v>
      </c>
      <c r="B244" s="4">
        <v>2037.7</v>
      </c>
      <c r="C244" s="4">
        <v>2037.7</v>
      </c>
      <c r="D244" s="4">
        <v>2008.4</v>
      </c>
      <c r="E244" s="4">
        <v>2024.3</v>
      </c>
      <c r="F244" s="4">
        <v>2014.2</v>
      </c>
      <c r="G244" s="4">
        <v>2019.12</v>
      </c>
      <c r="H244" s="1" t="s">
        <v>2606</v>
      </c>
      <c r="I244" s="1" t="s">
        <v>2607</v>
      </c>
      <c r="J244" s="1" t="s">
        <v>2608</v>
      </c>
      <c r="K244" s="6">
        <f t="shared" si="2"/>
        <v>-0.004989379045</v>
      </c>
      <c r="L244" s="7">
        <v>-0.0062569637468825375</v>
      </c>
      <c r="M244" s="8">
        <f t="shared" si="1"/>
        <v>9553588</v>
      </c>
    </row>
    <row r="245">
      <c r="A245" s="9">
        <v>45863.0</v>
      </c>
      <c r="B245" s="4">
        <v>2015.0</v>
      </c>
      <c r="C245" s="4">
        <v>2015.0</v>
      </c>
      <c r="D245" s="4">
        <v>1999.0</v>
      </c>
      <c r="E245" s="4">
        <v>2014.2</v>
      </c>
      <c r="F245" s="4">
        <v>2004.6</v>
      </c>
      <c r="G245" s="4">
        <v>2005.63</v>
      </c>
      <c r="H245" s="1" t="s">
        <v>2618</v>
      </c>
      <c r="I245" s="1" t="s">
        <v>2619</v>
      </c>
      <c r="J245" s="1" t="s">
        <v>2620</v>
      </c>
      <c r="K245" s="6">
        <f t="shared" si="2"/>
        <v>-0.004766160262</v>
      </c>
      <c r="L245" s="7">
        <v>-0.008981689483323367</v>
      </c>
      <c r="M245" s="8">
        <f t="shared" si="1"/>
        <v>4653299</v>
      </c>
    </row>
    <row r="246">
      <c r="A246" s="9">
        <v>45866.0</v>
      </c>
      <c r="B246" s="4">
        <v>2003.0</v>
      </c>
      <c r="C246" s="4">
        <v>2021.4</v>
      </c>
      <c r="D246" s="4">
        <v>2000.5</v>
      </c>
      <c r="E246" s="4">
        <v>2004.6</v>
      </c>
      <c r="F246" s="4">
        <v>2008.5</v>
      </c>
      <c r="G246" s="4">
        <v>2011.08</v>
      </c>
      <c r="H246" s="1" t="s">
        <v>2630</v>
      </c>
      <c r="I246" s="1" t="s">
        <v>2631</v>
      </c>
      <c r="J246" s="1" t="s">
        <v>2632</v>
      </c>
      <c r="K246" s="6">
        <f t="shared" si="2"/>
        <v>0.001945525292</v>
      </c>
      <c r="L246" s="7">
        <v>-0.006284978056931133</v>
      </c>
      <c r="M246" s="8">
        <f t="shared" si="1"/>
        <v>6029790</v>
      </c>
    </row>
    <row r="247">
      <c r="A247" s="9">
        <v>45867.0</v>
      </c>
      <c r="B247" s="4">
        <v>1999.9</v>
      </c>
      <c r="C247" s="4">
        <v>2026.5</v>
      </c>
      <c r="D247" s="4">
        <v>1996.3</v>
      </c>
      <c r="E247" s="4">
        <v>2008.5</v>
      </c>
      <c r="F247" s="4">
        <v>2021.6</v>
      </c>
      <c r="G247" s="4">
        <v>2015.07</v>
      </c>
      <c r="H247" s="1" t="s">
        <v>2642</v>
      </c>
      <c r="I247" s="1" t="s">
        <v>2643</v>
      </c>
      <c r="J247" s="1" t="s">
        <v>2645</v>
      </c>
      <c r="K247" s="6">
        <f t="shared" si="2"/>
        <v>0.006522280309</v>
      </c>
      <c r="L247" s="7">
        <v>0.005680505978306993</v>
      </c>
      <c r="M247" s="8">
        <f t="shared" si="1"/>
        <v>9947848</v>
      </c>
    </row>
    <row r="248">
      <c r="A248" s="9">
        <v>45868.0</v>
      </c>
      <c r="B248" s="4">
        <v>2028.0</v>
      </c>
      <c r="C248" s="4">
        <v>2032.6</v>
      </c>
      <c r="D248" s="4">
        <v>2017.0</v>
      </c>
      <c r="E248" s="4">
        <v>2021.6</v>
      </c>
      <c r="F248" s="4">
        <v>2025.8</v>
      </c>
      <c r="G248" s="4">
        <v>2023.94</v>
      </c>
      <c r="H248" s="1" t="s">
        <v>2654</v>
      </c>
      <c r="I248" s="1" t="s">
        <v>2656</v>
      </c>
      <c r="J248" s="1" t="s">
        <v>2659</v>
      </c>
      <c r="K248" s="6">
        <f t="shared" si="2"/>
        <v>0.002077562327</v>
      </c>
      <c r="L248" s="7">
        <v>0.0013677878901418845</v>
      </c>
      <c r="M248" s="8">
        <f t="shared" si="1"/>
        <v>7577018</v>
      </c>
    </row>
    <row r="249">
      <c r="A249" s="9">
        <v>45869.0</v>
      </c>
      <c r="B249" s="4">
        <v>2014.6</v>
      </c>
      <c r="C249" s="4">
        <v>2031.4</v>
      </c>
      <c r="D249" s="4">
        <v>2008.0</v>
      </c>
      <c r="E249" s="4">
        <v>2025.8</v>
      </c>
      <c r="F249" s="4">
        <v>2018.2</v>
      </c>
      <c r="G249" s="4">
        <v>2020.81</v>
      </c>
      <c r="H249" s="1" t="s">
        <v>2663</v>
      </c>
      <c r="I249" s="1" t="s">
        <v>2665</v>
      </c>
      <c r="J249" s="1" t="s">
        <v>2666</v>
      </c>
      <c r="K249" s="6">
        <f t="shared" si="2"/>
        <v>-0.003751604304</v>
      </c>
      <c r="L249" s="7">
        <v>-0.003488224726966984</v>
      </c>
      <c r="M249" s="8">
        <f t="shared" si="1"/>
        <v>11091516</v>
      </c>
    </row>
    <row r="250">
      <c r="A250" s="3">
        <v>45870.0</v>
      </c>
      <c r="B250" s="4">
        <v>2014.0</v>
      </c>
      <c r="C250" s="4">
        <v>2028.3</v>
      </c>
      <c r="D250" s="4">
        <v>2009.3</v>
      </c>
      <c r="E250" s="4">
        <v>2018.2</v>
      </c>
      <c r="F250" s="4">
        <v>2012.2</v>
      </c>
      <c r="G250" s="4">
        <v>2015.24</v>
      </c>
      <c r="H250" s="1" t="s">
        <v>2672</v>
      </c>
      <c r="I250" s="1" t="s">
        <v>2673</v>
      </c>
      <c r="J250" s="1" t="s">
        <v>2674</v>
      </c>
      <c r="K250" s="6">
        <f t="shared" si="2"/>
        <v>-0.00297294619</v>
      </c>
      <c r="L250" s="7">
        <v>-0.008195943613522903</v>
      </c>
      <c r="M250" s="8">
        <f t="shared" si="1"/>
        <v>5658629</v>
      </c>
    </row>
    <row r="251">
      <c r="A251" s="3">
        <v>45873.0</v>
      </c>
      <c r="B251" s="4">
        <v>2010.1</v>
      </c>
      <c r="C251" s="4">
        <v>2018.5</v>
      </c>
      <c r="D251" s="4">
        <v>1988.1</v>
      </c>
      <c r="E251" s="4">
        <v>2012.2</v>
      </c>
      <c r="F251" s="4">
        <v>1992.0</v>
      </c>
      <c r="G251" s="4">
        <v>1997.96</v>
      </c>
      <c r="H251" s="1" t="s">
        <v>2680</v>
      </c>
      <c r="I251" s="1" t="s">
        <v>2683</v>
      </c>
      <c r="J251" s="1" t="s">
        <v>2685</v>
      </c>
      <c r="K251" s="6">
        <f t="shared" si="2"/>
        <v>-0.01003876354</v>
      </c>
      <c r="L251" s="7">
        <v>0.006407399039704359</v>
      </c>
      <c r="M251" s="8">
        <f t="shared" si="1"/>
        <v>6966973</v>
      </c>
    </row>
    <row r="252">
      <c r="A252" s="3">
        <v>45874.0</v>
      </c>
      <c r="B252" s="4">
        <v>1986.5</v>
      </c>
      <c r="C252" s="4">
        <v>1994.4</v>
      </c>
      <c r="D252" s="4">
        <v>1965.5</v>
      </c>
      <c r="E252" s="4">
        <v>1992.0</v>
      </c>
      <c r="F252" s="4">
        <v>1977.6</v>
      </c>
      <c r="G252" s="4">
        <v>1975.61</v>
      </c>
      <c r="H252" s="1" t="s">
        <v>2694</v>
      </c>
      <c r="I252" s="1" t="s">
        <v>2696</v>
      </c>
      <c r="J252" s="1" t="s">
        <v>2698</v>
      </c>
      <c r="K252" s="6">
        <f t="shared" si="2"/>
        <v>-0.007228915663</v>
      </c>
      <c r="L252" s="7">
        <v>-0.002960835667553194</v>
      </c>
      <c r="M252" s="8">
        <f t="shared" si="1"/>
        <v>11989029</v>
      </c>
    </row>
    <row r="253">
      <c r="A253" s="3">
        <v>45875.0</v>
      </c>
      <c r="B253" s="4">
        <v>1971.1</v>
      </c>
      <c r="C253" s="4">
        <v>1988.0</v>
      </c>
      <c r="D253" s="4">
        <v>1970.0</v>
      </c>
      <c r="E253" s="4">
        <v>1977.6</v>
      </c>
      <c r="F253" s="4">
        <v>1985.3</v>
      </c>
      <c r="G253" s="4">
        <v>1978.39</v>
      </c>
      <c r="H253" s="1" t="s">
        <v>2705</v>
      </c>
      <c r="I253" s="1" t="s">
        <v>2706</v>
      </c>
      <c r="J253" s="1" t="s">
        <v>2707</v>
      </c>
      <c r="K253" s="6">
        <f t="shared" si="2"/>
        <v>0.003893608414</v>
      </c>
      <c r="L253" s="7">
        <v>-0.0030568509364267723</v>
      </c>
      <c r="M253" s="8">
        <f t="shared" si="1"/>
        <v>7040102</v>
      </c>
    </row>
    <row r="254">
      <c r="A254" s="3">
        <v>45876.0</v>
      </c>
      <c r="B254" s="4">
        <v>1980.1</v>
      </c>
      <c r="C254" s="4">
        <v>2001.6</v>
      </c>
      <c r="D254" s="4">
        <v>1976.8</v>
      </c>
      <c r="E254" s="4">
        <v>1985.3</v>
      </c>
      <c r="F254" s="4">
        <v>1995.4</v>
      </c>
      <c r="G254" s="4">
        <v>1986.09</v>
      </c>
      <c r="H254" s="1" t="s">
        <v>2717</v>
      </c>
      <c r="I254" s="1" t="s">
        <v>2718</v>
      </c>
      <c r="J254" s="1" t="s">
        <v>2719</v>
      </c>
      <c r="K254" s="6">
        <f t="shared" si="2"/>
        <v>0.005087392334</v>
      </c>
      <c r="L254" s="7">
        <v>8.932132073475729E-4</v>
      </c>
      <c r="M254" s="8">
        <f t="shared" si="1"/>
        <v>6540593</v>
      </c>
    </row>
    <row r="255">
      <c r="A255" s="3">
        <v>45877.0</v>
      </c>
      <c r="B255" s="4">
        <v>1987.1</v>
      </c>
      <c r="C255" s="4">
        <v>1992.8</v>
      </c>
      <c r="D255" s="4">
        <v>1970.0</v>
      </c>
      <c r="E255" s="4">
        <v>1995.4</v>
      </c>
      <c r="F255" s="4">
        <v>1973.9</v>
      </c>
      <c r="G255" s="4">
        <v>1978.99</v>
      </c>
      <c r="H255" s="1" t="s">
        <v>2731</v>
      </c>
      <c r="I255" s="1" t="s">
        <v>2732</v>
      </c>
      <c r="J255" s="1" t="s">
        <v>1273</v>
      </c>
      <c r="K255" s="6">
        <f t="shared" si="2"/>
        <v>-0.010774782</v>
      </c>
      <c r="L255" s="7">
        <v>-0.009466928767307167</v>
      </c>
      <c r="M255" s="8">
        <f t="shared" si="1"/>
        <v>6947632</v>
      </c>
    </row>
    <row r="256">
      <c r="A256" s="9">
        <v>45880.0</v>
      </c>
      <c r="B256" s="4">
        <v>1975.9</v>
      </c>
      <c r="C256" s="4">
        <v>1997.6</v>
      </c>
      <c r="D256" s="4">
        <v>1973.1</v>
      </c>
      <c r="E256" s="4">
        <v>1973.9</v>
      </c>
      <c r="F256" s="4">
        <v>1995.6</v>
      </c>
      <c r="G256" s="4">
        <v>1986.89</v>
      </c>
      <c r="H256" s="1" t="s">
        <v>2742</v>
      </c>
      <c r="I256" s="1" t="s">
        <v>2743</v>
      </c>
      <c r="J256" s="1" t="s">
        <v>2744</v>
      </c>
      <c r="K256" s="6">
        <f t="shared" si="2"/>
        <v>0.01099346471</v>
      </c>
      <c r="L256" s="7">
        <v>0.009101804763722484</v>
      </c>
      <c r="M256" s="8">
        <f t="shared" si="1"/>
        <v>4552927</v>
      </c>
    </row>
    <row r="257">
      <c r="A257" s="9">
        <v>45881.0</v>
      </c>
      <c r="B257" s="4">
        <v>1991.9</v>
      </c>
      <c r="C257" s="4">
        <v>1996.0</v>
      </c>
      <c r="D257" s="4">
        <v>1967.5</v>
      </c>
      <c r="E257" s="4">
        <v>1995.6</v>
      </c>
      <c r="F257" s="4">
        <v>1969.9</v>
      </c>
      <c r="G257" s="4">
        <v>1978.54</v>
      </c>
      <c r="H257" s="1" t="s">
        <v>2751</v>
      </c>
      <c r="I257" s="1" t="s">
        <v>2753</v>
      </c>
      <c r="J257" s="1" t="s">
        <v>2754</v>
      </c>
      <c r="K257" s="6">
        <f t="shared" si="2"/>
        <v>-0.01287833233</v>
      </c>
      <c r="L257" s="7">
        <v>-0.003971926028216246</v>
      </c>
      <c r="M257" s="8">
        <f t="shared" si="1"/>
        <v>6468901</v>
      </c>
    </row>
    <row r="258">
      <c r="A258" s="9">
        <v>45882.0</v>
      </c>
      <c r="B258" s="4">
        <v>1994.0</v>
      </c>
      <c r="C258" s="4">
        <v>1994.0</v>
      </c>
      <c r="D258" s="4">
        <v>1969.1</v>
      </c>
      <c r="E258" s="4">
        <v>1969.9</v>
      </c>
      <c r="F258" s="4">
        <v>1980.3</v>
      </c>
      <c r="G258" s="4">
        <v>1977.14</v>
      </c>
      <c r="H258" s="1" t="s">
        <v>2760</v>
      </c>
      <c r="I258" s="1" t="s">
        <v>2762</v>
      </c>
      <c r="J258" s="1" t="s">
        <v>2764</v>
      </c>
      <c r="K258" s="6">
        <f t="shared" si="2"/>
        <v>0.00527945581</v>
      </c>
      <c r="L258" s="7">
        <v>0.005388485506831966</v>
      </c>
      <c r="M258" s="8">
        <f t="shared" si="1"/>
        <v>6788698</v>
      </c>
    </row>
    <row r="259">
      <c r="A259" s="9">
        <v>45883.0</v>
      </c>
      <c r="B259" s="4">
        <v>1978.0</v>
      </c>
      <c r="C259" s="4">
        <v>1996.0</v>
      </c>
      <c r="D259" s="4">
        <v>1971.2</v>
      </c>
      <c r="E259" s="4">
        <v>1980.3</v>
      </c>
      <c r="F259" s="4">
        <v>1991.1</v>
      </c>
      <c r="G259" s="4">
        <v>1990.18</v>
      </c>
      <c r="H259" s="1" t="s">
        <v>2769</v>
      </c>
      <c r="I259" s="1" t="s">
        <v>2771</v>
      </c>
      <c r="J259" s="1" t="s">
        <v>2773</v>
      </c>
      <c r="K259" s="6">
        <f t="shared" si="2"/>
        <v>0.005453719133</v>
      </c>
      <c r="L259" s="7">
        <v>4.853905566150499E-4</v>
      </c>
      <c r="M259" s="8">
        <f t="shared" si="1"/>
        <v>8755858</v>
      </c>
    </row>
    <row r="260">
      <c r="A260" s="9">
        <v>45887.0</v>
      </c>
      <c r="B260" s="4">
        <v>2010.0</v>
      </c>
      <c r="C260" s="4">
        <v>2026.6</v>
      </c>
      <c r="D260" s="4">
        <v>1995.6</v>
      </c>
      <c r="E260" s="4">
        <v>1991.1</v>
      </c>
      <c r="F260" s="4">
        <v>2003.6</v>
      </c>
      <c r="G260" s="4">
        <v>2008.73</v>
      </c>
      <c r="H260" s="1" t="s">
        <v>2778</v>
      </c>
      <c r="I260" s="1" t="s">
        <v>2779</v>
      </c>
      <c r="J260" s="1" t="s">
        <v>2780</v>
      </c>
      <c r="K260" s="6">
        <f t="shared" si="2"/>
        <v>0.006277936819</v>
      </c>
      <c r="L260" s="7">
        <v>0.009973083028504443</v>
      </c>
      <c r="M260" s="8">
        <f t="shared" si="1"/>
        <v>9642398</v>
      </c>
    </row>
    <row r="261">
      <c r="A261" s="9">
        <v>45888.0</v>
      </c>
      <c r="B261" s="4">
        <v>1998.3</v>
      </c>
      <c r="C261" s="4">
        <v>2006.1</v>
      </c>
      <c r="D261" s="4">
        <v>1986.7</v>
      </c>
      <c r="E261" s="4">
        <v>2003.6</v>
      </c>
      <c r="F261" s="4">
        <v>1991.1</v>
      </c>
      <c r="G261" s="4">
        <v>1995.49</v>
      </c>
      <c r="H261" s="1" t="s">
        <v>2790</v>
      </c>
      <c r="I261" s="1" t="s">
        <v>2792</v>
      </c>
      <c r="J261" s="1" t="s">
        <v>2794</v>
      </c>
      <c r="K261" s="6">
        <f t="shared" si="2"/>
        <v>-0.006238770214</v>
      </c>
      <c r="L261" s="7">
        <v>0.0041685174428537555</v>
      </c>
      <c r="M261" s="8">
        <f t="shared" si="1"/>
        <v>6176219</v>
      </c>
    </row>
    <row r="262">
      <c r="A262" s="9">
        <v>45889.0</v>
      </c>
      <c r="B262" s="4">
        <v>1987.0</v>
      </c>
      <c r="C262" s="4">
        <v>1992.0</v>
      </c>
      <c r="D262" s="4">
        <v>1979.0</v>
      </c>
      <c r="E262" s="4">
        <v>1991.1</v>
      </c>
      <c r="F262" s="4">
        <v>1988.2</v>
      </c>
      <c r="G262" s="4">
        <v>1985.13</v>
      </c>
      <c r="H262" s="1" t="s">
        <v>2799</v>
      </c>
      <c r="I262" s="1" t="s">
        <v>2803</v>
      </c>
      <c r="J262" s="1" t="s">
        <v>2806</v>
      </c>
      <c r="K262" s="6">
        <f t="shared" si="2"/>
        <v>-0.001456481342</v>
      </c>
      <c r="L262" s="7">
        <v>0.0027981657803138756</v>
      </c>
      <c r="M262" s="8">
        <f t="shared" si="1"/>
        <v>4975114</v>
      </c>
    </row>
    <row r="263">
      <c r="A263" s="9">
        <v>45890.0</v>
      </c>
      <c r="B263" s="4">
        <v>1997.5</v>
      </c>
      <c r="C263" s="4">
        <v>1997.5</v>
      </c>
      <c r="D263" s="4">
        <v>1983.2</v>
      </c>
      <c r="E263" s="4">
        <v>1988.2</v>
      </c>
      <c r="F263" s="4">
        <v>1991.2</v>
      </c>
      <c r="G263" s="4">
        <v>1991.62</v>
      </c>
      <c r="H263" s="1" t="s">
        <v>2808</v>
      </c>
      <c r="I263" s="1" t="s">
        <v>2809</v>
      </c>
      <c r="J263" s="1" t="s">
        <v>2810</v>
      </c>
      <c r="K263" s="6">
        <f t="shared" si="2"/>
        <v>0.001508902525</v>
      </c>
      <c r="L263" s="7">
        <v>0.0013253202025504721</v>
      </c>
      <c r="M263" s="8">
        <f t="shared" si="1"/>
        <v>6219925</v>
      </c>
    </row>
    <row r="264">
      <c r="A264" s="9">
        <v>45891.0</v>
      </c>
      <c r="B264" s="4">
        <v>1989.9</v>
      </c>
      <c r="C264" s="4">
        <v>1996.0</v>
      </c>
      <c r="D264" s="4">
        <v>1957.1</v>
      </c>
      <c r="E264" s="4">
        <v>1991.2</v>
      </c>
      <c r="F264" s="4">
        <v>1964.6</v>
      </c>
      <c r="G264" s="4">
        <v>1968.66</v>
      </c>
      <c r="H264" s="1" t="s">
        <v>2815</v>
      </c>
      <c r="I264" s="1" t="s">
        <v>2817</v>
      </c>
      <c r="J264" s="1" t="s">
        <v>2819</v>
      </c>
      <c r="K264" s="6">
        <f t="shared" si="2"/>
        <v>-0.01335877863</v>
      </c>
      <c r="L264" s="7">
        <v>-0.008517466487267712</v>
      </c>
      <c r="M264" s="8">
        <f t="shared" si="1"/>
        <v>9916751</v>
      </c>
    </row>
    <row r="265">
      <c r="A265" s="9">
        <v>45894.0</v>
      </c>
      <c r="B265" s="4">
        <v>1960.2</v>
      </c>
      <c r="C265" s="4">
        <v>1977.4</v>
      </c>
      <c r="D265" s="4">
        <v>1957.0</v>
      </c>
      <c r="E265" s="4">
        <v>1964.6</v>
      </c>
      <c r="F265" s="4">
        <v>1964.1</v>
      </c>
      <c r="G265" s="4">
        <v>1967.27</v>
      </c>
      <c r="H265" s="1" t="s">
        <v>2829</v>
      </c>
      <c r="I265" s="1" t="s">
        <v>2831</v>
      </c>
      <c r="J265" s="1" t="s">
        <v>2833</v>
      </c>
      <c r="K265" s="6">
        <f t="shared" si="2"/>
        <v>-0.0002545047338</v>
      </c>
      <c r="L265" s="7">
        <v>0.003926401582623369</v>
      </c>
      <c r="M265" s="8">
        <f t="shared" si="1"/>
        <v>8759022</v>
      </c>
    </row>
    <row r="266">
      <c r="A266" s="9">
        <v>45895.0</v>
      </c>
      <c r="B266" s="1">
        <v>979.5</v>
      </c>
      <c r="C266" s="1">
        <v>985.7</v>
      </c>
      <c r="D266" s="1">
        <v>968.0</v>
      </c>
      <c r="E266" s="4">
        <v>1964.1</v>
      </c>
      <c r="F266" s="1">
        <v>973.4</v>
      </c>
      <c r="G266" s="1">
        <v>973.26</v>
      </c>
      <c r="H266" s="1" t="s">
        <v>2841</v>
      </c>
      <c r="I266" s="1" t="s">
        <v>2842</v>
      </c>
      <c r="J266" s="1" t="s">
        <v>2844</v>
      </c>
      <c r="K266" s="6">
        <f t="shared" si="2"/>
        <v>-0.5044040527</v>
      </c>
      <c r="L266" s="7">
        <v>-0.010241211162399524</v>
      </c>
      <c r="M266" s="8">
        <f t="shared" si="1"/>
        <v>16917731</v>
      </c>
    </row>
    <row r="267">
      <c r="A267" s="9">
        <v>45897.0</v>
      </c>
      <c r="B267" s="1">
        <v>967.0</v>
      </c>
      <c r="C267" s="1">
        <v>972.2</v>
      </c>
      <c r="D267" s="1">
        <v>955.0</v>
      </c>
      <c r="E267" s="1">
        <v>973.4</v>
      </c>
      <c r="F267" s="1">
        <v>957.8</v>
      </c>
      <c r="G267" s="1">
        <v>962.09</v>
      </c>
      <c r="H267" s="1" t="s">
        <v>2850</v>
      </c>
      <c r="I267" s="1" t="s">
        <v>2851</v>
      </c>
      <c r="J267" s="1" t="s">
        <v>2852</v>
      </c>
      <c r="K267" s="6">
        <f t="shared" si="2"/>
        <v>-0.01602629957</v>
      </c>
      <c r="L267" s="7">
        <v>-0.008544414566982416</v>
      </c>
      <c r="M267" s="8">
        <f t="shared" si="1"/>
        <v>25438255</v>
      </c>
    </row>
    <row r="268">
      <c r="A268" s="9">
        <v>45898.0</v>
      </c>
      <c r="B268" s="1">
        <v>954.0</v>
      </c>
      <c r="C268" s="1">
        <v>963.3</v>
      </c>
      <c r="D268" s="1">
        <v>950.1</v>
      </c>
      <c r="E268" s="1">
        <v>957.8</v>
      </c>
      <c r="F268" s="1">
        <v>951.6</v>
      </c>
      <c r="G268" s="1">
        <v>955.24</v>
      </c>
      <c r="H268" s="1" t="s">
        <v>2865</v>
      </c>
      <c r="I268" s="1" t="s">
        <v>2866</v>
      </c>
      <c r="J268" s="1" t="s">
        <v>2867</v>
      </c>
      <c r="K268" s="6">
        <f t="shared" si="2"/>
        <v>-0.006473167676</v>
      </c>
      <c r="L268" s="7">
        <v>-0.0030223379549323866</v>
      </c>
      <c r="M268" s="8">
        <f t="shared" si="1"/>
        <v>14823813</v>
      </c>
    </row>
    <row r="269">
      <c r="A269" s="3">
        <v>45901.0</v>
      </c>
      <c r="B269" s="1">
        <v>949.6</v>
      </c>
      <c r="C269" s="1">
        <v>957.45</v>
      </c>
      <c r="D269" s="1">
        <v>946.35</v>
      </c>
      <c r="E269" s="1">
        <v>951.6</v>
      </c>
      <c r="F269" s="1">
        <v>950.6</v>
      </c>
      <c r="G269" s="1">
        <v>950.62</v>
      </c>
      <c r="H269" s="1" t="s">
        <v>2877</v>
      </c>
      <c r="I269" s="1" t="s">
        <v>2878</v>
      </c>
      <c r="J269" s="1" t="s">
        <v>2879</v>
      </c>
      <c r="K269" s="6">
        <f t="shared" si="2"/>
        <v>-0.001050861707</v>
      </c>
      <c r="L269" s="7">
        <v>0.008114022069976306</v>
      </c>
      <c r="M269" s="8">
        <f t="shared" si="1"/>
        <v>20178344</v>
      </c>
    </row>
    <row r="270">
      <c r="A270" s="3">
        <v>45902.0</v>
      </c>
      <c r="B270" s="1">
        <v>951.0</v>
      </c>
      <c r="C270" s="1">
        <v>954.8</v>
      </c>
      <c r="D270" s="1">
        <v>944.0</v>
      </c>
      <c r="E270" s="1">
        <v>950.6</v>
      </c>
      <c r="F270" s="1">
        <v>944.5</v>
      </c>
      <c r="G270" s="1">
        <v>948.8</v>
      </c>
      <c r="H270" s="1" t="s">
        <v>2888</v>
      </c>
      <c r="I270" s="1" t="s">
        <v>2890</v>
      </c>
      <c r="J270" s="1" t="s">
        <v>2891</v>
      </c>
      <c r="K270" s="6">
        <f t="shared" si="2"/>
        <v>-0.00641699979</v>
      </c>
      <c r="L270" s="7">
        <v>-0.001845681531611133</v>
      </c>
      <c r="M270" s="8">
        <f t="shared" si="1"/>
        <v>14196320</v>
      </c>
    </row>
    <row r="271">
      <c r="A271" s="3">
        <v>45903.0</v>
      </c>
      <c r="B271" s="1">
        <v>945.0</v>
      </c>
      <c r="C271" s="1">
        <v>956.3</v>
      </c>
      <c r="D271" s="1">
        <v>940.0</v>
      </c>
      <c r="E271" s="1">
        <v>944.5</v>
      </c>
      <c r="F271" s="1">
        <v>954.45</v>
      </c>
      <c r="G271" s="1">
        <v>947.66</v>
      </c>
      <c r="H271" s="1" t="s">
        <v>2896</v>
      </c>
      <c r="I271" s="1" t="s">
        <v>2898</v>
      </c>
      <c r="J271" s="1" t="s">
        <v>2902</v>
      </c>
      <c r="K271" s="6">
        <f t="shared" si="2"/>
        <v>0.01053467443</v>
      </c>
      <c r="L271" s="7">
        <v>0.005510667382707641</v>
      </c>
      <c r="M271" s="8">
        <f t="shared" si="1"/>
        <v>16083481</v>
      </c>
    </row>
    <row r="272">
      <c r="A272" s="3">
        <v>45904.0</v>
      </c>
      <c r="B272" s="1">
        <v>960.2</v>
      </c>
      <c r="C272" s="1">
        <v>965.7</v>
      </c>
      <c r="D272" s="1">
        <v>956.25</v>
      </c>
      <c r="E272" s="1">
        <v>954.45</v>
      </c>
      <c r="F272" s="1">
        <v>961.25</v>
      </c>
      <c r="G272" s="1">
        <v>961.34</v>
      </c>
      <c r="H272" s="1" t="s">
        <v>2913</v>
      </c>
      <c r="I272" s="1" t="s">
        <v>2914</v>
      </c>
      <c r="J272" s="1" t="s">
        <v>2915</v>
      </c>
      <c r="K272" s="6">
        <f t="shared" si="2"/>
        <v>0.007124521976</v>
      </c>
      <c r="L272" s="7">
        <v>7.788776474253542E-4</v>
      </c>
      <c r="M272" s="8">
        <f t="shared" si="1"/>
        <v>17597657</v>
      </c>
    </row>
    <row r="273">
      <c r="A273" s="3">
        <v>45905.0</v>
      </c>
      <c r="B273" s="1">
        <v>967.5</v>
      </c>
      <c r="C273" s="1">
        <v>967.5</v>
      </c>
      <c r="D273" s="1">
        <v>954.05</v>
      </c>
      <c r="E273" s="1">
        <v>961.25</v>
      </c>
      <c r="F273" s="1">
        <v>963.4</v>
      </c>
      <c r="G273" s="1">
        <v>960.7</v>
      </c>
      <c r="H273" s="1" t="s">
        <v>2925</v>
      </c>
      <c r="I273" s="1" t="s">
        <v>2926</v>
      </c>
      <c r="J273" s="1" t="s">
        <v>2927</v>
      </c>
      <c r="K273" s="6">
        <f t="shared" si="2"/>
        <v>0.002236671001</v>
      </c>
      <c r="L273" s="7">
        <v>2.708789009594259E-4</v>
      </c>
      <c r="M273" s="8">
        <f t="shared" si="1"/>
        <v>11602111</v>
      </c>
    </row>
    <row r="274">
      <c r="A274" s="3">
        <v>45908.0</v>
      </c>
      <c r="B274" s="1">
        <v>969.0</v>
      </c>
      <c r="C274" s="1">
        <v>973.15</v>
      </c>
      <c r="D274" s="1">
        <v>960.45</v>
      </c>
      <c r="E274" s="1">
        <v>963.4</v>
      </c>
      <c r="F274" s="1">
        <v>966.0</v>
      </c>
      <c r="G274" s="1">
        <v>967.58</v>
      </c>
      <c r="H274" s="1" t="s">
        <v>2934</v>
      </c>
      <c r="I274" s="1" t="s">
        <v>2935</v>
      </c>
      <c r="J274" s="1" t="s">
        <v>2936</v>
      </c>
      <c r="K274" s="6">
        <f t="shared" si="2"/>
        <v>0.002698775171</v>
      </c>
      <c r="L274" s="7">
        <v>0.0012994624307829698</v>
      </c>
      <c r="M274" s="8">
        <f t="shared" si="1"/>
        <v>11711307</v>
      </c>
    </row>
    <row r="275">
      <c r="A275" s="3">
        <v>45909.0</v>
      </c>
      <c r="B275" s="1">
        <v>974.0</v>
      </c>
      <c r="C275" s="1">
        <v>974.4</v>
      </c>
      <c r="D275" s="1">
        <v>962.7</v>
      </c>
      <c r="E275" s="1">
        <v>966.0</v>
      </c>
      <c r="F275" s="1">
        <v>965.15</v>
      </c>
      <c r="G275" s="1">
        <v>967.81</v>
      </c>
      <c r="H275" s="1" t="s">
        <v>2945</v>
      </c>
      <c r="I275" s="1" t="s">
        <v>2947</v>
      </c>
      <c r="J275" s="1" t="s">
        <v>2948</v>
      </c>
      <c r="K275" s="6">
        <f t="shared" si="2"/>
        <v>-0.0008799171843</v>
      </c>
      <c r="L275" s="7">
        <v>0.0038529617751475722</v>
      </c>
      <c r="M275" s="8">
        <f t="shared" si="1"/>
        <v>13985539</v>
      </c>
    </row>
    <row r="276">
      <c r="A276" s="9">
        <v>45910.0</v>
      </c>
      <c r="B276" s="1">
        <v>973.9</v>
      </c>
      <c r="C276" s="1">
        <v>973.9</v>
      </c>
      <c r="D276" s="1">
        <v>961.7</v>
      </c>
      <c r="E276" s="1">
        <v>965.15</v>
      </c>
      <c r="F276" s="1">
        <v>965.9</v>
      </c>
      <c r="G276" s="1">
        <v>966.21</v>
      </c>
      <c r="H276" s="1" t="s">
        <v>2954</v>
      </c>
      <c r="I276" s="1" t="s">
        <v>2955</v>
      </c>
      <c r="J276" s="1" t="s">
        <v>2957</v>
      </c>
      <c r="K276" s="6">
        <f t="shared" si="2"/>
        <v>0.0007770812827</v>
      </c>
      <c r="L276" s="7">
        <v>0.004202086164882623</v>
      </c>
      <c r="M276" s="8">
        <f t="shared" si="1"/>
        <v>18091100</v>
      </c>
    </row>
    <row r="277">
      <c r="A277" s="9">
        <v>45911.0</v>
      </c>
      <c r="B277" s="1">
        <v>960.3</v>
      </c>
      <c r="C277" s="1">
        <v>969.25</v>
      </c>
      <c r="D277" s="1">
        <v>959.9</v>
      </c>
      <c r="E277" s="1">
        <v>965.9</v>
      </c>
      <c r="F277" s="1">
        <v>967.8</v>
      </c>
      <c r="G277" s="1">
        <v>965.95</v>
      </c>
      <c r="H277" s="1" t="s">
        <v>2963</v>
      </c>
      <c r="I277" s="1" t="s">
        <v>2965</v>
      </c>
      <c r="J277" s="1" t="s">
        <v>2967</v>
      </c>
      <c r="K277" s="6">
        <f t="shared" si="2"/>
        <v>0.001967077337</v>
      </c>
      <c r="L277" s="7">
        <v>0.0012973959980940074</v>
      </c>
      <c r="M277" s="8">
        <f t="shared" si="1"/>
        <v>15113633</v>
      </c>
    </row>
    <row r="278">
      <c r="A278" s="9">
        <v>45912.0</v>
      </c>
      <c r="B278" s="1">
        <v>969.9</v>
      </c>
      <c r="C278" s="1">
        <v>970.75</v>
      </c>
      <c r="D278" s="1">
        <v>962.25</v>
      </c>
      <c r="E278" s="1">
        <v>967.8</v>
      </c>
      <c r="F278" s="1">
        <v>967.3</v>
      </c>
      <c r="G278" s="1">
        <v>966.65</v>
      </c>
      <c r="H278" s="1" t="s">
        <v>2974</v>
      </c>
      <c r="I278" s="1" t="s">
        <v>2975</v>
      </c>
      <c r="J278" s="1" t="s">
        <v>2976</v>
      </c>
      <c r="K278" s="6">
        <f t="shared" si="2"/>
        <v>-0.0005166356685</v>
      </c>
      <c r="L278" s="7">
        <v>0.0043390454100097975</v>
      </c>
      <c r="M278" s="8">
        <f t="shared" si="1"/>
        <v>14363519</v>
      </c>
    </row>
    <row r="279">
      <c r="A279" s="9">
        <v>45915.0</v>
      </c>
      <c r="B279" s="1">
        <v>969.6</v>
      </c>
      <c r="C279" s="1">
        <v>972.35</v>
      </c>
      <c r="D279" s="1">
        <v>965.0</v>
      </c>
      <c r="E279" s="1">
        <v>967.3</v>
      </c>
      <c r="F279" s="1">
        <v>967.05</v>
      </c>
      <c r="G279" s="1">
        <v>968.58</v>
      </c>
      <c r="H279" s="1" t="s">
        <v>2986</v>
      </c>
      <c r="I279" s="1" t="s">
        <v>2987</v>
      </c>
      <c r="J279" s="1" t="s">
        <v>2988</v>
      </c>
      <c r="K279" s="6">
        <f t="shared" si="2"/>
        <v>-0.0002584513595</v>
      </c>
      <c r="L279" s="7">
        <v>-0.0017838655729871494</v>
      </c>
      <c r="M279" s="8">
        <f t="shared" si="1"/>
        <v>14486377</v>
      </c>
    </row>
    <row r="280">
      <c r="A280" s="9">
        <v>45916.0</v>
      </c>
      <c r="B280" s="1">
        <v>961.2</v>
      </c>
      <c r="C280" s="1">
        <v>969.35</v>
      </c>
      <c r="D280" s="1">
        <v>961.2</v>
      </c>
      <c r="E280" s="1">
        <v>967.05</v>
      </c>
      <c r="F280" s="1">
        <v>966.85</v>
      </c>
      <c r="G280" s="1">
        <v>966.32</v>
      </c>
      <c r="H280" s="1" t="s">
        <v>2994</v>
      </c>
      <c r="I280" s="1" t="s">
        <v>2997</v>
      </c>
      <c r="J280" s="1" t="s">
        <v>2999</v>
      </c>
      <c r="K280" s="6">
        <f t="shared" si="2"/>
        <v>-0.0002068145391</v>
      </c>
      <c r="L280" s="7">
        <v>0.006777240598024581</v>
      </c>
      <c r="M280" s="8">
        <f t="shared" si="1"/>
        <v>18661794</v>
      </c>
    </row>
    <row r="281">
      <c r="A281" s="9">
        <v>45917.0</v>
      </c>
      <c r="B281" s="1">
        <v>965.15</v>
      </c>
      <c r="C281" s="1">
        <v>974.4</v>
      </c>
      <c r="D281" s="1">
        <v>964.35</v>
      </c>
      <c r="E281" s="1">
        <v>966.85</v>
      </c>
      <c r="F281" s="1">
        <v>966.5</v>
      </c>
      <c r="G281" s="1">
        <v>968.39</v>
      </c>
      <c r="H281" s="1" t="s">
        <v>3004</v>
      </c>
      <c r="I281" s="1" t="s">
        <v>3005</v>
      </c>
      <c r="J281" s="1" t="s">
        <v>3006</v>
      </c>
      <c r="K281" s="6">
        <f t="shared" si="2"/>
        <v>-0.0003620003103</v>
      </c>
      <c r="L281" s="7">
        <v>0.0036114599965926465</v>
      </c>
      <c r="M281" s="8">
        <f t="shared" si="1"/>
        <v>17361476</v>
      </c>
    </row>
    <row r="282">
      <c r="A282" s="9">
        <v>45918.0</v>
      </c>
      <c r="B282" s="1">
        <v>973.3</v>
      </c>
      <c r="C282" s="1">
        <v>979.65</v>
      </c>
      <c r="D282" s="1">
        <v>969.25</v>
      </c>
      <c r="E282" s="1">
        <v>966.5</v>
      </c>
      <c r="F282" s="1">
        <v>976.9</v>
      </c>
      <c r="G282" s="1">
        <v>974.66</v>
      </c>
      <c r="H282" s="1" t="s">
        <v>3015</v>
      </c>
      <c r="I282" s="1" t="s">
        <v>3016</v>
      </c>
      <c r="J282" s="1" t="s">
        <v>3017</v>
      </c>
      <c r="K282" s="6">
        <f t="shared" si="2"/>
        <v>0.01076047594</v>
      </c>
      <c r="L282" s="7">
        <v>0.003685316962919772</v>
      </c>
      <c r="M282" s="8">
        <f t="shared" si="1"/>
        <v>17791598</v>
      </c>
    </row>
    <row r="283">
      <c r="A283" s="9">
        <v>45919.0</v>
      </c>
      <c r="B283" s="1">
        <v>974.9</v>
      </c>
      <c r="C283" s="1">
        <v>976.7</v>
      </c>
      <c r="D283" s="1">
        <v>962.1</v>
      </c>
      <c r="E283" s="1">
        <v>976.9</v>
      </c>
      <c r="F283" s="1">
        <v>966.9</v>
      </c>
      <c r="G283" s="1">
        <v>967.22</v>
      </c>
      <c r="H283" s="1" t="s">
        <v>3025</v>
      </c>
      <c r="I283" s="1" t="s">
        <v>3027</v>
      </c>
      <c r="J283" s="1" t="s">
        <v>3028</v>
      </c>
      <c r="K283" s="6">
        <f t="shared" si="2"/>
        <v>-0.01023646228</v>
      </c>
      <c r="L283" s="7">
        <v>-0.0037976525747730173</v>
      </c>
      <c r="M283" s="8">
        <f t="shared" si="1"/>
        <v>31243267</v>
      </c>
    </row>
    <row r="284">
      <c r="A284" s="9">
        <v>45922.0</v>
      </c>
      <c r="B284" s="1">
        <v>964.0</v>
      </c>
      <c r="C284" s="1">
        <v>971.2</v>
      </c>
      <c r="D284" s="1">
        <v>961.95</v>
      </c>
      <c r="E284" s="1">
        <v>966.9</v>
      </c>
      <c r="F284" s="1">
        <v>964.2</v>
      </c>
      <c r="G284" s="1">
        <v>966.4</v>
      </c>
      <c r="H284" s="1" t="s">
        <v>3034</v>
      </c>
      <c r="I284" s="1" t="s">
        <v>3037</v>
      </c>
      <c r="J284" s="1" t="s">
        <v>3039</v>
      </c>
      <c r="K284" s="6">
        <f t="shared" si="2"/>
        <v>-0.002792429414</v>
      </c>
      <c r="L284" s="7">
        <v>-0.004923589600841816</v>
      </c>
      <c r="M284" s="8">
        <f t="shared" si="1"/>
        <v>10854415</v>
      </c>
    </row>
    <row r="285">
      <c r="A285" s="9">
        <v>45923.0</v>
      </c>
      <c r="B285" s="1">
        <v>967.0</v>
      </c>
      <c r="C285" s="1">
        <v>968.2</v>
      </c>
      <c r="D285" s="1">
        <v>955.5</v>
      </c>
      <c r="E285" s="1">
        <v>964.2</v>
      </c>
      <c r="F285" s="1">
        <v>957.2</v>
      </c>
      <c r="G285" s="1">
        <v>960.1</v>
      </c>
      <c r="H285" s="1" t="s">
        <v>3044</v>
      </c>
      <c r="I285" s="1" t="s">
        <v>3046</v>
      </c>
      <c r="J285" s="1" t="s">
        <v>3048</v>
      </c>
      <c r="K285" s="6">
        <f t="shared" si="2"/>
        <v>-0.007259904584</v>
      </c>
      <c r="L285" s="7">
        <v>-0.0013034498766979488</v>
      </c>
      <c r="M285" s="8">
        <f t="shared" si="1"/>
        <v>21022298</v>
      </c>
    </row>
    <row r="286">
      <c r="A286" s="9">
        <v>45924.0</v>
      </c>
      <c r="B286" s="1">
        <v>952.2</v>
      </c>
      <c r="C286" s="1">
        <v>956.45</v>
      </c>
      <c r="D286" s="1">
        <v>943.0</v>
      </c>
      <c r="E286" s="1">
        <v>957.2</v>
      </c>
      <c r="F286" s="1">
        <v>951.05</v>
      </c>
      <c r="G286" s="1">
        <v>949.21</v>
      </c>
      <c r="H286" s="1" t="s">
        <v>3058</v>
      </c>
      <c r="I286" s="1" t="s">
        <v>3059</v>
      </c>
      <c r="J286" s="1" t="s">
        <v>3062</v>
      </c>
      <c r="K286" s="6">
        <f t="shared" si="2"/>
        <v>-0.006424989553</v>
      </c>
      <c r="L286" s="7">
        <v>-0.004473668527384276</v>
      </c>
      <c r="M286" s="8">
        <f t="shared" si="1"/>
        <v>15117220</v>
      </c>
    </row>
    <row r="287">
      <c r="A287" s="9">
        <v>45925.0</v>
      </c>
      <c r="B287" s="1">
        <v>952.5</v>
      </c>
      <c r="C287" s="1">
        <v>958.0</v>
      </c>
      <c r="D287" s="1">
        <v>947.4</v>
      </c>
      <c r="E287" s="1">
        <v>951.05</v>
      </c>
      <c r="F287" s="1">
        <v>949.85</v>
      </c>
      <c r="G287" s="1">
        <v>952.03</v>
      </c>
      <c r="H287" s="1" t="s">
        <v>3073</v>
      </c>
      <c r="I287" s="1" t="s">
        <v>3080</v>
      </c>
      <c r="J287" s="1" t="s">
        <v>3081</v>
      </c>
      <c r="K287" s="6">
        <f t="shared" si="2"/>
        <v>-0.001261763314</v>
      </c>
      <c r="L287" s="7">
        <v>-0.006626917136597221</v>
      </c>
      <c r="M287" s="8">
        <f t="shared" si="1"/>
        <v>31413279</v>
      </c>
    </row>
    <row r="288">
      <c r="A288" s="9">
        <v>45926.0</v>
      </c>
      <c r="B288" s="1">
        <v>945.1</v>
      </c>
      <c r="C288" s="1">
        <v>951.45</v>
      </c>
      <c r="D288" s="1">
        <v>941.3</v>
      </c>
      <c r="E288" s="1">
        <v>949.85</v>
      </c>
      <c r="F288" s="1">
        <v>945.05</v>
      </c>
      <c r="G288" s="1">
        <v>945.96</v>
      </c>
      <c r="H288" s="1" t="s">
        <v>3104</v>
      </c>
      <c r="I288" s="1" t="s">
        <v>3105</v>
      </c>
      <c r="J288" s="1" t="s">
        <v>3107</v>
      </c>
      <c r="K288" s="6">
        <f t="shared" si="2"/>
        <v>-0.005053429489</v>
      </c>
      <c r="L288" s="7">
        <v>-0.009487422084822247</v>
      </c>
      <c r="M288" s="8">
        <f t="shared" si="1"/>
        <v>14874656</v>
      </c>
    </row>
    <row r="289">
      <c r="A289" s="9">
        <v>45929.0</v>
      </c>
      <c r="B289" s="1">
        <v>946.05</v>
      </c>
      <c r="C289" s="1">
        <v>956.8</v>
      </c>
      <c r="D289" s="1">
        <v>939.1</v>
      </c>
      <c r="E289" s="1">
        <v>945.05</v>
      </c>
      <c r="F289" s="1">
        <v>950.3</v>
      </c>
      <c r="G289" s="1">
        <v>950.17</v>
      </c>
      <c r="H289" s="1" t="s">
        <v>3115</v>
      </c>
      <c r="I289" s="1" t="s">
        <v>3118</v>
      </c>
      <c r="J289" s="1" t="s">
        <v>3120</v>
      </c>
      <c r="K289" s="6">
        <f t="shared" si="2"/>
        <v>0.005555261626</v>
      </c>
      <c r="L289" s="7">
        <v>-8.03092310999496E-4</v>
      </c>
      <c r="M289" s="8">
        <f t="shared" si="1"/>
        <v>32398179</v>
      </c>
    </row>
    <row r="290">
      <c r="A290" s="9">
        <v>45930.0</v>
      </c>
      <c r="B290" s="1">
        <v>958.05</v>
      </c>
      <c r="C290" s="1">
        <v>960.0</v>
      </c>
      <c r="D290" s="1">
        <v>946.3</v>
      </c>
      <c r="E290" s="1">
        <v>950.3</v>
      </c>
      <c r="F290" s="1">
        <v>951.0</v>
      </c>
      <c r="G290" s="1">
        <v>951.48</v>
      </c>
      <c r="H290" s="1" t="s">
        <v>3128</v>
      </c>
      <c r="I290" s="1" t="s">
        <v>3129</v>
      </c>
      <c r="J290" s="1" t="s">
        <v>3130</v>
      </c>
      <c r="K290" s="6">
        <f t="shared" si="2"/>
        <v>0.0007366094917</v>
      </c>
      <c r="L290" s="7">
        <v>-9.661090566636321E-4</v>
      </c>
      <c r="M290" s="8">
        <f t="shared" si="1"/>
        <v>28296687</v>
      </c>
    </row>
    <row r="291">
      <c r="A291" s="3">
        <v>45931.0</v>
      </c>
      <c r="B291" s="1">
        <v>952.7</v>
      </c>
      <c r="C291" s="1">
        <v>969.6</v>
      </c>
      <c r="D291" s="1">
        <v>946.0</v>
      </c>
      <c r="E291" s="1">
        <v>951.0</v>
      </c>
      <c r="F291" s="1">
        <v>965.25</v>
      </c>
      <c r="G291" s="1">
        <v>961.75</v>
      </c>
      <c r="H291" s="1" t="s">
        <v>3140</v>
      </c>
      <c r="I291" s="1" t="s">
        <v>3141</v>
      </c>
      <c r="J291" s="1" t="s">
        <v>3142</v>
      </c>
      <c r="K291" s="6">
        <f t="shared" si="2"/>
        <v>0.01498422713</v>
      </c>
      <c r="L291" s="7">
        <v>0.009150342731531737</v>
      </c>
      <c r="M291" s="8">
        <f t="shared" si="1"/>
        <v>25350832</v>
      </c>
    </row>
    <row r="292">
      <c r="A292" s="3">
        <v>45933.0</v>
      </c>
      <c r="B292" s="1">
        <v>952.0</v>
      </c>
      <c r="C292" s="1">
        <v>966.75</v>
      </c>
      <c r="D292" s="1">
        <v>952.0</v>
      </c>
      <c r="E292" s="1">
        <v>965.25</v>
      </c>
      <c r="F292" s="1">
        <v>965.15</v>
      </c>
      <c r="G292" s="1">
        <v>960.81</v>
      </c>
      <c r="H292" s="1" t="s">
        <v>3152</v>
      </c>
      <c r="I292" s="1" t="s">
        <v>3153</v>
      </c>
      <c r="J292" s="1" t="s">
        <v>3154</v>
      </c>
      <c r="K292" s="6">
        <f t="shared" si="2"/>
        <v>-0.0001036001036</v>
      </c>
      <c r="L292" s="7">
        <v>0.002333278306350009</v>
      </c>
      <c r="M292" s="8">
        <f t="shared" si="1"/>
        <v>26658296</v>
      </c>
    </row>
    <row r="293">
      <c r="A293" s="3">
        <v>45936.0</v>
      </c>
      <c r="B293" s="1">
        <v>971.9</v>
      </c>
      <c r="C293" s="1">
        <v>977.4</v>
      </c>
      <c r="D293" s="1">
        <v>962.0</v>
      </c>
      <c r="E293" s="1">
        <v>965.15</v>
      </c>
      <c r="F293" s="1">
        <v>973.45</v>
      </c>
      <c r="G293" s="1">
        <v>973.33</v>
      </c>
      <c r="H293" s="1" t="s">
        <v>3164</v>
      </c>
      <c r="I293" s="1" t="s">
        <v>3165</v>
      </c>
      <c r="J293" s="1" t="s">
        <v>3166</v>
      </c>
      <c r="K293" s="6">
        <f t="shared" si="2"/>
        <v>0.008599699529</v>
      </c>
      <c r="L293" s="7">
        <v>0.007367163099912689</v>
      </c>
      <c r="M293" s="8">
        <f t="shared" si="1"/>
        <v>18542683</v>
      </c>
    </row>
    <row r="294">
      <c r="A294" s="3">
        <v>45937.0</v>
      </c>
      <c r="B294" s="1">
        <v>974.0</v>
      </c>
      <c r="C294" s="1">
        <v>989.85</v>
      </c>
      <c r="D294" s="1">
        <v>971.0</v>
      </c>
      <c r="E294" s="1">
        <v>973.45</v>
      </c>
      <c r="F294" s="1">
        <v>982.5</v>
      </c>
      <c r="G294" s="1">
        <v>983.54</v>
      </c>
      <c r="H294" s="1" t="s">
        <v>3173</v>
      </c>
      <c r="I294" s="1" t="s">
        <v>3174</v>
      </c>
      <c r="J294" s="1" t="s">
        <v>3177</v>
      </c>
      <c r="K294" s="6">
        <f t="shared" si="2"/>
        <v>0.009296830859</v>
      </c>
      <c r="L294" s="7">
        <v>0.0012222038348887482</v>
      </c>
      <c r="M294" s="8">
        <f t="shared" si="1"/>
        <v>25535736</v>
      </c>
    </row>
    <row r="295">
      <c r="A295" s="3">
        <v>45938.0</v>
      </c>
      <c r="B295" s="1">
        <v>976.0</v>
      </c>
      <c r="C295" s="1">
        <v>985.9</v>
      </c>
      <c r="D295" s="1">
        <v>974.55</v>
      </c>
      <c r="E295" s="1">
        <v>982.5</v>
      </c>
      <c r="F295" s="1">
        <v>978.7</v>
      </c>
      <c r="G295" s="1">
        <v>979.57</v>
      </c>
      <c r="H295" s="1" t="s">
        <v>3187</v>
      </c>
      <c r="I295" s="1" t="s">
        <v>3189</v>
      </c>
      <c r="J295" s="1" t="s">
        <v>2522</v>
      </c>
      <c r="K295" s="6">
        <f t="shared" si="2"/>
        <v>-0.003867684478</v>
      </c>
      <c r="L295" s="7">
        <v>-0.0024752770996044264</v>
      </c>
      <c r="M295" s="8">
        <f t="shared" si="1"/>
        <v>15939710</v>
      </c>
    </row>
    <row r="296">
      <c r="A296" s="3">
        <v>45939.0</v>
      </c>
      <c r="B296" s="1">
        <v>974.5</v>
      </c>
      <c r="C296" s="1">
        <v>979.0</v>
      </c>
      <c r="D296" s="1">
        <v>970.15</v>
      </c>
      <c r="E296" s="1">
        <v>978.7</v>
      </c>
      <c r="F296" s="1">
        <v>977.1</v>
      </c>
      <c r="G296" s="1">
        <v>976.0</v>
      </c>
      <c r="H296" s="1" t="s">
        <v>3198</v>
      </c>
      <c r="I296" s="1" t="s">
        <v>3199</v>
      </c>
      <c r="J296" s="1" t="s">
        <v>3200</v>
      </c>
      <c r="K296" s="6">
        <f t="shared" si="2"/>
        <v>-0.001634821702</v>
      </c>
      <c r="L296" s="7">
        <v>0.005416002060196789</v>
      </c>
      <c r="M296" s="8">
        <f t="shared" si="1"/>
        <v>15370950</v>
      </c>
    </row>
    <row r="297">
      <c r="A297" s="9">
        <v>45940.0</v>
      </c>
      <c r="B297" s="1">
        <v>979.0</v>
      </c>
      <c r="C297" s="1">
        <v>986.2</v>
      </c>
      <c r="D297" s="1">
        <v>978.1</v>
      </c>
      <c r="E297" s="1">
        <v>977.1</v>
      </c>
      <c r="F297" s="1">
        <v>980.9</v>
      </c>
      <c r="G297" s="1">
        <v>982.56</v>
      </c>
      <c r="H297" s="1" t="s">
        <v>3210</v>
      </c>
      <c r="I297" s="1" t="s">
        <v>3211</v>
      </c>
      <c r="J297" s="1" t="s">
        <v>3212</v>
      </c>
      <c r="K297" s="6">
        <f t="shared" si="2"/>
        <v>0.003889059462</v>
      </c>
      <c r="L297" s="7">
        <v>0.004112096831838839</v>
      </c>
      <c r="M297" s="8">
        <f t="shared" si="1"/>
        <v>13757080</v>
      </c>
    </row>
    <row r="298">
      <c r="A298" s="9">
        <v>45943.0</v>
      </c>
      <c r="B298" s="1">
        <v>974.3</v>
      </c>
      <c r="C298" s="1">
        <v>981.0</v>
      </c>
      <c r="D298" s="1">
        <v>972.0</v>
      </c>
      <c r="E298" s="1">
        <v>980.9</v>
      </c>
      <c r="F298" s="1">
        <v>977.0</v>
      </c>
      <c r="G298" s="1">
        <v>977.15</v>
      </c>
      <c r="H298" s="1" t="s">
        <v>3220</v>
      </c>
      <c r="I298" s="1" t="s">
        <v>3222</v>
      </c>
      <c r="J298" s="1" t="s">
        <v>3223</v>
      </c>
      <c r="K298" s="6">
        <f t="shared" si="2"/>
        <v>-0.003975940463</v>
      </c>
      <c r="L298" s="7">
        <v>-0.002293818357270119</v>
      </c>
      <c r="M298" s="8">
        <f t="shared" si="1"/>
        <v>18634254</v>
      </c>
    </row>
    <row r="299">
      <c r="A299" s="9">
        <v>45944.0</v>
      </c>
      <c r="B299" s="1">
        <v>970.0</v>
      </c>
      <c r="C299" s="1">
        <v>980.45</v>
      </c>
      <c r="D299" s="1">
        <v>967.0</v>
      </c>
      <c r="E299" s="1">
        <v>977.0</v>
      </c>
      <c r="F299" s="1">
        <v>977.15</v>
      </c>
      <c r="G299" s="1">
        <v>975.43</v>
      </c>
      <c r="H299" s="1" t="s">
        <v>3230</v>
      </c>
      <c r="I299" s="1" t="s">
        <v>3231</v>
      </c>
      <c r="J299" s="1" t="s">
        <v>3234</v>
      </c>
      <c r="K299" s="6">
        <f t="shared" si="2"/>
        <v>0.000153531218</v>
      </c>
      <c r="L299" s="7">
        <v>-0.003244494566412982</v>
      </c>
      <c r="M299" s="8">
        <f t="shared" si="1"/>
        <v>22934382</v>
      </c>
    </row>
    <row r="300">
      <c r="A300" s="9">
        <v>45945.0</v>
      </c>
      <c r="B300" s="1">
        <v>975.0</v>
      </c>
      <c r="C300" s="1">
        <v>984.9</v>
      </c>
      <c r="D300" s="1">
        <v>973.35</v>
      </c>
      <c r="E300" s="1">
        <v>977.15</v>
      </c>
      <c r="F300" s="1">
        <v>978.25</v>
      </c>
      <c r="G300" s="1">
        <v>979.29</v>
      </c>
      <c r="H300" s="1" t="s">
        <v>3241</v>
      </c>
      <c r="I300" s="1" t="s">
        <v>3244</v>
      </c>
      <c r="J300" s="1" t="s">
        <v>3246</v>
      </c>
      <c r="K300" s="6">
        <f t="shared" si="2"/>
        <v>0.001125722765</v>
      </c>
      <c r="L300" s="7">
        <v>0.007080789803344506</v>
      </c>
      <c r="M300" s="8">
        <f t="shared" si="1"/>
        <v>23310447</v>
      </c>
    </row>
    <row r="301">
      <c r="A301" s="9">
        <v>45946.0</v>
      </c>
      <c r="B301" s="1">
        <v>982.65</v>
      </c>
      <c r="C301" s="1">
        <v>996.6</v>
      </c>
      <c r="D301" s="1">
        <v>981.5</v>
      </c>
      <c r="E301" s="1">
        <v>978.25</v>
      </c>
      <c r="F301" s="1">
        <v>994.35</v>
      </c>
      <c r="G301" s="1">
        <v>989.28</v>
      </c>
      <c r="H301" s="1" t="s">
        <v>3256</v>
      </c>
      <c r="I301" s="1" t="s">
        <v>3257</v>
      </c>
      <c r="J301" s="1" t="s">
        <v>3258</v>
      </c>
      <c r="K301" s="6">
        <f t="shared" si="2"/>
        <v>0.01645796064</v>
      </c>
      <c r="L301" s="7">
        <v>0.01033622853036008</v>
      </c>
      <c r="M301" s="8">
        <f t="shared" si="1"/>
        <v>22936566</v>
      </c>
    </row>
    <row r="302">
      <c r="A302" s="9">
        <v>45947.0</v>
      </c>
      <c r="B302" s="1">
        <v>993.95</v>
      </c>
      <c r="C302" s="4">
        <v>1009.0</v>
      </c>
      <c r="D302" s="1">
        <v>986.0</v>
      </c>
      <c r="E302" s="1">
        <v>994.35</v>
      </c>
      <c r="F302" s="4">
        <v>1002.55</v>
      </c>
      <c r="G302" s="4">
        <v>1001.76</v>
      </c>
      <c r="H302" s="1" t="s">
        <v>3267</v>
      </c>
      <c r="I302" s="1" t="s">
        <v>3268</v>
      </c>
      <c r="J302" s="1" t="s">
        <v>3269</v>
      </c>
      <c r="K302" s="6">
        <f t="shared" si="2"/>
        <v>0.008246593252</v>
      </c>
      <c r="L302" s="7">
        <v>0.004868029688922908</v>
      </c>
      <c r="M302" s="8">
        <f t="shared" si="1"/>
        <v>25210511</v>
      </c>
    </row>
    <row r="303">
      <c r="A303" s="9">
        <v>45950.0</v>
      </c>
      <c r="B303" s="1">
        <v>997.0</v>
      </c>
      <c r="C303" s="4">
        <v>1020.0</v>
      </c>
      <c r="D303" s="1">
        <v>997.0</v>
      </c>
      <c r="E303" s="4">
        <v>1002.55</v>
      </c>
      <c r="F303" s="4">
        <v>1002.95</v>
      </c>
      <c r="G303" s="4">
        <v>1005.08</v>
      </c>
      <c r="H303" s="1" t="s">
        <v>3276</v>
      </c>
      <c r="I303" s="1" t="s">
        <v>3278</v>
      </c>
      <c r="J303" s="1" t="s">
        <v>3280</v>
      </c>
      <c r="K303" s="6">
        <f t="shared" si="2"/>
        <v>0.0003989825944</v>
      </c>
      <c r="L303" s="7">
        <v>0.0051847832640020425</v>
      </c>
      <c r="M303" s="8">
        <f t="shared" si="1"/>
        <v>22195202</v>
      </c>
    </row>
    <row r="304">
      <c r="A304" s="9">
        <v>45951.0</v>
      </c>
      <c r="B304" s="4">
        <v>1006.0</v>
      </c>
      <c r="C304" s="4">
        <v>1010.0</v>
      </c>
      <c r="D304" s="4">
        <v>1004.0</v>
      </c>
      <c r="E304" s="4">
        <v>1002.95</v>
      </c>
      <c r="F304" s="4">
        <v>1007.7</v>
      </c>
      <c r="G304" s="4">
        <v>1008.15</v>
      </c>
      <c r="H304" s="1" t="s">
        <v>3293</v>
      </c>
      <c r="I304" s="1" t="s">
        <v>3295</v>
      </c>
      <c r="J304" s="11">
        <v>88749.0</v>
      </c>
      <c r="K304" s="6">
        <f t="shared" si="2"/>
        <v>0.004736028715</v>
      </c>
      <c r="L304" s="7">
        <v>9.847870712353984E-4</v>
      </c>
      <c r="M304" s="8">
        <f t="shared" si="1"/>
        <v>3471600</v>
      </c>
    </row>
    <row r="305">
      <c r="A305" s="9">
        <v>45953.0</v>
      </c>
      <c r="B305" s="4">
        <v>1016.0</v>
      </c>
      <c r="C305" s="4">
        <v>1020.5</v>
      </c>
      <c r="D305" s="4">
        <v>1006.0</v>
      </c>
      <c r="E305" s="4">
        <v>1007.7</v>
      </c>
      <c r="F305" s="4">
        <v>1008.8</v>
      </c>
      <c r="G305" s="4">
        <v>1013.19</v>
      </c>
      <c r="H305" s="1" t="s">
        <v>3302</v>
      </c>
      <c r="I305" s="1" t="s">
        <v>3304</v>
      </c>
      <c r="J305" s="1" t="s">
        <v>3306</v>
      </c>
      <c r="K305" s="6">
        <f t="shared" si="2"/>
        <v>0.001091594721</v>
      </c>
      <c r="L305" s="7">
        <v>8.813774228216027E-4</v>
      </c>
      <c r="M305" s="8">
        <f t="shared" si="1"/>
        <v>43526526</v>
      </c>
    </row>
    <row r="306">
      <c r="A306" s="9">
        <v>45954.0</v>
      </c>
      <c r="B306" s="4">
        <v>1011.0</v>
      </c>
      <c r="C306" s="4">
        <v>1011.95</v>
      </c>
      <c r="D306" s="1">
        <v>991.3</v>
      </c>
      <c r="E306" s="4">
        <v>1008.8</v>
      </c>
      <c r="F306" s="1">
        <v>994.75</v>
      </c>
      <c r="G306" s="1">
        <v>999.4</v>
      </c>
      <c r="H306" s="1" t="s">
        <v>3316</v>
      </c>
      <c r="I306" s="1" t="s">
        <v>3318</v>
      </c>
      <c r="J306" s="1" t="s">
        <v>3319</v>
      </c>
      <c r="K306" s="6">
        <f t="shared" si="2"/>
        <v>-0.01392743854</v>
      </c>
      <c r="L306" s="7">
        <v>-0.003717450582046548</v>
      </c>
      <c r="M306" s="8">
        <f t="shared" si="1"/>
        <v>17707768</v>
      </c>
    </row>
    <row r="307">
      <c r="A307" s="9">
        <v>45957.0</v>
      </c>
      <c r="B307" s="1">
        <v>996.5</v>
      </c>
      <c r="C307" s="4">
        <v>1009.05</v>
      </c>
      <c r="D307" s="1">
        <v>996.2</v>
      </c>
      <c r="E307" s="1">
        <v>994.75</v>
      </c>
      <c r="F307" s="4">
        <v>1002.95</v>
      </c>
      <c r="G307" s="4">
        <v>1003.92</v>
      </c>
      <c r="H307" s="1" t="s">
        <v>3327</v>
      </c>
      <c r="I307" s="1" t="s">
        <v>3329</v>
      </c>
      <c r="J307" s="1" t="s">
        <v>3331</v>
      </c>
      <c r="K307" s="6">
        <f t="shared" si="2"/>
        <v>0.008243277205</v>
      </c>
      <c r="L307" s="7">
        <v>0.0066252764570083065</v>
      </c>
      <c r="M307" s="8">
        <f t="shared" si="1"/>
        <v>15700796</v>
      </c>
    </row>
    <row r="308">
      <c r="A308" s="9">
        <v>45958.0</v>
      </c>
      <c r="B308" s="1">
        <v>997.65</v>
      </c>
      <c r="C308" s="4">
        <v>1008.0</v>
      </c>
      <c r="D308" s="1">
        <v>995.0</v>
      </c>
      <c r="E308" s="4">
        <v>1002.95</v>
      </c>
      <c r="F308" s="4">
        <v>1003.55</v>
      </c>
      <c r="G308" s="4">
        <v>1001.18</v>
      </c>
      <c r="H308" s="1" t="s">
        <v>3338</v>
      </c>
      <c r="I308" s="1" t="s">
        <v>3339</v>
      </c>
      <c r="J308" s="1" t="s">
        <v>3340</v>
      </c>
      <c r="K308" s="6">
        <f t="shared" si="2"/>
        <v>0.0005982352061</v>
      </c>
      <c r="L308" s="7">
        <v>-0.0011495780066663411</v>
      </c>
      <c r="M308" s="8">
        <f t="shared" si="1"/>
        <v>33904289</v>
      </c>
    </row>
    <row r="309">
      <c r="A309" s="9">
        <v>45959.0</v>
      </c>
      <c r="B309" s="4">
        <v>1004.9</v>
      </c>
      <c r="C309" s="4">
        <v>1012.5</v>
      </c>
      <c r="D309" s="4">
        <v>1000.0</v>
      </c>
      <c r="E309" s="4">
        <v>1003.55</v>
      </c>
      <c r="F309" s="4">
        <v>1007.85</v>
      </c>
      <c r="G309" s="4">
        <v>1007.89</v>
      </c>
      <c r="H309" s="1" t="s">
        <v>3353</v>
      </c>
      <c r="I309" s="1" t="s">
        <v>3354</v>
      </c>
      <c r="J309" s="1" t="s">
        <v>3355</v>
      </c>
      <c r="K309" s="6">
        <f t="shared" si="2"/>
        <v>0.004284788999</v>
      </c>
      <c r="L309" s="7">
        <v>0.004538058774994052</v>
      </c>
      <c r="M309" s="8">
        <f t="shared" si="1"/>
        <v>17769445</v>
      </c>
    </row>
    <row r="310">
      <c r="A310" s="9">
        <v>45960.0</v>
      </c>
      <c r="B310" s="4">
        <v>1000.0</v>
      </c>
      <c r="C310" s="4">
        <v>1009.5</v>
      </c>
      <c r="D310" s="1">
        <v>997.1</v>
      </c>
      <c r="E310" s="4">
        <v>1007.85</v>
      </c>
      <c r="F310" s="1">
        <v>998.15</v>
      </c>
      <c r="G310" s="4">
        <v>1001.53</v>
      </c>
      <c r="H310" s="1" t="s">
        <v>3365</v>
      </c>
      <c r="I310" s="1" t="s">
        <v>3366</v>
      </c>
      <c r="J310" s="1" t="s">
        <v>3367</v>
      </c>
      <c r="K310" s="6">
        <f t="shared" si="2"/>
        <v>-0.009624448083</v>
      </c>
      <c r="L310" s="7">
        <v>-0.006757145763206388</v>
      </c>
      <c r="M310" s="8">
        <f t="shared" si="1"/>
        <v>19962917</v>
      </c>
    </row>
    <row r="311">
      <c r="A311" s="9">
        <v>45961.0</v>
      </c>
      <c r="B311" s="1">
        <v>994.0</v>
      </c>
      <c r="C311" s="4">
        <v>1004.45</v>
      </c>
      <c r="D311" s="1">
        <v>981.15</v>
      </c>
      <c r="E311" s="1">
        <v>998.15</v>
      </c>
      <c r="F311" s="1">
        <v>987.3</v>
      </c>
      <c r="G311" s="1">
        <v>989.37</v>
      </c>
      <c r="H311" s="1" t="s">
        <v>3376</v>
      </c>
      <c r="I311" s="1" t="s">
        <v>3377</v>
      </c>
      <c r="J311" s="1" t="s">
        <v>3378</v>
      </c>
      <c r="K311" s="6">
        <f t="shared" si="2"/>
        <v>-0.0108701097</v>
      </c>
      <c r="L311" s="7">
        <v>-0.006018660746545792</v>
      </c>
      <c r="M311" s="8">
        <f t="shared" si="1"/>
        <v>23221330</v>
      </c>
    </row>
    <row r="312">
      <c r="A312" s="3">
        <v>45964.0</v>
      </c>
      <c r="B312" s="1">
        <v>985.0</v>
      </c>
      <c r="C312" s="1">
        <v>994.55</v>
      </c>
      <c r="D312" s="1">
        <v>983.3</v>
      </c>
      <c r="E312" s="1">
        <v>987.3</v>
      </c>
      <c r="F312" s="1">
        <v>992.65</v>
      </c>
      <c r="G312" s="1">
        <v>991.15</v>
      </c>
      <c r="H312" s="1" t="s">
        <v>3382</v>
      </c>
      <c r="I312" s="1" t="s">
        <v>3384</v>
      </c>
      <c r="J312" s="1" t="s">
        <v>3388</v>
      </c>
      <c r="K312" s="6">
        <f t="shared" si="2"/>
        <v>0.005418819001</v>
      </c>
      <c r="L312" s="7">
        <v>0.0016036793263380518</v>
      </c>
      <c r="M312" s="8">
        <f t="shared" si="1"/>
        <v>16607180</v>
      </c>
    </row>
    <row r="313">
      <c r="A313" s="3">
        <v>45965.0</v>
      </c>
      <c r="B313" s="1">
        <v>987.0</v>
      </c>
      <c r="C313" s="1">
        <v>997.0</v>
      </c>
      <c r="D313" s="1">
        <v>983.7</v>
      </c>
      <c r="E313" s="1">
        <v>992.65</v>
      </c>
      <c r="F313" s="1">
        <v>985.25</v>
      </c>
      <c r="G313" s="1">
        <v>990.21</v>
      </c>
      <c r="H313" s="1" t="s">
        <v>3394</v>
      </c>
      <c r="I313" s="1" t="s">
        <v>3397</v>
      </c>
      <c r="J313" s="1" t="s">
        <v>3399</v>
      </c>
      <c r="K313" s="6">
        <f t="shared" si="2"/>
        <v>-0.007454792727</v>
      </c>
      <c r="L313" s="7">
        <v>-0.006431617006328645</v>
      </c>
      <c r="M313" s="8">
        <f t="shared" si="1"/>
        <v>20024544</v>
      </c>
    </row>
    <row r="314">
      <c r="A314" s="3">
        <v>45967.0</v>
      </c>
      <c r="B314" s="1">
        <v>981.0</v>
      </c>
      <c r="C314" s="1">
        <v>991.05</v>
      </c>
      <c r="D314" s="1">
        <v>974.0</v>
      </c>
      <c r="E314" s="1">
        <v>985.25</v>
      </c>
      <c r="F314" s="1">
        <v>984.65</v>
      </c>
      <c r="G314" s="1">
        <v>984.48</v>
      </c>
      <c r="H314" s="1" t="s">
        <v>3408</v>
      </c>
      <c r="I314" s="1" t="s">
        <v>3409</v>
      </c>
      <c r="J314" s="1" t="s">
        <v>3411</v>
      </c>
      <c r="K314" s="6">
        <f t="shared" si="2"/>
        <v>-0.0006089824918</v>
      </c>
      <c r="L314" s="7">
        <v>-0.003435862276419934</v>
      </c>
      <c r="M314" s="8">
        <f t="shared" si="1"/>
        <v>22279516</v>
      </c>
    </row>
    <row r="315">
      <c r="A315" s="3">
        <v>45968.0</v>
      </c>
      <c r="B315" s="1">
        <v>980.0</v>
      </c>
      <c r="C315" s="1">
        <v>984.9</v>
      </c>
      <c r="D315" s="1">
        <v>974.75</v>
      </c>
      <c r="E315" s="1">
        <v>984.65</v>
      </c>
      <c r="F315" s="1">
        <v>982.3</v>
      </c>
      <c r="G315" s="1">
        <v>979.96</v>
      </c>
      <c r="H315" s="1" t="s">
        <v>3420</v>
      </c>
      <c r="I315" s="1" t="s">
        <v>3422</v>
      </c>
      <c r="J315" s="1" t="s">
        <v>3424</v>
      </c>
      <c r="K315" s="6">
        <f t="shared" si="2"/>
        <v>-0.002386634845</v>
      </c>
      <c r="L315" s="7">
        <v>-6.820934781671856E-4</v>
      </c>
      <c r="M315" s="8">
        <f t="shared" si="1"/>
        <v>15004568</v>
      </c>
    </row>
    <row r="316">
      <c r="A316" s="9">
        <v>45971.0</v>
      </c>
      <c r="B316" s="1">
        <v>982.3</v>
      </c>
      <c r="C316" s="1">
        <v>990.95</v>
      </c>
      <c r="D316" s="1">
        <v>980.2</v>
      </c>
      <c r="E316" s="1">
        <v>982.3</v>
      </c>
      <c r="F316" s="1">
        <v>984.5</v>
      </c>
      <c r="G316" s="1">
        <v>986.19</v>
      </c>
      <c r="H316" s="1" t="s">
        <v>3432</v>
      </c>
      <c r="I316" s="1" t="s">
        <v>3433</v>
      </c>
      <c r="J316" s="1" t="s">
        <v>3434</v>
      </c>
      <c r="K316" s="6">
        <f t="shared" si="2"/>
        <v>0.002239641657</v>
      </c>
      <c r="L316" s="7">
        <v>0.003218618955527719</v>
      </c>
      <c r="M316" s="8">
        <f t="shared" si="1"/>
        <v>15988262</v>
      </c>
    </row>
    <row r="317">
      <c r="A317" s="9">
        <v>45972.0</v>
      </c>
      <c r="B317" s="1">
        <v>983.5</v>
      </c>
      <c r="C317" s="1">
        <v>993.5</v>
      </c>
      <c r="D317" s="1">
        <v>978.0</v>
      </c>
      <c r="E317" s="1">
        <v>984.5</v>
      </c>
      <c r="F317" s="1">
        <v>991.7</v>
      </c>
      <c r="G317" s="1">
        <v>987.26</v>
      </c>
      <c r="H317" s="1" t="s">
        <v>3441</v>
      </c>
      <c r="I317" s="1" t="s">
        <v>3444</v>
      </c>
      <c r="J317" s="1" t="s">
        <v>3446</v>
      </c>
      <c r="K317" s="6">
        <f t="shared" si="2"/>
        <v>0.007313357034</v>
      </c>
      <c r="L317" s="7">
        <v>0.004715662372650808</v>
      </c>
      <c r="M317" s="8">
        <f t="shared" si="1"/>
        <v>10200530</v>
      </c>
    </row>
    <row r="318">
      <c r="A318" s="9">
        <v>45973.0</v>
      </c>
      <c r="B318" s="1">
        <v>998.8</v>
      </c>
      <c r="C318" s="1">
        <v>999.0</v>
      </c>
      <c r="D318" s="1">
        <v>987.7</v>
      </c>
      <c r="E318" s="1">
        <v>991.7</v>
      </c>
      <c r="F318" s="1">
        <v>989.5</v>
      </c>
      <c r="G318" s="1">
        <v>992.14</v>
      </c>
      <c r="H318" s="1" t="s">
        <v>3455</v>
      </c>
      <c r="I318" s="1" t="s">
        <v>3457</v>
      </c>
      <c r="J318" s="1" t="s">
        <v>3145</v>
      </c>
      <c r="K318" s="6">
        <f t="shared" si="2"/>
        <v>-0.002218412826</v>
      </c>
      <c r="L318" s="7">
        <v>0.007038348002233845</v>
      </c>
      <c r="M318" s="8">
        <f t="shared" si="1"/>
        <v>13137263</v>
      </c>
    </row>
    <row r="319">
      <c r="A319" s="9">
        <v>45974.0</v>
      </c>
      <c r="B319" s="1">
        <v>984.0</v>
      </c>
      <c r="C319" s="1">
        <v>990.1</v>
      </c>
      <c r="D319" s="1">
        <v>982.6</v>
      </c>
      <c r="E319" s="1">
        <v>989.5</v>
      </c>
      <c r="F319" s="1">
        <v>986.65</v>
      </c>
      <c r="G319" s="1">
        <v>986.34</v>
      </c>
      <c r="H319" s="1" t="s">
        <v>3467</v>
      </c>
      <c r="I319" s="1" t="s">
        <v>3468</v>
      </c>
      <c r="J319" s="1" t="s">
        <v>3469</v>
      </c>
      <c r="K319" s="6">
        <f t="shared" si="2"/>
        <v>-0.002880242547</v>
      </c>
      <c r="L319" s="7">
        <v>1.2946459626377477E-4</v>
      </c>
      <c r="M319" s="8">
        <f t="shared" si="1"/>
        <v>14124839</v>
      </c>
    </row>
    <row r="320">
      <c r="A320" s="9">
        <v>45975.0</v>
      </c>
      <c r="B320" s="1">
        <v>976.05</v>
      </c>
      <c r="C320" s="1">
        <v>991.65</v>
      </c>
      <c r="D320" s="1">
        <v>976.05</v>
      </c>
      <c r="E320" s="1">
        <v>986.65</v>
      </c>
      <c r="F320" s="1">
        <v>989.6</v>
      </c>
      <c r="G320" s="1">
        <v>984.95</v>
      </c>
      <c r="H320" s="1" t="s">
        <v>3479</v>
      </c>
      <c r="I320" s="1" t="s">
        <v>3480</v>
      </c>
      <c r="J320" s="1" t="s">
        <v>3481</v>
      </c>
      <c r="K320" s="6">
        <f t="shared" si="2"/>
        <v>0.00298991537</v>
      </c>
      <c r="L320" s="7">
        <v>0.001194011395273717</v>
      </c>
      <c r="M320" s="8">
        <f t="shared" si="1"/>
        <v>21386965</v>
      </c>
    </row>
    <row r="321">
      <c r="A321" s="9">
        <v>45978.0</v>
      </c>
      <c r="B321" s="1">
        <v>991.25</v>
      </c>
      <c r="C321" s="1">
        <v>997.95</v>
      </c>
      <c r="D321" s="1">
        <v>985.6</v>
      </c>
      <c r="E321" s="1">
        <v>989.6</v>
      </c>
      <c r="F321" s="1">
        <v>996.55</v>
      </c>
      <c r="G321" s="1">
        <v>993.87</v>
      </c>
      <c r="H321" s="1" t="s">
        <v>3491</v>
      </c>
      <c r="I321" s="1" t="s">
        <v>3492</v>
      </c>
      <c r="J321" s="1" t="s">
        <v>3493</v>
      </c>
      <c r="K321" s="6">
        <f t="shared" si="2"/>
        <v>0.007023039612</v>
      </c>
      <c r="L321" s="7">
        <v>0.003990729465979474</v>
      </c>
      <c r="M321" s="8">
        <f t="shared" si="1"/>
        <v>18396408</v>
      </c>
    </row>
    <row r="322">
      <c r="A322" s="9">
        <v>45979.0</v>
      </c>
      <c r="B322" s="1">
        <v>997.65</v>
      </c>
      <c r="C322" s="1">
        <v>999.0</v>
      </c>
      <c r="D322" s="1">
        <v>990.0</v>
      </c>
      <c r="E322" s="1">
        <v>996.55</v>
      </c>
      <c r="F322" s="1">
        <v>992.45</v>
      </c>
      <c r="G322" s="1">
        <v>994.68</v>
      </c>
      <c r="H322" s="1" t="s">
        <v>3500</v>
      </c>
      <c r="I322" s="1" t="s">
        <v>3501</v>
      </c>
      <c r="J322" s="1" t="s">
        <v>3502</v>
      </c>
      <c r="K322" s="6">
        <f t="shared" si="2"/>
        <v>-0.004114193969</v>
      </c>
      <c r="L322" s="7">
        <v>-0.003974866847726905</v>
      </c>
      <c r="M322" s="8">
        <f t="shared" si="1"/>
        <v>20002640</v>
      </c>
    </row>
    <row r="323">
      <c r="A323" s="9">
        <v>45980.0</v>
      </c>
      <c r="B323" s="1">
        <v>990.0</v>
      </c>
      <c r="C323" s="1">
        <v>996.55</v>
      </c>
      <c r="D323" s="1">
        <v>984.0</v>
      </c>
      <c r="E323" s="1">
        <v>992.45</v>
      </c>
      <c r="F323" s="1">
        <v>994.6</v>
      </c>
      <c r="G323" s="1">
        <v>989.67</v>
      </c>
      <c r="H323" s="1" t="s">
        <v>3511</v>
      </c>
      <c r="I323" s="1" t="s">
        <v>3512</v>
      </c>
      <c r="J323" s="1" t="s">
        <v>3513</v>
      </c>
      <c r="K323" s="6">
        <f t="shared" si="2"/>
        <v>0.002166355988</v>
      </c>
      <c r="L323" s="7">
        <v>0.005503655917298584</v>
      </c>
      <c r="M323" s="8">
        <f t="shared" si="1"/>
        <v>19813847</v>
      </c>
    </row>
    <row r="324">
      <c r="A324" s="9">
        <v>45981.0</v>
      </c>
      <c r="B324" s="1">
        <v>995.3</v>
      </c>
      <c r="C324" s="4">
        <v>1011.6</v>
      </c>
      <c r="D324" s="1">
        <v>992.45</v>
      </c>
      <c r="E324" s="1">
        <v>994.6</v>
      </c>
      <c r="F324" s="4">
        <v>1008.85</v>
      </c>
      <c r="G324" s="4">
        <v>1003.81</v>
      </c>
      <c r="H324" s="1" t="s">
        <v>3523</v>
      </c>
      <c r="I324" s="1" t="s">
        <v>3524</v>
      </c>
      <c r="J324" s="1" t="s">
        <v>3525</v>
      </c>
      <c r="K324" s="6">
        <f t="shared" si="2"/>
        <v>0.01432736779</v>
      </c>
      <c r="L324" s="7">
        <v>0.00535454166850589</v>
      </c>
      <c r="M324" s="8">
        <f t="shared" si="1"/>
        <v>19850865</v>
      </c>
    </row>
    <row r="325">
      <c r="A325" s="9">
        <v>45982.0</v>
      </c>
      <c r="B325" s="4">
        <v>1003.1</v>
      </c>
      <c r="C325" s="4">
        <v>1008.3</v>
      </c>
      <c r="D325" s="1">
        <v>996.55</v>
      </c>
      <c r="E325" s="4">
        <v>1008.85</v>
      </c>
      <c r="F325" s="1">
        <v>998.05</v>
      </c>
      <c r="G325" s="4">
        <v>1001.07</v>
      </c>
      <c r="H325" s="1" t="s">
        <v>3535</v>
      </c>
      <c r="I325" s="1" t="s">
        <v>3538</v>
      </c>
      <c r="J325" s="1" t="s">
        <v>3540</v>
      </c>
      <c r="K325" s="6">
        <f t="shared" si="2"/>
        <v>-0.01070525846</v>
      </c>
      <c r="L325" s="7">
        <v>-0.004734242893385995</v>
      </c>
      <c r="M325" s="8">
        <f t="shared" si="1"/>
        <v>17499897</v>
      </c>
    </row>
    <row r="326">
      <c r="A326" s="9">
        <v>45985.0</v>
      </c>
      <c r="B326" s="4">
        <v>1000.0</v>
      </c>
      <c r="C326" s="4">
        <v>1011.45</v>
      </c>
      <c r="D326" s="1">
        <v>993.6</v>
      </c>
      <c r="E326" s="1">
        <v>998.05</v>
      </c>
      <c r="F326" s="1">
        <v>999.15</v>
      </c>
      <c r="G326" s="4">
        <v>1001.79</v>
      </c>
      <c r="H326" s="1" t="s">
        <v>3547</v>
      </c>
      <c r="I326" s="1" t="s">
        <v>3549</v>
      </c>
      <c r="J326" s="1" t="s">
        <v>3551</v>
      </c>
      <c r="K326" s="6">
        <f t="shared" si="2"/>
        <v>0.001102149191</v>
      </c>
      <c r="L326" s="7">
        <v>-0.004167921390662607</v>
      </c>
      <c r="M326" s="8">
        <f t="shared" si="1"/>
        <v>32204053</v>
      </c>
    </row>
    <row r="327">
      <c r="A327" s="9">
        <v>45986.0</v>
      </c>
      <c r="B327" s="4">
        <v>1004.0</v>
      </c>
      <c r="C327" s="4">
        <v>1006.1</v>
      </c>
      <c r="D327" s="1">
        <v>988.4</v>
      </c>
      <c r="E327" s="1">
        <v>999.15</v>
      </c>
      <c r="F327" s="1">
        <v>989.8</v>
      </c>
      <c r="G327" s="1">
        <v>995.08</v>
      </c>
      <c r="H327" s="1" t="s">
        <v>3557</v>
      </c>
      <c r="I327" s="1" t="s">
        <v>3558</v>
      </c>
      <c r="J327" s="1" t="s">
        <v>3559</v>
      </c>
      <c r="K327" s="6">
        <f t="shared" si="2"/>
        <v>-0.009357954261</v>
      </c>
      <c r="L327" s="7">
        <v>-0.0028775592750245856</v>
      </c>
      <c r="M327" s="8">
        <f t="shared" si="1"/>
        <v>24989383</v>
      </c>
    </row>
    <row r="328">
      <c r="A328" s="9">
        <v>45987.0</v>
      </c>
      <c r="B328" s="1">
        <v>981.3</v>
      </c>
      <c r="C328" s="4">
        <v>1006.95</v>
      </c>
      <c r="D328" s="1">
        <v>981.3</v>
      </c>
      <c r="E328" s="1">
        <v>989.8</v>
      </c>
      <c r="F328" s="4">
        <v>1003.9</v>
      </c>
      <c r="G328" s="1">
        <v>999.58</v>
      </c>
      <c r="H328" s="1" t="s">
        <v>3569</v>
      </c>
      <c r="I328" s="1" t="s">
        <v>3570</v>
      </c>
      <c r="J328" s="1" t="s">
        <v>3571</v>
      </c>
      <c r="K328" s="6">
        <f t="shared" si="2"/>
        <v>0.01424530208</v>
      </c>
      <c r="L328" s="7">
        <v>0.012381783904067252</v>
      </c>
      <c r="M328" s="8">
        <f t="shared" si="1"/>
        <v>19494356</v>
      </c>
    </row>
    <row r="329">
      <c r="A329" s="9">
        <v>45988.0</v>
      </c>
      <c r="B329" s="4">
        <v>1002.1</v>
      </c>
      <c r="C329" s="4">
        <v>1016.8</v>
      </c>
      <c r="D329" s="4">
        <v>1001.0</v>
      </c>
      <c r="E329" s="4">
        <v>1003.9</v>
      </c>
      <c r="F329" s="4">
        <v>1009.5</v>
      </c>
      <c r="G329" s="4">
        <v>1010.95</v>
      </c>
      <c r="H329" s="1" t="s">
        <v>3581</v>
      </c>
      <c r="I329" s="1" t="s">
        <v>3582</v>
      </c>
      <c r="J329" s="1" t="s">
        <v>3583</v>
      </c>
      <c r="K329" s="6">
        <f t="shared" si="2"/>
        <v>0.005578244845</v>
      </c>
      <c r="L329" s="7">
        <v>3.9114224985022116E-4</v>
      </c>
      <c r="M329" s="8">
        <f t="shared" si="1"/>
        <v>25536848</v>
      </c>
    </row>
    <row r="330">
      <c r="A330" s="9">
        <v>45989.0</v>
      </c>
      <c r="B330" s="4">
        <v>1007.0</v>
      </c>
      <c r="C330" s="4">
        <v>1012.05</v>
      </c>
      <c r="D330" s="4">
        <v>1004.2</v>
      </c>
      <c r="E330" s="4">
        <v>1009.5</v>
      </c>
      <c r="F330" s="4">
        <v>1007.6</v>
      </c>
      <c r="G330" s="4">
        <v>1008.93</v>
      </c>
      <c r="H330" s="1" t="s">
        <v>3590</v>
      </c>
      <c r="I330" s="1" t="s">
        <v>3591</v>
      </c>
      <c r="J330" s="1" t="s">
        <v>3594</v>
      </c>
      <c r="K330" s="6">
        <f t="shared" si="2"/>
        <v>-0.001882119861</v>
      </c>
      <c r="L330" s="7">
        <v>-4.806307706684981E-4</v>
      </c>
      <c r="M330" s="8">
        <f t="shared" si="1"/>
        <v>15988807</v>
      </c>
    </row>
    <row r="331">
      <c r="A331" s="3">
        <v>45992.0</v>
      </c>
      <c r="B331" s="4">
        <v>1017.5</v>
      </c>
      <c r="C331" s="4">
        <v>1017.5</v>
      </c>
      <c r="D331" s="1">
        <v>999.3</v>
      </c>
      <c r="E331" s="4">
        <v>1007.6</v>
      </c>
      <c r="F331" s="4">
        <v>1002.1</v>
      </c>
      <c r="G331" s="4">
        <v>1005.66</v>
      </c>
      <c r="H331" s="1" t="s">
        <v>3603</v>
      </c>
      <c r="I331" s="1" t="s">
        <v>3605</v>
      </c>
      <c r="J331" s="1" t="s">
        <v>3606</v>
      </c>
      <c r="K331" s="6">
        <f t="shared" si="2"/>
        <v>-0.005458515284</v>
      </c>
      <c r="L331" s="7">
        <v>-0.001038051059136499</v>
      </c>
      <c r="M331" s="8">
        <f t="shared" si="1"/>
        <v>16746566</v>
      </c>
    </row>
    <row r="332">
      <c r="A332" s="3">
        <v>45993.0</v>
      </c>
      <c r="B332" s="1">
        <v>988.0</v>
      </c>
      <c r="C332" s="1">
        <v>994.4</v>
      </c>
      <c r="D332" s="1">
        <v>985.0</v>
      </c>
      <c r="E332" s="4">
        <v>1002.1</v>
      </c>
      <c r="F332" s="1">
        <v>989.8</v>
      </c>
      <c r="G332" s="1">
        <v>990.24</v>
      </c>
      <c r="H332" s="1" t="s">
        <v>3616</v>
      </c>
      <c r="I332" s="1" t="s">
        <v>3617</v>
      </c>
      <c r="J332" s="1" t="s">
        <v>3618</v>
      </c>
      <c r="K332" s="6">
        <f t="shared" si="2"/>
        <v>-0.01227422413</v>
      </c>
      <c r="L332" s="7">
        <v>-0.005484083550614568</v>
      </c>
      <c r="M332" s="8">
        <f t="shared" si="1"/>
        <v>27316662</v>
      </c>
    </row>
    <row r="333">
      <c r="A333" s="3">
        <v>45994.0</v>
      </c>
      <c r="B333" s="1">
        <v>986.0</v>
      </c>
      <c r="C333" s="4">
        <v>1002.3</v>
      </c>
      <c r="D333" s="1">
        <v>986.0</v>
      </c>
      <c r="E333" s="1">
        <v>989.8</v>
      </c>
      <c r="F333" s="4">
        <v>1000.5</v>
      </c>
      <c r="G333" s="1">
        <v>993.84</v>
      </c>
      <c r="H333" s="1" t="s">
        <v>3626</v>
      </c>
      <c r="I333" s="1" t="s">
        <v>3628</v>
      </c>
      <c r="J333" s="1" t="s">
        <v>3631</v>
      </c>
      <c r="K333" s="6">
        <f t="shared" si="2"/>
        <v>0.0108102647</v>
      </c>
      <c r="L333" s="7">
        <v>-0.00177472514808586</v>
      </c>
      <c r="M333" s="8">
        <f t="shared" si="1"/>
        <v>15448777</v>
      </c>
    </row>
    <row r="334">
      <c r="A334" s="3">
        <v>45995.0</v>
      </c>
      <c r="B334" s="4">
        <v>1000.0</v>
      </c>
      <c r="C334" s="4">
        <v>1004.7</v>
      </c>
      <c r="D334" s="1">
        <v>993.0</v>
      </c>
      <c r="E334" s="4">
        <v>1000.5</v>
      </c>
      <c r="F334" s="1">
        <v>997.2</v>
      </c>
      <c r="G334" s="1">
        <v>998.28</v>
      </c>
      <c r="H334" s="1" t="s">
        <v>3640</v>
      </c>
      <c r="I334" s="1" t="s">
        <v>3641</v>
      </c>
      <c r="J334" s="1" t="s">
        <v>3642</v>
      </c>
      <c r="K334" s="6">
        <f t="shared" si="2"/>
        <v>-0.003298350825</v>
      </c>
      <c r="L334" s="7">
        <v>0.0018375278996382667</v>
      </c>
      <c r="M334" s="8">
        <f t="shared" si="1"/>
        <v>14528169</v>
      </c>
    </row>
    <row r="335">
      <c r="A335" s="3">
        <v>45996.0</v>
      </c>
      <c r="B335" s="1">
        <v>992.0</v>
      </c>
      <c r="C335" s="4">
        <v>1008.0</v>
      </c>
      <c r="D335" s="1">
        <v>990.2</v>
      </c>
      <c r="E335" s="1">
        <v>997.2</v>
      </c>
      <c r="F335" s="4">
        <v>1003.3</v>
      </c>
      <c r="G335" s="4">
        <v>1000.86</v>
      </c>
      <c r="H335" s="1" t="s">
        <v>3652</v>
      </c>
      <c r="I335" s="1" t="s">
        <v>3653</v>
      </c>
      <c r="J335" s="1" t="s">
        <v>3654</v>
      </c>
      <c r="K335" s="6">
        <f t="shared" si="2"/>
        <v>0.006117127958</v>
      </c>
      <c r="L335" s="7">
        <v>0.005865463100782666</v>
      </c>
      <c r="M335" s="8">
        <f t="shared" si="1"/>
        <v>12843366</v>
      </c>
    </row>
    <row r="336">
      <c r="A336" s="3">
        <v>45999.0</v>
      </c>
      <c r="B336" s="4">
        <v>1000.0</v>
      </c>
      <c r="C336" s="4">
        <v>1006.5</v>
      </c>
      <c r="D336" s="1">
        <v>997.5</v>
      </c>
      <c r="E336" s="4">
        <v>1003.3</v>
      </c>
      <c r="F336" s="4">
        <v>1003.1</v>
      </c>
      <c r="G336" s="4">
        <v>1002.21</v>
      </c>
      <c r="H336" s="1" t="s">
        <v>3664</v>
      </c>
      <c r="I336" s="1" t="s">
        <v>3665</v>
      </c>
      <c r="J336" s="1" t="s">
        <v>3668</v>
      </c>
      <c r="K336" s="6">
        <f t="shared" si="2"/>
        <v>-0.0001993421708</v>
      </c>
      <c r="L336" s="7">
        <v>-0.0086265988707901</v>
      </c>
      <c r="M336" s="8">
        <f t="shared" si="1"/>
        <v>12901022</v>
      </c>
    </row>
    <row r="337">
      <c r="A337" s="3">
        <v>46000.0</v>
      </c>
      <c r="B337" s="1">
        <v>994.9</v>
      </c>
      <c r="C337" s="4">
        <v>1002.8</v>
      </c>
      <c r="D337" s="1">
        <v>994.0</v>
      </c>
      <c r="E337" s="4">
        <v>1003.1</v>
      </c>
      <c r="F337" s="1">
        <v>997.1</v>
      </c>
      <c r="G337" s="1">
        <v>998.68</v>
      </c>
      <c r="H337" s="1" t="s">
        <v>3678</v>
      </c>
      <c r="I337" s="1" t="s">
        <v>3680</v>
      </c>
      <c r="J337" s="1" t="s">
        <v>3682</v>
      </c>
      <c r="K337" s="6">
        <f t="shared" si="2"/>
        <v>-0.005981457482</v>
      </c>
      <c r="L337" s="7">
        <v>-0.0046570662023723616</v>
      </c>
      <c r="M337" s="8">
        <f t="shared" si="1"/>
        <v>15294322</v>
      </c>
    </row>
    <row r="338">
      <c r="A338" s="9">
        <v>46001.0</v>
      </c>
      <c r="B338" s="1">
        <v>997.5</v>
      </c>
      <c r="C338" s="1">
        <v>998.5</v>
      </c>
      <c r="D338" s="1">
        <v>985.3</v>
      </c>
      <c r="E338" s="1">
        <v>997.1</v>
      </c>
      <c r="F338" s="1">
        <v>989.8</v>
      </c>
      <c r="G338" s="1">
        <v>990.9</v>
      </c>
      <c r="H338" s="1" t="s">
        <v>3688</v>
      </c>
      <c r="I338" s="1" t="s">
        <v>3690</v>
      </c>
      <c r="J338" s="1" t="s">
        <v>3692</v>
      </c>
      <c r="K338" s="6">
        <f t="shared" si="2"/>
        <v>-0.007321231572</v>
      </c>
      <c r="L338" s="7">
        <v>-0.003159872521493188</v>
      </c>
      <c r="M338" s="8">
        <f t="shared" si="1"/>
        <v>15322830</v>
      </c>
    </row>
    <row r="339">
      <c r="A339" s="9">
        <v>46002.0</v>
      </c>
      <c r="B339" s="1">
        <v>990.0</v>
      </c>
      <c r="C339" s="4">
        <v>1002.7</v>
      </c>
      <c r="D339" s="1">
        <v>988.5</v>
      </c>
      <c r="E339" s="1">
        <v>989.8</v>
      </c>
      <c r="F339" s="4">
        <v>1000.3</v>
      </c>
      <c r="G339" s="1">
        <v>996.96</v>
      </c>
      <c r="H339" s="1" t="s">
        <v>3700</v>
      </c>
      <c r="I339" s="1" t="s">
        <v>3704</v>
      </c>
      <c r="J339" s="1" t="s">
        <v>3706</v>
      </c>
      <c r="K339" s="6">
        <f t="shared" si="2"/>
        <v>0.01060820368</v>
      </c>
      <c r="L339" s="7">
        <v>0.0054565571861169065</v>
      </c>
      <c r="M339" s="8">
        <f t="shared" si="1"/>
        <v>11844809</v>
      </c>
    </row>
    <row r="340">
      <c r="A340" s="9">
        <v>46003.0</v>
      </c>
      <c r="B340" s="4">
        <v>1003.0</v>
      </c>
      <c r="C340" s="4">
        <v>1004.7</v>
      </c>
      <c r="D340" s="1">
        <v>998.2</v>
      </c>
      <c r="E340" s="4">
        <v>1000.3</v>
      </c>
      <c r="F340" s="4">
        <v>1001.5</v>
      </c>
      <c r="G340" s="4">
        <v>1001.52</v>
      </c>
      <c r="H340" s="1" t="s">
        <v>3713</v>
      </c>
      <c r="I340" s="1" t="s">
        <v>3714</v>
      </c>
      <c r="J340" s="1" t="s">
        <v>3715</v>
      </c>
      <c r="K340" s="6">
        <f t="shared" si="2"/>
        <v>0.001199640108</v>
      </c>
      <c r="L340" s="7">
        <v>0.005730050524064145</v>
      </c>
      <c r="M340" s="8">
        <f t="shared" si="1"/>
        <v>11988618</v>
      </c>
    </row>
    <row r="341">
      <c r="A341" s="9">
        <v>46006.0</v>
      </c>
      <c r="B341" s="1">
        <v>992.0</v>
      </c>
      <c r="C341" s="4">
        <v>1001.8</v>
      </c>
      <c r="D341" s="1">
        <v>992.0</v>
      </c>
      <c r="E341" s="4">
        <v>1001.5</v>
      </c>
      <c r="F341" s="1">
        <v>996.1</v>
      </c>
      <c r="G341" s="1">
        <v>995.95</v>
      </c>
      <c r="H341" s="1" t="s">
        <v>3725</v>
      </c>
      <c r="I341" s="1" t="s">
        <v>3726</v>
      </c>
      <c r="J341" s="1" t="s">
        <v>3727</v>
      </c>
      <c r="K341" s="6">
        <f t="shared" si="2"/>
        <v>-0.005391912132</v>
      </c>
      <c r="L341" s="7">
        <v>-7.544069459188679E-4</v>
      </c>
      <c r="M341" s="8">
        <f t="shared" si="1"/>
        <v>9790060</v>
      </c>
    </row>
    <row r="342">
      <c r="A342" s="9">
        <v>46007.0</v>
      </c>
      <c r="B342" s="1">
        <v>990.1</v>
      </c>
      <c r="C342" s="1">
        <v>998.7</v>
      </c>
      <c r="D342" s="1">
        <v>990.1</v>
      </c>
      <c r="E342" s="1">
        <v>996.1</v>
      </c>
      <c r="F342" s="1">
        <v>994.3</v>
      </c>
      <c r="G342" s="1">
        <v>994.74</v>
      </c>
      <c r="H342" s="1" t="s">
        <v>3739</v>
      </c>
      <c r="I342" s="1" t="s">
        <v>3741</v>
      </c>
      <c r="J342" s="1" t="s">
        <v>3742</v>
      </c>
      <c r="K342" s="6">
        <f t="shared" si="2"/>
        <v>-0.001807047485</v>
      </c>
      <c r="L342" s="7">
        <v>-0.006424024005563417</v>
      </c>
      <c r="M342" s="8">
        <f t="shared" si="1"/>
        <v>20049088</v>
      </c>
    </row>
    <row r="343">
      <c r="A343" s="9">
        <v>46008.0</v>
      </c>
      <c r="B343" s="1">
        <v>996.0</v>
      </c>
      <c r="C343" s="1">
        <v>996.0</v>
      </c>
      <c r="D343" s="1">
        <v>980.8</v>
      </c>
      <c r="E343" s="1">
        <v>994.3</v>
      </c>
      <c r="F343" s="1">
        <v>984.0</v>
      </c>
      <c r="G343" s="1">
        <v>985.22</v>
      </c>
      <c r="H343" s="1" t="s">
        <v>3750</v>
      </c>
      <c r="I343" s="1" t="s">
        <v>3752</v>
      </c>
      <c r="J343" s="1" t="s">
        <v>3753</v>
      </c>
      <c r="K343" s="6">
        <f t="shared" si="2"/>
        <v>-0.01035904657</v>
      </c>
      <c r="L343" s="7">
        <v>-0.0016067223251263248</v>
      </c>
      <c r="M343" s="8">
        <f t="shared" si="1"/>
        <v>19080922</v>
      </c>
    </row>
    <row r="344">
      <c r="A344" s="9">
        <v>46009.0</v>
      </c>
      <c r="B344" s="1">
        <v>973.3</v>
      </c>
      <c r="C344" s="1">
        <v>987.4</v>
      </c>
      <c r="D344" s="1">
        <v>973.3</v>
      </c>
      <c r="E344" s="1">
        <v>984.0</v>
      </c>
      <c r="F344" s="1">
        <v>979.7</v>
      </c>
      <c r="G344" s="1">
        <v>981.48</v>
      </c>
      <c r="H344" s="1" t="s">
        <v>3761</v>
      </c>
      <c r="I344" s="1" t="s">
        <v>3764</v>
      </c>
      <c r="J344" s="1" t="s">
        <v>3767</v>
      </c>
      <c r="K344" s="6">
        <f t="shared" si="2"/>
        <v>-0.004369918699</v>
      </c>
      <c r="L344" s="7">
        <v>-1.1619552608492731E-4</v>
      </c>
      <c r="M344" s="8">
        <f t="shared" si="1"/>
        <v>14912404</v>
      </c>
    </row>
    <row r="345">
      <c r="A345" s="9">
        <v>46010.0</v>
      </c>
      <c r="B345" s="1">
        <v>987.0</v>
      </c>
      <c r="C345" s="1">
        <v>988.0</v>
      </c>
      <c r="D345" s="1">
        <v>978.7</v>
      </c>
      <c r="E345" s="1">
        <v>979.7</v>
      </c>
      <c r="F345" s="1">
        <v>985.5</v>
      </c>
      <c r="G345" s="1">
        <v>984.91</v>
      </c>
      <c r="H345" s="1" t="s">
        <v>3775</v>
      </c>
      <c r="I345" s="1" t="s">
        <v>3777</v>
      </c>
      <c r="J345" s="1" t="s">
        <v>3780</v>
      </c>
      <c r="K345" s="6">
        <f t="shared" si="2"/>
        <v>0.005920179647</v>
      </c>
      <c r="L345" s="7">
        <v>0.005843377344275143</v>
      </c>
      <c r="M345" s="8">
        <f t="shared" si="1"/>
        <v>25952384</v>
      </c>
    </row>
    <row r="346">
      <c r="A346" s="9">
        <v>46013.0</v>
      </c>
      <c r="B346" s="1">
        <v>988.0</v>
      </c>
      <c r="C346" s="1">
        <v>992.9</v>
      </c>
      <c r="D346" s="1">
        <v>983.9</v>
      </c>
      <c r="E346" s="1">
        <v>985.5</v>
      </c>
      <c r="F346" s="1">
        <v>987.7</v>
      </c>
      <c r="G346" s="1">
        <v>987.63</v>
      </c>
      <c r="H346" s="1" t="s">
        <v>3790</v>
      </c>
      <c r="I346" s="1" t="s">
        <v>3792</v>
      </c>
      <c r="J346" s="1" t="s">
        <v>3793</v>
      </c>
      <c r="K346" s="6">
        <f t="shared" si="2"/>
        <v>0.002232369356</v>
      </c>
      <c r="L346" s="7">
        <v>0.007933329225460594</v>
      </c>
      <c r="M346" s="8">
        <f t="shared" si="1"/>
        <v>13540411</v>
      </c>
    </row>
    <row r="347">
      <c r="A347" s="9">
        <v>46014.0</v>
      </c>
      <c r="B347" s="1">
        <v>990.5</v>
      </c>
      <c r="C347" s="1">
        <v>998.9</v>
      </c>
      <c r="D347" s="1">
        <v>987.7</v>
      </c>
      <c r="E347" s="1">
        <v>987.7</v>
      </c>
      <c r="F347" s="1">
        <v>996.6</v>
      </c>
      <c r="G347" s="1">
        <v>994.81</v>
      </c>
      <c r="H347" s="1" t="s">
        <v>3803</v>
      </c>
      <c r="I347" s="1" t="s">
        <v>3804</v>
      </c>
      <c r="J347" s="1" t="s">
        <v>3805</v>
      </c>
      <c r="K347" s="6">
        <f t="shared" si="2"/>
        <v>0.009010833249</v>
      </c>
      <c r="L347" s="7">
        <v>1.8148889670034082E-4</v>
      </c>
      <c r="M347" s="8">
        <f t="shared" si="1"/>
        <v>17927849</v>
      </c>
    </row>
    <row r="348">
      <c r="A348" s="9">
        <v>46015.0</v>
      </c>
      <c r="B348" s="1">
        <v>993.0</v>
      </c>
      <c r="C348" s="1">
        <v>999.4</v>
      </c>
      <c r="D348" s="1">
        <v>993.0</v>
      </c>
      <c r="E348" s="1">
        <v>996.6</v>
      </c>
      <c r="F348" s="1">
        <v>997.2</v>
      </c>
      <c r="G348" s="1">
        <v>996.34</v>
      </c>
      <c r="H348" s="1" t="s">
        <v>3815</v>
      </c>
      <c r="I348" s="1" t="s">
        <v>3816</v>
      </c>
      <c r="J348" s="1" t="s">
        <v>3817</v>
      </c>
      <c r="K348" s="6">
        <f t="shared" si="2"/>
        <v>0.0006020469597</v>
      </c>
      <c r="L348" s="7">
        <v>-0.0013389540114184665</v>
      </c>
      <c r="M348" s="8">
        <f t="shared" si="1"/>
        <v>13699996</v>
      </c>
    </row>
    <row r="349">
      <c r="A349" s="9">
        <v>46017.0</v>
      </c>
      <c r="B349" s="1">
        <v>996.0</v>
      </c>
      <c r="C349" s="1">
        <v>997.2</v>
      </c>
      <c r="D349" s="1">
        <v>987.7</v>
      </c>
      <c r="E349" s="1">
        <v>997.2</v>
      </c>
      <c r="F349" s="1">
        <v>992.1</v>
      </c>
      <c r="G349" s="1">
        <v>992.32</v>
      </c>
      <c r="H349" s="1" t="s">
        <v>3824</v>
      </c>
      <c r="I349" s="1" t="s">
        <v>3825</v>
      </c>
      <c r="J349" s="1" t="s">
        <v>3826</v>
      </c>
      <c r="K349" s="6">
        <f t="shared" si="2"/>
        <v>-0.005114320096</v>
      </c>
      <c r="L349" s="7">
        <v>-0.003817596903079679</v>
      </c>
      <c r="M349" s="8">
        <f t="shared" si="1"/>
        <v>9360853</v>
      </c>
    </row>
    <row r="350">
      <c r="A350" s="9">
        <v>46020.0</v>
      </c>
      <c r="B350" s="1">
        <v>993.1</v>
      </c>
      <c r="C350" s="1">
        <v>997.4</v>
      </c>
      <c r="D350" s="1">
        <v>987.2</v>
      </c>
      <c r="E350" s="1">
        <v>992.1</v>
      </c>
      <c r="F350" s="1">
        <v>991.7</v>
      </c>
      <c r="G350" s="1">
        <v>991.31</v>
      </c>
      <c r="H350" s="1" t="s">
        <v>3836</v>
      </c>
      <c r="I350" s="1" t="s">
        <v>3837</v>
      </c>
      <c r="J350" s="1" t="s">
        <v>3838</v>
      </c>
      <c r="K350" s="6">
        <f t="shared" si="2"/>
        <v>-0.0004031851628</v>
      </c>
      <c r="L350" s="7">
        <v>-0.003847586426698131</v>
      </c>
      <c r="M350" s="8">
        <f t="shared" si="1"/>
        <v>13545749</v>
      </c>
    </row>
    <row r="351">
      <c r="A351" s="9">
        <v>46021.0</v>
      </c>
      <c r="B351" s="1">
        <v>990.2</v>
      </c>
      <c r="C351" s="1">
        <v>995.0</v>
      </c>
      <c r="D351" s="1">
        <v>982.2</v>
      </c>
      <c r="E351" s="1">
        <v>991.7</v>
      </c>
      <c r="F351" s="1">
        <v>990.9</v>
      </c>
      <c r="G351" s="1">
        <v>989.16</v>
      </c>
      <c r="H351" s="1" t="s">
        <v>3846</v>
      </c>
      <c r="I351" s="1" t="s">
        <v>3848</v>
      </c>
      <c r="J351" s="1" t="s">
        <v>3849</v>
      </c>
      <c r="K351" s="6">
        <f t="shared" si="2"/>
        <v>-0.0008066955733</v>
      </c>
      <c r="L351" s="7">
        <v>-1.252789866664611E-4</v>
      </c>
      <c r="M351" s="8">
        <f t="shared" si="1"/>
        <v>33155849</v>
      </c>
    </row>
    <row r="352">
      <c r="A352" s="9">
        <v>46022.0</v>
      </c>
      <c r="B352" s="1">
        <v>991.0</v>
      </c>
      <c r="C352" s="1">
        <v>997.6</v>
      </c>
      <c r="D352" s="1">
        <v>987.6</v>
      </c>
      <c r="E352" s="1">
        <v>990.9</v>
      </c>
      <c r="F352" s="1">
        <v>991.2</v>
      </c>
      <c r="G352" s="1">
        <v>992.61</v>
      </c>
      <c r="H352" s="1" t="s">
        <v>3858</v>
      </c>
      <c r="I352" s="1" t="s">
        <v>3861</v>
      </c>
      <c r="J352" s="1" t="s">
        <v>3864</v>
      </c>
      <c r="K352" s="6">
        <f t="shared" si="2"/>
        <v>0.0003027550711</v>
      </c>
      <c r="L352" s="7">
        <v>0.007353834113694324</v>
      </c>
      <c r="M352" s="8">
        <f t="shared" si="1"/>
        <v>10963454</v>
      </c>
    </row>
    <row r="353">
      <c r="A353" s="3">
        <v>46023.0</v>
      </c>
      <c r="B353" s="1">
        <v>993.5</v>
      </c>
      <c r="C353" s="1">
        <v>997.55</v>
      </c>
      <c r="D353" s="1">
        <v>989.5</v>
      </c>
      <c r="E353" s="1">
        <v>991.2</v>
      </c>
      <c r="F353" s="1">
        <v>991.15</v>
      </c>
      <c r="G353" s="1">
        <v>991.88</v>
      </c>
      <c r="H353" s="1" t="s">
        <v>3872</v>
      </c>
      <c r="I353" s="1" t="s">
        <v>3874</v>
      </c>
      <c r="J353" s="1" t="s">
        <v>3876</v>
      </c>
      <c r="K353" s="6">
        <f t="shared" si="2"/>
        <v>-0.00005044390638</v>
      </c>
      <c r="L353" s="7">
        <v>6.486896087196409E-4</v>
      </c>
      <c r="M353" s="8">
        <f t="shared" si="1"/>
        <v>7132074</v>
      </c>
    </row>
    <row r="354">
      <c r="A354" s="3">
        <v>46024.0</v>
      </c>
      <c r="B354" s="1">
        <v>991.15</v>
      </c>
      <c r="C354" s="4">
        <v>1003.2</v>
      </c>
      <c r="D354" s="1">
        <v>988.8</v>
      </c>
      <c r="E354" s="1">
        <v>991.15</v>
      </c>
      <c r="F354" s="4">
        <v>1001.6</v>
      </c>
      <c r="G354" s="1">
        <v>998.46</v>
      </c>
      <c r="H354" s="1" t="s">
        <v>3884</v>
      </c>
      <c r="I354" s="1" t="s">
        <v>3885</v>
      </c>
      <c r="J354" s="1" t="s">
        <v>3887</v>
      </c>
      <c r="K354" s="6">
        <f t="shared" si="2"/>
        <v>0.01054330828</v>
      </c>
      <c r="L354" s="7">
        <v>0.006960765378223896</v>
      </c>
      <c r="M354" s="8">
        <f t="shared" si="1"/>
        <v>11751459</v>
      </c>
    </row>
    <row r="355">
      <c r="A355" s="3">
        <v>46027.0</v>
      </c>
      <c r="B355" s="4">
        <v>1005.75</v>
      </c>
      <c r="C355" s="4">
        <v>1006.4</v>
      </c>
      <c r="D355" s="1">
        <v>976.3</v>
      </c>
      <c r="E355" s="4">
        <v>1001.6</v>
      </c>
      <c r="F355" s="1">
        <v>977.5</v>
      </c>
      <c r="G355" s="1">
        <v>984.33</v>
      </c>
      <c r="H355" s="1" t="s">
        <v>3901</v>
      </c>
      <c r="I355" s="1" t="s">
        <v>3902</v>
      </c>
      <c r="J355" s="1" t="s">
        <v>3904</v>
      </c>
      <c r="K355" s="6">
        <f t="shared" si="2"/>
        <v>-0.0240615016</v>
      </c>
      <c r="L355" s="7">
        <v>-0.0029720588486642826</v>
      </c>
      <c r="M355" s="8">
        <f t="shared" si="1"/>
        <v>27647379</v>
      </c>
    </row>
    <row r="356">
      <c r="A356" s="3">
        <v>46028.0</v>
      </c>
      <c r="B356" s="1">
        <v>962.7</v>
      </c>
      <c r="C356" s="1">
        <v>966.7</v>
      </c>
      <c r="D356" s="1">
        <v>956.0</v>
      </c>
      <c r="E356" s="1">
        <v>977.5</v>
      </c>
      <c r="F356" s="1">
        <v>962.2</v>
      </c>
      <c r="G356" s="1">
        <v>962.45</v>
      </c>
      <c r="H356" s="1" t="s">
        <v>3913</v>
      </c>
      <c r="I356" s="1" t="s">
        <v>3914</v>
      </c>
      <c r="J356" s="1" t="s">
        <v>3915</v>
      </c>
      <c r="K356" s="6">
        <f t="shared" si="2"/>
        <v>-0.01565217391</v>
      </c>
      <c r="L356" s="7">
        <v>-0.002727587875186133</v>
      </c>
      <c r="M356" s="8">
        <f t="shared" si="1"/>
        <v>31988783</v>
      </c>
    </row>
    <row r="357">
      <c r="A357" s="3">
        <v>46029.0</v>
      </c>
      <c r="B357" s="1">
        <v>956.0</v>
      </c>
      <c r="C357" s="1">
        <v>956.45</v>
      </c>
      <c r="D357" s="1">
        <v>946.0</v>
      </c>
      <c r="E357" s="1">
        <v>962.2</v>
      </c>
      <c r="F357" s="1">
        <v>949.05</v>
      </c>
      <c r="G357" s="1">
        <v>950.1</v>
      </c>
      <c r="H357" s="1" t="s">
        <v>3932</v>
      </c>
      <c r="I357" s="1" t="s">
        <v>3934</v>
      </c>
      <c r="J357" s="1" t="s">
        <v>3937</v>
      </c>
      <c r="K357" s="6">
        <f t="shared" si="2"/>
        <v>-0.01366659738</v>
      </c>
      <c r="L357" s="7">
        <v>-0.0014496518161711898</v>
      </c>
      <c r="M357" s="8">
        <f t="shared" si="1"/>
        <v>52884712</v>
      </c>
    </row>
    <row r="358">
      <c r="A358" s="3">
        <v>46030.0</v>
      </c>
      <c r="B358" s="1">
        <v>944.7</v>
      </c>
      <c r="C358" s="1">
        <v>953.0</v>
      </c>
      <c r="D358" s="1">
        <v>941.4</v>
      </c>
      <c r="E358" s="1">
        <v>949.05</v>
      </c>
      <c r="F358" s="1">
        <v>946.7</v>
      </c>
      <c r="G358" s="1">
        <v>947.59</v>
      </c>
      <c r="H358" s="1" t="s">
        <v>3943</v>
      </c>
      <c r="I358" s="1" t="s">
        <v>3944</v>
      </c>
      <c r="J358" s="1" t="s">
        <v>3945</v>
      </c>
      <c r="K358" s="6">
        <f t="shared" si="2"/>
        <v>-0.002476160371</v>
      </c>
      <c r="L358" s="7">
        <v>-0.01009534921530566</v>
      </c>
      <c r="M358" s="8">
        <f t="shared" si="1"/>
        <v>21928849</v>
      </c>
    </row>
    <row r="359">
      <c r="A359" s="3">
        <v>46031.0</v>
      </c>
      <c r="B359" s="1">
        <v>945.0</v>
      </c>
      <c r="C359" s="1">
        <v>950.6</v>
      </c>
      <c r="D359" s="1">
        <v>933.3</v>
      </c>
      <c r="E359" s="1">
        <v>946.7</v>
      </c>
      <c r="F359" s="1">
        <v>939.0</v>
      </c>
      <c r="G359" s="1">
        <v>940.91</v>
      </c>
      <c r="H359" s="1" t="s">
        <v>3955</v>
      </c>
      <c r="I359" s="1" t="s">
        <v>3956</v>
      </c>
      <c r="J359" s="1" t="s">
        <v>3957</v>
      </c>
      <c r="K359" s="6">
        <f t="shared" si="2"/>
        <v>-0.008133516425</v>
      </c>
      <c r="L359" s="7">
        <v>-0.007479658459201923</v>
      </c>
      <c r="M359" s="8">
        <f t="shared" si="1"/>
        <v>38183839</v>
      </c>
    </row>
    <row r="360">
      <c r="A360" s="9">
        <v>46034.0</v>
      </c>
      <c r="B360" s="1">
        <v>937.5</v>
      </c>
      <c r="C360" s="1">
        <v>942.0</v>
      </c>
      <c r="D360" s="1">
        <v>929.6</v>
      </c>
      <c r="E360" s="1">
        <v>939.0</v>
      </c>
      <c r="F360" s="1">
        <v>936.95</v>
      </c>
      <c r="G360" s="1">
        <v>936.87</v>
      </c>
      <c r="H360" s="1" t="s">
        <v>3967</v>
      </c>
      <c r="I360" s="1" t="s">
        <v>3968</v>
      </c>
      <c r="J360" s="1" t="s">
        <v>3969</v>
      </c>
      <c r="K360" s="6">
        <f t="shared" si="2"/>
        <v>-0.002183173589</v>
      </c>
      <c r="L360" s="7">
        <v>0.0041641845090000405</v>
      </c>
      <c r="M360" s="8">
        <f t="shared" si="1"/>
        <v>21071666</v>
      </c>
    </row>
    <row r="361">
      <c r="A361" s="9">
        <v>46035.0</v>
      </c>
      <c r="B361" s="1">
        <v>947.7</v>
      </c>
      <c r="C361" s="1">
        <v>947.7</v>
      </c>
      <c r="D361" s="1">
        <v>932.6</v>
      </c>
      <c r="E361" s="1">
        <v>936.95</v>
      </c>
      <c r="F361" s="1">
        <v>937.35</v>
      </c>
      <c r="G361" s="1">
        <v>940.27</v>
      </c>
      <c r="H361" s="1" t="s">
        <v>3979</v>
      </c>
      <c r="I361" s="1" t="s">
        <v>3980</v>
      </c>
      <c r="J361" s="1" t="s">
        <v>3981</v>
      </c>
      <c r="K361" s="6">
        <f t="shared" si="2"/>
        <v>0.0004269171247</v>
      </c>
      <c r="L361" s="7">
        <v>-0.002246973177848246</v>
      </c>
      <c r="M361" s="8">
        <f t="shared" si="1"/>
        <v>32042827</v>
      </c>
    </row>
    <row r="362">
      <c r="A362" s="9">
        <v>46036.0</v>
      </c>
      <c r="B362" s="1">
        <v>930.0</v>
      </c>
      <c r="C362" s="1">
        <v>940.05</v>
      </c>
      <c r="D362" s="1">
        <v>920.2</v>
      </c>
      <c r="E362" s="1">
        <v>937.35</v>
      </c>
      <c r="F362" s="1">
        <v>925.45</v>
      </c>
      <c r="G362" s="1">
        <v>929.85</v>
      </c>
      <c r="H362" s="1" t="s">
        <v>3991</v>
      </c>
      <c r="I362" s="1" t="s">
        <v>3992</v>
      </c>
      <c r="J362" s="1" t="s">
        <v>3993</v>
      </c>
      <c r="K362" s="6">
        <f t="shared" si="2"/>
        <v>-0.01269536459</v>
      </c>
      <c r="L362" s="7">
        <v>-0.002592072997749938</v>
      </c>
      <c r="M362" s="8">
        <f t="shared" si="1"/>
        <v>36688248</v>
      </c>
    </row>
    <row r="363">
      <c r="A363" s="9">
        <v>46038.0</v>
      </c>
      <c r="B363" s="1">
        <v>922.0</v>
      </c>
      <c r="C363" s="1">
        <v>935.95</v>
      </c>
      <c r="D363" s="1">
        <v>919.2</v>
      </c>
      <c r="E363" s="1">
        <v>925.45</v>
      </c>
      <c r="F363" s="1">
        <v>931.1</v>
      </c>
      <c r="G363" s="1">
        <v>929.18</v>
      </c>
      <c r="H363" s="1" t="s">
        <v>4003</v>
      </c>
      <c r="I363" s="1" t="s">
        <v>4004</v>
      </c>
      <c r="J363" s="1" t="s">
        <v>4006</v>
      </c>
      <c r="K363" s="6">
        <f t="shared" si="2"/>
        <v>0.006105138041</v>
      </c>
      <c r="L363" s="7">
        <v>0.0011201764229162772</v>
      </c>
      <c r="M363" s="8">
        <f t="shared" si="1"/>
        <v>37780235</v>
      </c>
    </row>
    <row r="364">
      <c r="A364" s="9">
        <v>46041.0</v>
      </c>
      <c r="B364" s="1">
        <v>935.9</v>
      </c>
      <c r="C364" s="1">
        <v>936.15</v>
      </c>
      <c r="D364" s="1">
        <v>919.5</v>
      </c>
      <c r="E364" s="1">
        <v>931.1</v>
      </c>
      <c r="F364" s="1">
        <v>927.9</v>
      </c>
      <c r="G364" s="1">
        <v>927.58</v>
      </c>
      <c r="H364" s="1" t="s">
        <v>4015</v>
      </c>
      <c r="I364" s="1" t="s">
        <v>4018</v>
      </c>
      <c r="J364" s="1" t="s">
        <v>4020</v>
      </c>
      <c r="K364" s="6">
        <f t="shared" si="2"/>
        <v>-0.003436795188</v>
      </c>
      <c r="L364" s="7">
        <v>-0.004236339895735777</v>
      </c>
      <c r="M364" s="8">
        <f t="shared" si="1"/>
        <v>38191942</v>
      </c>
    </row>
    <row r="365">
      <c r="A365" s="9">
        <v>46042.0</v>
      </c>
      <c r="B365" s="1">
        <v>929.3</v>
      </c>
      <c r="C365" s="1">
        <v>934.5</v>
      </c>
      <c r="D365" s="1">
        <v>919.6</v>
      </c>
      <c r="E365" s="1">
        <v>927.9</v>
      </c>
      <c r="F365" s="1">
        <v>931.2</v>
      </c>
      <c r="G365" s="1">
        <v>930.12</v>
      </c>
      <c r="H365" s="1" t="s">
        <v>4027</v>
      </c>
      <c r="I365" s="1" t="s">
        <v>4028</v>
      </c>
      <c r="J365" s="1" t="s">
        <v>4029</v>
      </c>
      <c r="K365" s="6">
        <f t="shared" si="2"/>
        <v>0.003556417717</v>
      </c>
      <c r="L365" s="7">
        <v>-0.013796877137441129</v>
      </c>
      <c r="M365" s="8">
        <f t="shared" si="1"/>
        <v>36022727</v>
      </c>
    </row>
    <row r="366">
      <c r="A366" s="9">
        <v>46043.0</v>
      </c>
      <c r="B366" s="1">
        <v>925.0</v>
      </c>
      <c r="C366" s="1">
        <v>932.15</v>
      </c>
      <c r="D366" s="1">
        <v>915.5</v>
      </c>
      <c r="E366" s="1">
        <v>931.2</v>
      </c>
      <c r="F366" s="1">
        <v>920.35</v>
      </c>
      <c r="G366" s="1">
        <v>924.64</v>
      </c>
      <c r="H366" s="1" t="s">
        <v>4039</v>
      </c>
      <c r="I366" s="1" t="s">
        <v>4040</v>
      </c>
      <c r="J366" s="1" t="s">
        <v>4041</v>
      </c>
      <c r="K366" s="6">
        <f t="shared" si="2"/>
        <v>-0.0116516323</v>
      </c>
      <c r="L366" s="7">
        <v>-0.002972357079163777</v>
      </c>
      <c r="M366" s="8">
        <f t="shared" si="1"/>
        <v>32766854</v>
      </c>
    </row>
    <row r="367">
      <c r="A367" s="9">
        <v>46044.0</v>
      </c>
      <c r="B367" s="1">
        <v>928.0</v>
      </c>
      <c r="C367" s="1">
        <v>928.3</v>
      </c>
      <c r="D367" s="1">
        <v>913.2</v>
      </c>
      <c r="E367" s="1">
        <v>920.35</v>
      </c>
      <c r="F367" s="1">
        <v>918.7</v>
      </c>
      <c r="G367" s="1">
        <v>918.56</v>
      </c>
      <c r="H367" s="1" t="s">
        <v>4050</v>
      </c>
      <c r="I367" s="1" t="s">
        <v>4052</v>
      </c>
      <c r="J367" s="1" t="s">
        <v>4053</v>
      </c>
      <c r="K367" s="6">
        <f t="shared" si="2"/>
        <v>-0.001792796219</v>
      </c>
      <c r="L367" s="7">
        <v>0.005262844082281683</v>
      </c>
      <c r="M367" s="8">
        <f t="shared" si="1"/>
        <v>44444755</v>
      </c>
    </row>
    <row r="368">
      <c r="A368" s="9">
        <v>46045.0</v>
      </c>
      <c r="B368" s="1">
        <v>920.0</v>
      </c>
      <c r="C368" s="1">
        <v>926.1</v>
      </c>
      <c r="D368" s="1">
        <v>909.25</v>
      </c>
      <c r="E368" s="1">
        <v>918.7</v>
      </c>
      <c r="F368" s="1">
        <v>916.1</v>
      </c>
      <c r="G368" s="1">
        <v>916.45</v>
      </c>
      <c r="H368" s="1" t="s">
        <v>4060</v>
      </c>
      <c r="I368" s="1" t="s">
        <v>4064</v>
      </c>
      <c r="J368" s="1" t="s">
        <v>4067</v>
      </c>
      <c r="K368" s="6">
        <f t="shared" si="2"/>
        <v>-0.002830085991</v>
      </c>
      <c r="L368" s="7">
        <v>-0.009539381334050351</v>
      </c>
      <c r="M368" s="8">
        <f t="shared" si="1"/>
        <v>30985247</v>
      </c>
    </row>
    <row r="369">
      <c r="A369" s="9">
        <v>46049.0</v>
      </c>
      <c r="B369" s="1">
        <v>906.0</v>
      </c>
      <c r="C369" s="1">
        <v>931.2</v>
      </c>
      <c r="D369" s="1">
        <v>905.0</v>
      </c>
      <c r="E369" s="1">
        <v>916.1</v>
      </c>
      <c r="F369" s="1">
        <v>926.4</v>
      </c>
      <c r="G369" s="1">
        <v>917.11</v>
      </c>
      <c r="H369" s="1" t="s">
        <v>4071</v>
      </c>
      <c r="I369" s="1" t="s">
        <v>4073</v>
      </c>
      <c r="J369" s="1" t="s">
        <v>4077</v>
      </c>
      <c r="K369" s="6">
        <f t="shared" si="2"/>
        <v>0.01124331405</v>
      </c>
      <c r="L369" s="7">
        <v>0.00506015294237414</v>
      </c>
      <c r="M369" s="8">
        <f t="shared" si="1"/>
        <v>44753093</v>
      </c>
    </row>
    <row r="370">
      <c r="A370" s="9">
        <v>46050.0</v>
      </c>
      <c r="B370" s="1">
        <v>932.5</v>
      </c>
      <c r="C370" s="1">
        <v>941.45</v>
      </c>
      <c r="D370" s="1">
        <v>928.4</v>
      </c>
      <c r="E370" s="1">
        <v>926.4</v>
      </c>
      <c r="F370" s="1">
        <v>932.7</v>
      </c>
      <c r="G370" s="1">
        <v>934.95</v>
      </c>
      <c r="H370" s="1" t="s">
        <v>4082</v>
      </c>
      <c r="I370" s="1" t="s">
        <v>4085</v>
      </c>
      <c r="J370" s="1" t="s">
        <v>4087</v>
      </c>
      <c r="K370" s="6">
        <f t="shared" si="2"/>
        <v>0.006800518135</v>
      </c>
      <c r="L370" s="7">
        <v>0.0066473621074540435</v>
      </c>
      <c r="M370" s="8">
        <f t="shared" si="1"/>
        <v>35347138</v>
      </c>
    </row>
    <row r="371">
      <c r="A371" s="9">
        <v>46051.0</v>
      </c>
      <c r="B371" s="1">
        <v>930.1</v>
      </c>
      <c r="C371" s="1">
        <v>939.3</v>
      </c>
      <c r="D371" s="1">
        <v>924.35</v>
      </c>
      <c r="E371" s="1">
        <v>932.7</v>
      </c>
      <c r="F371" s="1">
        <v>935.5</v>
      </c>
      <c r="G371" s="1">
        <v>933.24</v>
      </c>
      <c r="H371" s="1" t="s">
        <v>4095</v>
      </c>
      <c r="I371" s="1" t="s">
        <v>4096</v>
      </c>
      <c r="J371" s="1" t="s">
        <v>4097</v>
      </c>
      <c r="K371" s="6">
        <f t="shared" si="2"/>
        <v>0.003002037097</v>
      </c>
      <c r="L371" s="7">
        <v>0.003004804135305026</v>
      </c>
      <c r="M371" s="8">
        <f t="shared" si="1"/>
        <v>37175628</v>
      </c>
    </row>
    <row r="372">
      <c r="A372" s="9">
        <v>46052.0</v>
      </c>
      <c r="B372" s="1">
        <v>930.0</v>
      </c>
      <c r="C372" s="1">
        <v>938.9</v>
      </c>
      <c r="D372" s="1">
        <v>927.75</v>
      </c>
      <c r="E372" s="1">
        <v>935.5</v>
      </c>
      <c r="F372" s="1">
        <v>929.25</v>
      </c>
      <c r="G372" s="1">
        <v>931.84</v>
      </c>
      <c r="H372" s="1" t="s">
        <v>4107</v>
      </c>
      <c r="I372" s="1" t="s">
        <v>4108</v>
      </c>
      <c r="J372" s="1" t="s">
        <v>4109</v>
      </c>
      <c r="K372" s="6">
        <f t="shared" si="2"/>
        <v>-0.006680919294</v>
      </c>
      <c r="L372" s="7">
        <v>-0.0038652341368037167</v>
      </c>
      <c r="M372" s="8">
        <f t="shared" si="1"/>
        <v>29691233</v>
      </c>
    </row>
    <row r="373">
      <c r="A373" s="3">
        <v>46054.0</v>
      </c>
      <c r="B373" s="1">
        <v>932.0</v>
      </c>
      <c r="C373" s="1">
        <v>939.65</v>
      </c>
      <c r="D373" s="1">
        <v>912.65</v>
      </c>
      <c r="E373" s="1">
        <v>929.25</v>
      </c>
      <c r="F373" s="1">
        <v>922.1</v>
      </c>
      <c r="G373" s="1">
        <v>929.2</v>
      </c>
      <c r="H373" s="1" t="s">
        <v>4118</v>
      </c>
      <c r="I373" s="1" t="s">
        <v>4120</v>
      </c>
      <c r="J373" s="1" t="s">
        <v>4121</v>
      </c>
      <c r="K373" s="6">
        <f t="shared" si="2"/>
        <v>-0.007694377186</v>
      </c>
      <c r="L373" s="7">
        <v>-0.019557159867538972</v>
      </c>
      <c r="M373" s="8">
        <f t="shared" si="1"/>
        <v>9856486</v>
      </c>
    </row>
    <row r="374">
      <c r="A374" s="3">
        <v>46055.0</v>
      </c>
      <c r="B374" s="1">
        <v>915.0</v>
      </c>
      <c r="C374" s="1">
        <v>929.8</v>
      </c>
      <c r="D374" s="1">
        <v>909.3</v>
      </c>
      <c r="E374" s="1">
        <v>922.1</v>
      </c>
      <c r="F374" s="1">
        <v>928.1</v>
      </c>
      <c r="G374" s="1">
        <v>924.14</v>
      </c>
      <c r="H374" s="1" t="s">
        <v>4128</v>
      </c>
      <c r="I374" s="1" t="s">
        <v>4130</v>
      </c>
      <c r="J374" s="1" t="s">
        <v>4132</v>
      </c>
      <c r="K374" s="6">
        <f t="shared" si="2"/>
        <v>0.006506886455</v>
      </c>
      <c r="L374" s="7">
        <v>0.010591953015957443</v>
      </c>
      <c r="M374" s="8">
        <f t="shared" si="1"/>
        <v>28032106</v>
      </c>
    </row>
    <row r="375">
      <c r="A375" s="3">
        <v>46056.0</v>
      </c>
      <c r="B375" s="1">
        <v>983.75</v>
      </c>
      <c r="C375" s="1">
        <v>994.0</v>
      </c>
      <c r="D375" s="1">
        <v>945.0</v>
      </c>
      <c r="E375" s="1">
        <v>928.1</v>
      </c>
      <c r="F375" s="1">
        <v>948.7</v>
      </c>
      <c r="G375" s="1">
        <v>954.45</v>
      </c>
      <c r="H375" s="1" t="s">
        <v>4140</v>
      </c>
      <c r="I375" s="1" t="s">
        <v>4141</v>
      </c>
      <c r="J375" s="1" t="s">
        <v>4142</v>
      </c>
      <c r="K375" s="6">
        <f t="shared" si="2"/>
        <v>0.02219588406</v>
      </c>
      <c r="L375" s="7">
        <v>0.025475917156932995</v>
      </c>
      <c r="M375" s="8">
        <f t="shared" si="1"/>
        <v>50336968</v>
      </c>
    </row>
    <row r="376">
      <c r="A376" s="3">
        <v>46057.0</v>
      </c>
      <c r="B376" s="1">
        <v>952.5</v>
      </c>
      <c r="C376" s="1">
        <v>957.2</v>
      </c>
      <c r="D376" s="1">
        <v>947.95</v>
      </c>
      <c r="E376" s="1">
        <v>948.7</v>
      </c>
      <c r="F376" s="1">
        <v>953.1</v>
      </c>
      <c r="G376" s="1">
        <v>952.91</v>
      </c>
      <c r="H376" s="1" t="s">
        <v>4149</v>
      </c>
      <c r="I376" s="1" t="s">
        <v>4150</v>
      </c>
      <c r="J376" s="1" t="s">
        <v>4151</v>
      </c>
      <c r="K376" s="6">
        <f t="shared" si="2"/>
        <v>0.004637925582</v>
      </c>
      <c r="L376" s="7">
        <v>0.0018831952517826506</v>
      </c>
      <c r="M376" s="8">
        <f t="shared" si="1"/>
        <v>24366770</v>
      </c>
    </row>
    <row r="377">
      <c r="A377" s="3">
        <v>46058.0</v>
      </c>
      <c r="B377" s="1">
        <v>956.0</v>
      </c>
      <c r="C377" s="1">
        <v>956.05</v>
      </c>
      <c r="D377" s="1">
        <v>946.7</v>
      </c>
      <c r="E377" s="1">
        <v>953.1</v>
      </c>
      <c r="F377" s="1">
        <v>949.7</v>
      </c>
      <c r="G377" s="1">
        <v>950.22</v>
      </c>
      <c r="H377" s="1" t="s">
        <v>4165</v>
      </c>
      <c r="I377" s="1" t="s">
        <v>4168</v>
      </c>
      <c r="J377" s="1" t="s">
        <v>4170</v>
      </c>
      <c r="K377" s="6">
        <f t="shared" si="2"/>
        <v>-0.003567306683</v>
      </c>
      <c r="L377" s="7">
        <v>-0.005167597765363157</v>
      </c>
      <c r="M377" s="8">
        <f t="shared" si="1"/>
        <v>28103169</v>
      </c>
    </row>
    <row r="378">
      <c r="A378" s="3">
        <v>46059.0</v>
      </c>
      <c r="B378" s="1">
        <v>945.0</v>
      </c>
      <c r="C378" s="1">
        <v>948.1</v>
      </c>
      <c r="D378" s="1">
        <v>937.6</v>
      </c>
      <c r="E378" s="1">
        <v>949.7</v>
      </c>
      <c r="F378" s="1">
        <v>941.1</v>
      </c>
      <c r="G378" s="1">
        <v>941.73</v>
      </c>
      <c r="H378" s="1" t="s">
        <v>4175</v>
      </c>
      <c r="I378" s="1" t="s">
        <v>4176</v>
      </c>
      <c r="J378" s="1" t="s">
        <v>4179</v>
      </c>
      <c r="K378" s="6">
        <f t="shared" si="2"/>
        <v>-0.009055491208</v>
      </c>
      <c r="L378" s="7">
        <v>0.001984962640585328</v>
      </c>
      <c r="M378" s="8">
        <f t="shared" si="1"/>
        <v>18120272</v>
      </c>
    </row>
    <row r="379">
      <c r="A379" s="3">
        <v>46062.0</v>
      </c>
      <c r="B379" s="1">
        <v>945.0</v>
      </c>
      <c r="C379" s="1">
        <v>950.0</v>
      </c>
      <c r="D379" s="1">
        <v>935.35</v>
      </c>
      <c r="E379" s="1">
        <v>941.1</v>
      </c>
      <c r="F379" s="1">
        <v>937.25</v>
      </c>
      <c r="G379" s="1">
        <v>938.27</v>
      </c>
      <c r="H379" s="1" t="s">
        <v>4187</v>
      </c>
      <c r="I379" s="1" t="s">
        <v>4188</v>
      </c>
      <c r="J379" s="1" t="s">
        <v>4189</v>
      </c>
      <c r="K379" s="6">
        <f t="shared" si="2"/>
        <v>-0.00409095739</v>
      </c>
      <c r="L379" s="7">
        <v>0.00675652008079796</v>
      </c>
      <c r="M379" s="8">
        <f t="shared" si="1"/>
        <v>23947829</v>
      </c>
    </row>
    <row r="380">
      <c r="A380" s="9">
        <v>46063.0</v>
      </c>
      <c r="B380" s="1">
        <v>930.0</v>
      </c>
      <c r="C380" s="1">
        <v>940.9</v>
      </c>
      <c r="D380" s="1">
        <v>929.95</v>
      </c>
      <c r="E380" s="1">
        <v>937.25</v>
      </c>
      <c r="F380" s="1">
        <v>932.4</v>
      </c>
      <c r="G380" s="1">
        <v>933.93</v>
      </c>
      <c r="H380" s="1" t="s">
        <v>4199</v>
      </c>
      <c r="I380" s="1" t="s">
        <v>4200</v>
      </c>
      <c r="J380" s="1" t="s">
        <v>4201</v>
      </c>
      <c r="K380" s="6">
        <f t="shared" si="2"/>
        <v>-0.005174713257</v>
      </c>
      <c r="L380" s="7">
        <v>0.0026230027873029725</v>
      </c>
      <c r="M380" s="8">
        <f t="shared" si="1"/>
        <v>31525385</v>
      </c>
    </row>
    <row r="381">
      <c r="A381" s="9">
        <v>46064.0</v>
      </c>
      <c r="B381" s="1">
        <v>931.25</v>
      </c>
      <c r="C381" s="1">
        <v>936.0</v>
      </c>
      <c r="D381" s="1">
        <v>925.3</v>
      </c>
      <c r="E381" s="1">
        <v>932.4</v>
      </c>
      <c r="F381" s="1">
        <v>927.1</v>
      </c>
      <c r="G381" s="1">
        <v>928.91</v>
      </c>
      <c r="H381" s="1" t="s">
        <v>4211</v>
      </c>
      <c r="I381" s="1" t="s">
        <v>4212</v>
      </c>
      <c r="J381" s="1" t="s">
        <v>4213</v>
      </c>
      <c r="K381" s="6">
        <f t="shared" si="2"/>
        <v>-0.005684255684</v>
      </c>
      <c r="L381" s="7">
        <v>7.210291824029199E-4</v>
      </c>
      <c r="M381" s="8">
        <f t="shared" si="1"/>
        <v>24869804</v>
      </c>
    </row>
    <row r="382">
      <c r="A382" s="9">
        <v>46065.0</v>
      </c>
      <c r="B382" s="1">
        <v>927.0</v>
      </c>
      <c r="C382" s="1">
        <v>928.6</v>
      </c>
      <c r="D382" s="1">
        <v>918.5</v>
      </c>
      <c r="E382" s="1">
        <v>927.1</v>
      </c>
      <c r="F382" s="1">
        <v>920.6</v>
      </c>
      <c r="G382" s="1">
        <v>922.37</v>
      </c>
      <c r="H382" s="1" t="s">
        <v>4225</v>
      </c>
      <c r="I382" s="1" t="s">
        <v>4227</v>
      </c>
      <c r="J382" s="1" t="s">
        <v>4228</v>
      </c>
      <c r="K382" s="6">
        <f t="shared" si="2"/>
        <v>-0.007011109913</v>
      </c>
      <c r="L382" s="7">
        <v>-0.005650414100412764</v>
      </c>
      <c r="M382" s="8">
        <f t="shared" si="1"/>
        <v>33872203</v>
      </c>
    </row>
    <row r="383">
      <c r="A383" s="9">
        <v>46066.0</v>
      </c>
      <c r="B383" s="1">
        <v>913.0</v>
      </c>
      <c r="C383" s="1">
        <v>928.2</v>
      </c>
      <c r="D383" s="1">
        <v>901.0</v>
      </c>
      <c r="E383" s="1">
        <v>920.6</v>
      </c>
      <c r="F383" s="1">
        <v>903.9</v>
      </c>
      <c r="G383" s="1">
        <v>912.26</v>
      </c>
      <c r="H383" s="1" t="s">
        <v>4237</v>
      </c>
      <c r="I383" s="1" t="s">
        <v>4238</v>
      </c>
      <c r="J383" s="1" t="s">
        <v>4239</v>
      </c>
      <c r="K383" s="6">
        <f t="shared" si="2"/>
        <v>-0.01814034325</v>
      </c>
      <c r="L383" s="7">
        <v>-0.013023497318577845</v>
      </c>
      <c r="M383" s="8">
        <f t="shared" si="1"/>
        <v>50188359</v>
      </c>
    </row>
    <row r="384">
      <c r="A384" s="9">
        <v>46069.0</v>
      </c>
      <c r="B384" s="1">
        <v>903.9</v>
      </c>
      <c r="C384" s="1">
        <v>929.5</v>
      </c>
      <c r="D384" s="1">
        <v>902.1</v>
      </c>
      <c r="E384" s="1">
        <v>903.9</v>
      </c>
      <c r="F384" s="1">
        <v>925.8</v>
      </c>
      <c r="G384" s="1">
        <v>922.18</v>
      </c>
      <c r="H384" s="1" t="s">
        <v>4248</v>
      </c>
      <c r="I384" s="1" t="s">
        <v>4250</v>
      </c>
      <c r="J384" s="1" t="s">
        <v>4251</v>
      </c>
      <c r="K384" s="6">
        <f t="shared" si="2"/>
        <v>0.02422834384</v>
      </c>
      <c r="L384" s="7">
        <v>0.008309417339651662</v>
      </c>
      <c r="M384" s="8">
        <f t="shared" si="1"/>
        <v>18806989</v>
      </c>
    </row>
    <row r="385">
      <c r="A385" s="9">
        <v>46070.0</v>
      </c>
      <c r="B385" s="1">
        <v>923.0</v>
      </c>
      <c r="C385" s="1">
        <v>928.1</v>
      </c>
      <c r="D385" s="1">
        <v>918.6</v>
      </c>
      <c r="E385" s="1">
        <v>925.8</v>
      </c>
      <c r="F385" s="1">
        <v>925.7</v>
      </c>
      <c r="G385" s="1">
        <v>925.32</v>
      </c>
      <c r="H385" s="1" t="s">
        <v>4255</v>
      </c>
      <c r="I385" s="1" t="s">
        <v>4258</v>
      </c>
      <c r="J385" s="1" t="s">
        <v>4261</v>
      </c>
      <c r="K385" s="6">
        <f t="shared" si="2"/>
        <v>-0.00010801469</v>
      </c>
      <c r="L385" s="7">
        <v>0.0016606477110123119</v>
      </c>
      <c r="M385" s="8">
        <f t="shared" si="1"/>
        <v>22599629</v>
      </c>
    </row>
    <row r="386">
      <c r="A386" s="9">
        <v>46071.0</v>
      </c>
      <c r="B386" s="1">
        <v>923.2</v>
      </c>
      <c r="C386" s="1">
        <v>925.5</v>
      </c>
      <c r="D386" s="1">
        <v>919.55</v>
      </c>
      <c r="E386" s="1">
        <v>925.7</v>
      </c>
      <c r="F386" s="1">
        <v>924.7</v>
      </c>
      <c r="G386" s="1">
        <v>922.79</v>
      </c>
      <c r="H386" s="1" t="s">
        <v>4267</v>
      </c>
      <c r="I386" s="1" t="s">
        <v>4269</v>
      </c>
      <c r="J386" s="1" t="s">
        <v>4271</v>
      </c>
      <c r="K386" s="6">
        <f t="shared" si="2"/>
        <v>-0.001080263584</v>
      </c>
      <c r="L386" s="7">
        <v>0.003652032621455724</v>
      </c>
      <c r="M386" s="8">
        <f t="shared" si="1"/>
        <v>12738702</v>
      </c>
    </row>
    <row r="387">
      <c r="A387" s="9">
        <v>46072.0</v>
      </c>
      <c r="B387" s="1">
        <v>929.0</v>
      </c>
      <c r="C387" s="1">
        <v>929.2</v>
      </c>
      <c r="D387" s="1">
        <v>912.45</v>
      </c>
      <c r="E387" s="1">
        <v>924.7</v>
      </c>
      <c r="F387" s="1">
        <v>915.6</v>
      </c>
      <c r="G387" s="1">
        <v>918.86</v>
      </c>
      <c r="H387" s="1" t="s">
        <v>4279</v>
      </c>
      <c r="I387" s="1" t="s">
        <v>4280</v>
      </c>
      <c r="J387" s="1" t="s">
        <v>4283</v>
      </c>
      <c r="K387" s="6">
        <f t="shared" si="2"/>
        <v>-0.009841029523</v>
      </c>
      <c r="L387" s="7">
        <v>-0.014136684308474071</v>
      </c>
      <c r="M387" s="8">
        <f t="shared" si="1"/>
        <v>21209234</v>
      </c>
    </row>
    <row r="388">
      <c r="A388" s="9">
        <v>46073.0</v>
      </c>
      <c r="B388" s="1">
        <v>911.0</v>
      </c>
      <c r="C388" s="1">
        <v>917.85</v>
      </c>
      <c r="D388" s="1">
        <v>908.4</v>
      </c>
      <c r="E388" s="1">
        <v>915.6</v>
      </c>
      <c r="F388" s="1">
        <v>911.85</v>
      </c>
      <c r="G388" s="1">
        <v>913.52</v>
      </c>
      <c r="H388" s="1" t="s">
        <v>4291</v>
      </c>
      <c r="I388" s="1" t="s">
        <v>4293</v>
      </c>
      <c r="J388" s="1" t="s">
        <v>4296</v>
      </c>
      <c r="K388" s="6">
        <f t="shared" si="2"/>
        <v>-0.004095674967</v>
      </c>
      <c r="L388" s="7">
        <v>0.004592535264110121</v>
      </c>
      <c r="M388" s="8">
        <f t="shared" si="1"/>
        <v>22654907</v>
      </c>
    </row>
    <row r="389">
      <c r="A389" s="9">
        <v>46076.0</v>
      </c>
      <c r="B389" s="1">
        <v>916.5</v>
      </c>
      <c r="C389" s="1">
        <v>925.65</v>
      </c>
      <c r="D389" s="1">
        <v>915.25</v>
      </c>
      <c r="E389" s="1">
        <v>911.85</v>
      </c>
      <c r="F389" s="1">
        <v>923.6</v>
      </c>
      <c r="G389" s="1">
        <v>921.17</v>
      </c>
      <c r="H389" s="1" t="s">
        <v>4306</v>
      </c>
      <c r="I389" s="1" t="s">
        <v>4308</v>
      </c>
      <c r="J389" s="1" t="s">
        <v>4310</v>
      </c>
      <c r="K389" s="6">
        <f t="shared" si="2"/>
        <v>0.01288589132</v>
      </c>
      <c r="L389" s="7">
        <v>0.005543334799824021</v>
      </c>
      <c r="M389" s="8">
        <f t="shared" si="1"/>
        <v>23270122</v>
      </c>
    </row>
    <row r="390">
      <c r="A390" s="9">
        <v>46077.0</v>
      </c>
      <c r="B390" s="1">
        <v>927.95</v>
      </c>
      <c r="C390" s="1">
        <v>927.95</v>
      </c>
      <c r="D390" s="1">
        <v>909.15</v>
      </c>
      <c r="E390" s="1">
        <v>923.6</v>
      </c>
      <c r="F390" s="1">
        <v>910.5</v>
      </c>
      <c r="G390" s="1">
        <v>915.33</v>
      </c>
      <c r="H390" s="1" t="s">
        <v>4318</v>
      </c>
      <c r="I390" s="1" t="s">
        <v>4320</v>
      </c>
      <c r="J390" s="1" t="s">
        <v>4322</v>
      </c>
      <c r="K390" s="6">
        <f t="shared" si="2"/>
        <v>-0.01418362928</v>
      </c>
      <c r="L390" s="7">
        <v>-0.011214171819702039</v>
      </c>
      <c r="M390" s="8">
        <f t="shared" si="1"/>
        <v>31313985</v>
      </c>
    </row>
    <row r="391">
      <c r="A391" s="9">
        <v>46078.0</v>
      </c>
      <c r="B391" s="1">
        <v>910.55</v>
      </c>
      <c r="C391" s="1">
        <v>916.0</v>
      </c>
      <c r="D391" s="1">
        <v>903.1</v>
      </c>
      <c r="E391" s="1">
        <v>910.5</v>
      </c>
      <c r="F391" s="1">
        <v>907.6</v>
      </c>
      <c r="G391" s="1">
        <v>909.0</v>
      </c>
      <c r="H391" s="1" t="s">
        <v>4331</v>
      </c>
      <c r="I391" s="1" t="s">
        <v>4333</v>
      </c>
      <c r="J391" s="1" t="s">
        <v>4336</v>
      </c>
      <c r="K391" s="6">
        <f t="shared" si="2"/>
        <v>-0.003185063152</v>
      </c>
      <c r="L391" s="7">
        <v>0.002275350889786036</v>
      </c>
      <c r="M391" s="8">
        <f t="shared" si="1"/>
        <v>27884303</v>
      </c>
    </row>
    <row r="392">
      <c r="A392" s="9">
        <v>46079.0</v>
      </c>
      <c r="B392" s="1">
        <v>912.0</v>
      </c>
      <c r="C392" s="1">
        <v>912.0</v>
      </c>
      <c r="D392" s="1">
        <v>895.0</v>
      </c>
      <c r="E392" s="1">
        <v>907.6</v>
      </c>
      <c r="F392" s="1">
        <v>898.6</v>
      </c>
      <c r="G392" s="1">
        <v>901.32</v>
      </c>
      <c r="H392" s="1" t="s">
        <v>4345</v>
      </c>
      <c r="I392" s="1" t="s">
        <v>4347</v>
      </c>
      <c r="J392" s="1" t="s">
        <v>4349</v>
      </c>
      <c r="K392" s="6">
        <f t="shared" si="2"/>
        <v>-0.009916262671</v>
      </c>
      <c r="L392" s="7">
        <v>5.51358775630306E-4</v>
      </c>
      <c r="M392" s="8">
        <f t="shared" si="1"/>
        <v>41165937</v>
      </c>
    </row>
    <row r="393">
      <c r="A393" s="9">
        <v>46080.0</v>
      </c>
      <c r="B393" s="1">
        <v>898.6</v>
      </c>
      <c r="C393" s="1">
        <v>898.95</v>
      </c>
      <c r="D393" s="1">
        <v>885.0</v>
      </c>
      <c r="E393" s="1">
        <v>898.6</v>
      </c>
      <c r="F393" s="1">
        <v>887.75</v>
      </c>
      <c r="G393" s="1">
        <v>889.69</v>
      </c>
      <c r="H393" s="1" t="s">
        <v>4357</v>
      </c>
      <c r="I393" s="1" t="s">
        <v>4359</v>
      </c>
      <c r="J393" s="1" t="s">
        <v>4361</v>
      </c>
      <c r="K393" s="6">
        <f t="shared" si="2"/>
        <v>-0.01207433786</v>
      </c>
      <c r="L393" s="7">
        <v>-0.012468353561560204</v>
      </c>
      <c r="M393" s="8">
        <f t="shared" si="1"/>
        <v>34620755</v>
      </c>
    </row>
    <row r="394">
      <c r="A394" s="3">
        <v>46083.0</v>
      </c>
      <c r="B394" s="1">
        <v>876.2</v>
      </c>
      <c r="C394" s="1">
        <v>887.75</v>
      </c>
      <c r="D394" s="1">
        <v>871.55</v>
      </c>
      <c r="E394" s="1">
        <v>887.75</v>
      </c>
      <c r="F394" s="1">
        <v>879.4</v>
      </c>
      <c r="G394" s="1">
        <v>879.38</v>
      </c>
      <c r="H394" s="1" t="s">
        <v>4372</v>
      </c>
      <c r="I394" s="1" t="s">
        <v>4374</v>
      </c>
      <c r="J394" s="1" t="s">
        <v>4377</v>
      </c>
      <c r="K394" s="6">
        <f t="shared" si="2"/>
        <v>-0.009405801183</v>
      </c>
      <c r="L394" s="7">
        <v>-0.012429181072059094</v>
      </c>
      <c r="M394" s="8">
        <f t="shared" si="1"/>
        <v>38378924</v>
      </c>
    </row>
    <row r="395">
      <c r="A395" s="3">
        <v>46085.0</v>
      </c>
      <c r="B395" s="1">
        <v>848.0</v>
      </c>
      <c r="C395" s="1">
        <v>879.3</v>
      </c>
      <c r="D395" s="1">
        <v>848.0</v>
      </c>
      <c r="E395" s="1">
        <v>879.4</v>
      </c>
      <c r="F395" s="1">
        <v>868.65</v>
      </c>
      <c r="G395" s="1">
        <v>866.0</v>
      </c>
      <c r="H395" s="1" t="s">
        <v>4386</v>
      </c>
      <c r="I395" s="1" t="s">
        <v>4387</v>
      </c>
      <c r="J395" s="1" t="s">
        <v>4388</v>
      </c>
      <c r="K395" s="6">
        <f t="shared" si="2"/>
        <v>-0.0122242438</v>
      </c>
      <c r="L395" s="7">
        <v>-0.015491218827541581</v>
      </c>
      <c r="M395" s="8">
        <f t="shared" si="1"/>
        <v>39862322</v>
      </c>
    </row>
    <row r="396">
      <c r="A396" s="3">
        <v>46086.0</v>
      </c>
      <c r="B396" s="1">
        <v>873.85</v>
      </c>
      <c r="C396" s="1">
        <v>881.4</v>
      </c>
      <c r="D396" s="1">
        <v>863.5</v>
      </c>
      <c r="E396" s="1">
        <v>868.65</v>
      </c>
      <c r="F396" s="1">
        <v>877.75</v>
      </c>
      <c r="G396" s="1">
        <v>873.44</v>
      </c>
      <c r="H396" s="1" t="s">
        <v>4398</v>
      </c>
      <c r="I396" s="1" t="s">
        <v>4399</v>
      </c>
      <c r="J396" s="1" t="s">
        <v>4400</v>
      </c>
      <c r="K396" s="6">
        <f t="shared" si="2"/>
        <v>0.01047602602</v>
      </c>
      <c r="L396" s="7">
        <v>0.011658258613998957</v>
      </c>
      <c r="M396" s="8">
        <f t="shared" si="1"/>
        <v>31324582</v>
      </c>
    </row>
    <row r="397">
      <c r="A397" s="3">
        <v>46087.0</v>
      </c>
      <c r="B397" s="1">
        <v>868.05</v>
      </c>
      <c r="C397" s="1">
        <v>871.7</v>
      </c>
      <c r="D397" s="1">
        <v>855.1</v>
      </c>
      <c r="E397" s="1">
        <v>877.75</v>
      </c>
      <c r="F397" s="1">
        <v>857.05</v>
      </c>
      <c r="G397" s="1">
        <v>862.5</v>
      </c>
      <c r="H397" s="1" t="s">
        <v>4410</v>
      </c>
      <c r="I397" s="1" t="s">
        <v>4411</v>
      </c>
      <c r="J397" s="1" t="s">
        <v>4413</v>
      </c>
      <c r="K397" s="6">
        <f t="shared" si="2"/>
        <v>-0.02358302478</v>
      </c>
      <c r="L397" s="7">
        <v>-0.01273727181325939</v>
      </c>
      <c r="M397" s="8">
        <f t="shared" si="1"/>
        <v>34439647</v>
      </c>
    </row>
    <row r="398">
      <c r="A398" s="3">
        <v>46090.0</v>
      </c>
      <c r="B398" s="1">
        <v>825.0</v>
      </c>
      <c r="C398" s="1">
        <v>842.45</v>
      </c>
      <c r="D398" s="1">
        <v>821.5</v>
      </c>
      <c r="E398" s="1">
        <v>857.05</v>
      </c>
      <c r="F398" s="1">
        <v>840.7</v>
      </c>
      <c r="G398" s="1">
        <v>833.63</v>
      </c>
      <c r="H398" s="1" t="s">
        <v>4424</v>
      </c>
      <c r="I398" s="1" t="s">
        <v>4426</v>
      </c>
      <c r="J398" s="1" t="s">
        <v>4427</v>
      </c>
      <c r="K398" s="6">
        <f t="shared" si="2"/>
        <v>-0.01907706668</v>
      </c>
      <c r="L398" s="7">
        <v>-0.017275755660938814</v>
      </c>
      <c r="M398" s="8">
        <f t="shared" si="1"/>
        <v>35592613</v>
      </c>
    </row>
    <row r="399">
      <c r="A399" s="9">
        <v>46091.0</v>
      </c>
      <c r="B399" s="1">
        <v>850.05</v>
      </c>
      <c r="C399" s="1">
        <v>856.8</v>
      </c>
      <c r="D399" s="1">
        <v>840.6</v>
      </c>
      <c r="E399" s="1">
        <v>840.7</v>
      </c>
      <c r="F399" s="1">
        <v>849.45</v>
      </c>
      <c r="G399" s="1">
        <v>849.47</v>
      </c>
      <c r="H399" s="1" t="s">
        <v>4435</v>
      </c>
      <c r="I399" s="1" t="s">
        <v>4439</v>
      </c>
      <c r="J399" s="1" t="s">
        <v>4443</v>
      </c>
      <c r="K399" s="6">
        <f t="shared" si="2"/>
        <v>0.01040799334</v>
      </c>
      <c r="L399" s="7">
        <v>0.009719889878704235</v>
      </c>
      <c r="M399" s="8">
        <f t="shared" si="1"/>
        <v>52866024</v>
      </c>
    </row>
    <row r="400">
      <c r="A400" s="9">
        <v>46092.0</v>
      </c>
      <c r="B400" s="1">
        <v>845.0</v>
      </c>
      <c r="C400" s="1">
        <v>848.85</v>
      </c>
      <c r="D400" s="1">
        <v>827.6</v>
      </c>
      <c r="E400" s="1">
        <v>849.45</v>
      </c>
      <c r="F400" s="1">
        <v>833.95</v>
      </c>
      <c r="G400" s="1">
        <v>834.32</v>
      </c>
      <c r="H400" s="1" t="s">
        <v>4452</v>
      </c>
      <c r="I400" s="1" t="s">
        <v>4454</v>
      </c>
      <c r="J400" s="1" t="s">
        <v>4456</v>
      </c>
      <c r="K400" s="6">
        <f t="shared" si="2"/>
        <v>-0.01824710107</v>
      </c>
      <c r="L400" s="7">
        <v>-0.016270567481122433</v>
      </c>
      <c r="M400" s="8">
        <f t="shared" si="1"/>
        <v>42261076</v>
      </c>
    </row>
    <row r="401">
      <c r="A401" s="9">
        <v>46093.0</v>
      </c>
      <c r="B401" s="1">
        <v>820.1</v>
      </c>
      <c r="C401" s="1">
        <v>836.4</v>
      </c>
      <c r="D401" s="1">
        <v>820.1</v>
      </c>
      <c r="E401" s="1">
        <v>833.95</v>
      </c>
      <c r="F401" s="1">
        <v>832.75</v>
      </c>
      <c r="G401" s="1">
        <v>831.86</v>
      </c>
      <c r="H401" s="1" t="s">
        <v>4465</v>
      </c>
      <c r="I401" s="1" t="s">
        <v>4467</v>
      </c>
      <c r="J401" s="1" t="s">
        <v>4469</v>
      </c>
      <c r="K401" s="6">
        <f t="shared" si="2"/>
        <v>-0.001438935188</v>
      </c>
      <c r="L401" s="7">
        <v>-0.00954042950787377</v>
      </c>
      <c r="M401" s="8">
        <f t="shared" si="1"/>
        <v>46107561</v>
      </c>
    </row>
    <row r="402">
      <c r="A402" s="9">
        <v>46094.0</v>
      </c>
      <c r="B402" s="1">
        <v>820.0</v>
      </c>
      <c r="C402" s="1">
        <v>823.8</v>
      </c>
      <c r="D402" s="1">
        <v>812.0</v>
      </c>
      <c r="E402" s="1">
        <v>832.75</v>
      </c>
      <c r="F402" s="1">
        <v>817.0</v>
      </c>
      <c r="G402" s="1">
        <v>817.73</v>
      </c>
      <c r="H402" s="1" t="s">
        <v>4477</v>
      </c>
      <c r="I402" s="1" t="s">
        <v>4480</v>
      </c>
      <c r="J402" s="1" t="s">
        <v>4481</v>
      </c>
      <c r="K402" s="6">
        <f t="shared" si="2"/>
        <v>-0.01891323927</v>
      </c>
      <c r="L402" s="7">
        <v>-0.02064583540440341</v>
      </c>
      <c r="M402" s="8">
        <f t="shared" si="1"/>
        <v>41700464</v>
      </c>
    </row>
    <row r="403">
      <c r="A403" s="9">
        <v>46097.0</v>
      </c>
      <c r="B403" s="1">
        <v>817.0</v>
      </c>
      <c r="C403" s="1">
        <v>844.5</v>
      </c>
      <c r="D403" s="1">
        <v>815.65</v>
      </c>
      <c r="E403" s="1">
        <v>817.0</v>
      </c>
      <c r="F403" s="1">
        <v>840.6</v>
      </c>
      <c r="G403" s="1">
        <v>832.0</v>
      </c>
      <c r="H403" s="1" t="s">
        <v>4486</v>
      </c>
      <c r="I403" s="1" t="s">
        <v>4488</v>
      </c>
      <c r="J403" s="1" t="s">
        <v>4490</v>
      </c>
      <c r="K403" s="6">
        <f t="shared" si="2"/>
        <v>0.02888616891</v>
      </c>
      <c r="L403" s="7">
        <v>0.01113122054675591</v>
      </c>
      <c r="M403" s="8">
        <f t="shared" si="1"/>
        <v>52182605</v>
      </c>
    </row>
    <row r="404">
      <c r="A404" s="9">
        <v>46098.0</v>
      </c>
      <c r="B404" s="1">
        <v>847.7</v>
      </c>
      <c r="C404" s="1">
        <v>848.9</v>
      </c>
      <c r="D404" s="1">
        <v>835.1</v>
      </c>
      <c r="E404" s="1">
        <v>840.6</v>
      </c>
      <c r="F404" s="1">
        <v>845.35</v>
      </c>
      <c r="G404" s="1">
        <v>843.42</v>
      </c>
      <c r="H404" s="1" t="s">
        <v>4497</v>
      </c>
      <c r="I404" s="1" t="s">
        <v>4499</v>
      </c>
      <c r="J404" s="1" t="s">
        <v>4501</v>
      </c>
      <c r="K404" s="6">
        <f t="shared" si="2"/>
        <v>0.005650725672</v>
      </c>
      <c r="L404" s="7">
        <v>0.00736261576842906</v>
      </c>
      <c r="M404" s="8">
        <f t="shared" si="1"/>
        <v>38826979</v>
      </c>
    </row>
    <row r="405">
      <c r="A405" s="9">
        <v>46099.0</v>
      </c>
      <c r="B405" s="1">
        <v>845.35</v>
      </c>
      <c r="C405" s="1">
        <v>846.8</v>
      </c>
      <c r="D405" s="1">
        <v>831.6</v>
      </c>
      <c r="E405" s="1">
        <v>845.35</v>
      </c>
      <c r="F405" s="1">
        <v>843.05</v>
      </c>
      <c r="G405" s="1">
        <v>840.38</v>
      </c>
      <c r="H405" s="1" t="s">
        <v>4509</v>
      </c>
      <c r="I405" s="1" t="s">
        <v>4510</v>
      </c>
      <c r="J405" s="1" t="s">
        <v>4512</v>
      </c>
      <c r="K405" s="6">
        <f t="shared" si="2"/>
        <v>-0.002720766546</v>
      </c>
      <c r="L405" s="7">
        <v>0.00833928794821278</v>
      </c>
      <c r="M405" s="8">
        <f t="shared" si="1"/>
        <v>23507063</v>
      </c>
    </row>
    <row r="406">
      <c r="A406" s="9">
        <v>46100.0</v>
      </c>
      <c r="B406" s="1">
        <v>770.0</v>
      </c>
      <c r="C406" s="1">
        <v>815.65</v>
      </c>
      <c r="D406" s="1">
        <v>770.0</v>
      </c>
      <c r="E406" s="1">
        <v>843.05</v>
      </c>
      <c r="F406" s="1">
        <v>798.2</v>
      </c>
      <c r="G406" s="1">
        <v>801.78</v>
      </c>
      <c r="H406" s="1" t="s">
        <v>4523</v>
      </c>
      <c r="I406" s="1" t="s">
        <v>4525</v>
      </c>
      <c r="J406" s="1" t="s">
        <v>4527</v>
      </c>
      <c r="K406" s="6">
        <f t="shared" si="2"/>
        <v>-0.0531996916</v>
      </c>
      <c r="L406" s="7">
        <v>-0.032620763905828035</v>
      </c>
      <c r="M406" s="8">
        <f t="shared" si="1"/>
        <v>171637393</v>
      </c>
    </row>
    <row r="407">
      <c r="A407" s="9">
        <v>46101.0</v>
      </c>
      <c r="B407" s="1">
        <v>785.0</v>
      </c>
      <c r="C407" s="1">
        <v>793.75</v>
      </c>
      <c r="D407" s="1">
        <v>778.2</v>
      </c>
      <c r="E407" s="1">
        <v>798.2</v>
      </c>
      <c r="F407" s="1">
        <v>780.45</v>
      </c>
      <c r="G407" s="1">
        <v>784.12</v>
      </c>
      <c r="H407" s="1" t="s">
        <v>4536</v>
      </c>
      <c r="I407" s="1" t="s">
        <v>4537</v>
      </c>
      <c r="J407" s="1" t="s">
        <v>4538</v>
      </c>
      <c r="K407" s="6">
        <f t="shared" si="2"/>
        <v>-0.02223753445</v>
      </c>
      <c r="L407" s="7">
        <v>0.004884326030392748</v>
      </c>
      <c r="M407" s="8">
        <f t="shared" si="1"/>
        <v>103129469</v>
      </c>
    </row>
    <row r="408">
      <c r="A408" s="9">
        <v>46104.0</v>
      </c>
      <c r="B408" s="1">
        <v>763.15</v>
      </c>
      <c r="C408" s="1">
        <v>768.7</v>
      </c>
      <c r="D408" s="1">
        <v>741.05</v>
      </c>
      <c r="E408" s="1">
        <v>780.45</v>
      </c>
      <c r="F408" s="1">
        <v>744.15</v>
      </c>
      <c r="G408" s="1">
        <v>752.37</v>
      </c>
      <c r="H408" s="1" t="s">
        <v>4545</v>
      </c>
      <c r="I408" s="1" t="s">
        <v>4546</v>
      </c>
      <c r="J408" s="1" t="s">
        <v>4553</v>
      </c>
      <c r="K408" s="6">
        <f t="shared" si="2"/>
        <v>-0.04651162791</v>
      </c>
      <c r="L408" s="7">
        <v>-0.02603776850029196</v>
      </c>
      <c r="M408" s="8">
        <f t="shared" si="1"/>
        <v>72341738</v>
      </c>
    </row>
    <row r="409">
      <c r="A409" s="9">
        <v>46105.0</v>
      </c>
      <c r="B409" s="1">
        <v>755.0</v>
      </c>
      <c r="C409" s="1">
        <v>772.75</v>
      </c>
      <c r="D409" s="1">
        <v>747.7</v>
      </c>
      <c r="E409" s="1">
        <v>744.15</v>
      </c>
      <c r="F409" s="1">
        <v>764.9</v>
      </c>
      <c r="G409" s="1">
        <v>761.63</v>
      </c>
      <c r="H409" s="1" t="s">
        <v>4562</v>
      </c>
      <c r="I409" s="1" t="s">
        <v>4564</v>
      </c>
      <c r="J409" s="1" t="s">
        <v>4565</v>
      </c>
      <c r="K409" s="6">
        <f t="shared" si="2"/>
        <v>0.02788416314</v>
      </c>
      <c r="L409" s="7">
        <v>0.017756683464629885</v>
      </c>
      <c r="M409" s="8">
        <f t="shared" si="1"/>
        <v>61269986</v>
      </c>
    </row>
    <row r="410">
      <c r="A410" s="9">
        <v>46106.0</v>
      </c>
      <c r="B410" s="1">
        <v>768.2</v>
      </c>
      <c r="C410" s="1">
        <v>794.8</v>
      </c>
      <c r="D410" s="1">
        <v>768.2</v>
      </c>
      <c r="E410" s="1">
        <v>764.9</v>
      </c>
      <c r="F410" s="1">
        <v>782.3</v>
      </c>
      <c r="G410" s="1">
        <v>785.22</v>
      </c>
      <c r="H410" s="1" t="s">
        <v>4573</v>
      </c>
      <c r="I410" s="1" t="s">
        <v>4577</v>
      </c>
      <c r="J410" s="1" t="s">
        <v>4580</v>
      </c>
      <c r="K410" s="6">
        <f t="shared" si="2"/>
        <v>0.02274807164</v>
      </c>
      <c r="L410" s="7">
        <v>0.017198111066496713</v>
      </c>
      <c r="M410" s="8">
        <f t="shared" si="1"/>
        <v>59230640</v>
      </c>
    </row>
    <row r="411">
      <c r="A411" s="9">
        <v>46108.0</v>
      </c>
      <c r="B411" s="1">
        <v>773.2</v>
      </c>
      <c r="C411" s="1">
        <v>774.9</v>
      </c>
      <c r="D411" s="1">
        <v>754.55</v>
      </c>
      <c r="E411" s="1">
        <v>782.3</v>
      </c>
      <c r="F411" s="1">
        <v>756.2</v>
      </c>
      <c r="G411" s="1">
        <v>761.3</v>
      </c>
      <c r="H411" s="1" t="s">
        <v>4588</v>
      </c>
      <c r="I411" s="1" t="s">
        <v>4590</v>
      </c>
      <c r="J411" s="1" t="s">
        <v>4592</v>
      </c>
      <c r="K411" s="6">
        <f t="shared" si="2"/>
        <v>-0.03336315991</v>
      </c>
      <c r="L411" s="7">
        <v>-0.020889067189554914</v>
      </c>
      <c r="M411" s="8">
        <f t="shared" si="1"/>
        <v>65485199</v>
      </c>
    </row>
    <row r="412">
      <c r="A412" s="9">
        <v>46111.0</v>
      </c>
      <c r="B412" s="1">
        <v>745.2</v>
      </c>
      <c r="C412" s="1">
        <v>751.0</v>
      </c>
      <c r="D412" s="1">
        <v>726.65</v>
      </c>
      <c r="E412" s="1">
        <v>756.2</v>
      </c>
      <c r="F412" s="1">
        <v>731.55</v>
      </c>
      <c r="G412" s="1">
        <v>737.88</v>
      </c>
      <c r="H412" s="1" t="s">
        <v>4603</v>
      </c>
      <c r="I412" s="1" t="s">
        <v>4606</v>
      </c>
      <c r="J412" s="1" t="s">
        <v>4608</v>
      </c>
      <c r="K412" s="6">
        <f t="shared" si="2"/>
        <v>-0.03259719651</v>
      </c>
      <c r="L412" s="7">
        <v>-0.02139388946344358</v>
      </c>
      <c r="M412" s="8">
        <f t="shared" si="1"/>
        <v>103500135</v>
      </c>
    </row>
    <row r="413">
      <c r="A413" s="3">
        <v>46113.0</v>
      </c>
      <c r="B413" s="1">
        <v>743.0</v>
      </c>
      <c r="C413" s="1">
        <v>755.9</v>
      </c>
      <c r="D413" s="1">
        <v>739.1</v>
      </c>
      <c r="E413" s="1">
        <v>731.55</v>
      </c>
      <c r="F413" s="1">
        <v>742.25</v>
      </c>
      <c r="G413" s="1">
        <v>745.52</v>
      </c>
      <c r="H413" s="1" t="s">
        <v>4615</v>
      </c>
      <c r="I413" s="1" t="s">
        <v>4618</v>
      </c>
      <c r="J413" s="1" t="s">
        <v>4621</v>
      </c>
      <c r="K413" s="6">
        <f t="shared" si="2"/>
        <v>0.01462647803</v>
      </c>
      <c r="L413" s="7">
        <v>0.015583438566323651</v>
      </c>
      <c r="M413" s="8">
        <f t="shared" si="1"/>
        <v>78862761</v>
      </c>
    </row>
    <row r="414">
      <c r="A414" s="3">
        <v>46114.0</v>
      </c>
      <c r="B414" s="1">
        <v>730.0</v>
      </c>
      <c r="C414" s="1">
        <v>755.0</v>
      </c>
      <c r="D414" s="1">
        <v>726.65</v>
      </c>
      <c r="E414" s="1">
        <v>742.25</v>
      </c>
      <c r="F414" s="1">
        <v>750.9</v>
      </c>
      <c r="G414" s="1">
        <v>740.56</v>
      </c>
      <c r="H414" s="1" t="s">
        <v>4627</v>
      </c>
      <c r="I414" s="1" t="s">
        <v>4632</v>
      </c>
      <c r="J414" s="1" t="s">
        <v>4636</v>
      </c>
      <c r="K414" s="6">
        <f t="shared" si="2"/>
        <v>0.01165375547</v>
      </c>
      <c r="L414" s="7">
        <v>0.001485929962873669</v>
      </c>
      <c r="M414" s="8">
        <f t="shared" si="1"/>
        <v>49310300</v>
      </c>
    </row>
    <row r="415">
      <c r="A415" s="3">
        <v>46118.0</v>
      </c>
      <c r="B415" s="1">
        <v>759.0</v>
      </c>
      <c r="C415" s="1">
        <v>772.75</v>
      </c>
      <c r="D415" s="1">
        <v>745.0</v>
      </c>
      <c r="E415" s="1">
        <v>750.9</v>
      </c>
      <c r="F415" s="1">
        <v>771.0</v>
      </c>
      <c r="G415" s="1">
        <v>759.21</v>
      </c>
      <c r="H415" s="1" t="s">
        <v>4642</v>
      </c>
      <c r="I415" s="1" t="s">
        <v>4644</v>
      </c>
      <c r="J415" s="1" t="s">
        <v>4646</v>
      </c>
      <c r="K415" s="6">
        <f t="shared" si="2"/>
        <v>0.02676787855</v>
      </c>
      <c r="L415" s="7">
        <v>0.011233605276250334</v>
      </c>
      <c r="M415" s="8">
        <f t="shared" si="1"/>
        <v>42976659</v>
      </c>
    </row>
    <row r="416">
      <c r="A416" s="3">
        <v>46119.0</v>
      </c>
      <c r="B416" s="1">
        <v>766.0</v>
      </c>
      <c r="C416" s="1">
        <v>774.0</v>
      </c>
      <c r="D416" s="1">
        <v>761.0</v>
      </c>
      <c r="E416" s="1">
        <v>771.0</v>
      </c>
      <c r="F416" s="1">
        <v>772.0</v>
      </c>
      <c r="G416" s="1">
        <v>768.18</v>
      </c>
      <c r="H416" s="1" t="s">
        <v>4657</v>
      </c>
      <c r="I416" s="1" t="s">
        <v>4659</v>
      </c>
      <c r="J416" s="1" t="s">
        <v>4663</v>
      </c>
      <c r="K416" s="6">
        <f t="shared" si="2"/>
        <v>0.001297016861</v>
      </c>
      <c r="L416" s="7">
        <v>0.0067658615697757316</v>
      </c>
      <c r="M416" s="8">
        <f t="shared" si="1"/>
        <v>51309793</v>
      </c>
    </row>
    <row r="417">
      <c r="A417" s="3">
        <v>46120.0</v>
      </c>
      <c r="B417" s="1">
        <v>800.0</v>
      </c>
      <c r="C417" s="1">
        <v>817.8</v>
      </c>
      <c r="D417" s="1">
        <v>796.0</v>
      </c>
      <c r="E417" s="1">
        <v>772.0</v>
      </c>
      <c r="F417" s="1">
        <v>816.1</v>
      </c>
      <c r="G417" s="1">
        <v>809.87</v>
      </c>
      <c r="H417" s="1" t="s">
        <v>4669</v>
      </c>
      <c r="I417" s="1" t="s">
        <v>4671</v>
      </c>
      <c r="J417" s="1" t="s">
        <v>4672</v>
      </c>
      <c r="K417" s="6">
        <f t="shared" si="2"/>
        <v>0.05712435233</v>
      </c>
      <c r="L417" s="7">
        <v>0.037783827380192876</v>
      </c>
      <c r="M417" s="8">
        <f t="shared" si="1"/>
        <v>70269512</v>
      </c>
    </row>
    <row r="418">
      <c r="A418" s="3">
        <v>46121.0</v>
      </c>
      <c r="B418" s="1">
        <v>815.0</v>
      </c>
      <c r="C418" s="1">
        <v>819.0</v>
      </c>
      <c r="D418" s="1">
        <v>793.1</v>
      </c>
      <c r="E418" s="1">
        <v>816.1</v>
      </c>
      <c r="F418" s="1">
        <v>797.7</v>
      </c>
      <c r="G418" s="1">
        <v>800.68</v>
      </c>
      <c r="H418" s="1" t="s">
        <v>4679</v>
      </c>
      <c r="I418" s="1" t="s">
        <v>4680</v>
      </c>
      <c r="J418" s="1" t="s">
        <v>4683</v>
      </c>
      <c r="K418" s="6">
        <f t="shared" si="2"/>
        <v>-0.02254625659</v>
      </c>
      <c r="L418" s="7">
        <v>-0.009261439283920933</v>
      </c>
      <c r="M418" s="8">
        <f t="shared" si="1"/>
        <v>48879392</v>
      </c>
    </row>
    <row r="419">
      <c r="A419" s="9">
        <v>46122.0</v>
      </c>
      <c r="B419" s="1">
        <v>804.0</v>
      </c>
      <c r="C419" s="1">
        <v>812.25</v>
      </c>
      <c r="D419" s="1">
        <v>801.0</v>
      </c>
      <c r="E419" s="1">
        <v>797.7</v>
      </c>
      <c r="F419" s="1">
        <v>810.3</v>
      </c>
      <c r="G419" s="1">
        <v>809.15</v>
      </c>
      <c r="H419" s="1" t="s">
        <v>4694</v>
      </c>
      <c r="I419" s="1" t="s">
        <v>4695</v>
      </c>
      <c r="J419" s="1" t="s">
        <v>4696</v>
      </c>
      <c r="K419" s="6">
        <f t="shared" si="2"/>
        <v>0.01579541181</v>
      </c>
      <c r="L419" s="7">
        <v>0.01158775357411746</v>
      </c>
      <c r="M419" s="8">
        <f t="shared" si="1"/>
        <v>38156026</v>
      </c>
    </row>
    <row r="420">
      <c r="A420" s="9">
        <v>46125.0</v>
      </c>
      <c r="B420" s="1">
        <v>791.5</v>
      </c>
      <c r="C420" s="1">
        <v>798.5</v>
      </c>
      <c r="D420" s="1">
        <v>787.35</v>
      </c>
      <c r="E420" s="1">
        <v>810.3</v>
      </c>
      <c r="F420" s="1">
        <v>794.7</v>
      </c>
      <c r="G420" s="1">
        <v>792.47</v>
      </c>
      <c r="H420" s="1" t="s">
        <v>4708</v>
      </c>
      <c r="I420" s="1" t="s">
        <v>4710</v>
      </c>
      <c r="J420" s="1" t="s">
        <v>4712</v>
      </c>
      <c r="K420" s="6">
        <f t="shared" si="2"/>
        <v>-0.01925212884</v>
      </c>
      <c r="L420" s="7">
        <v>-0.008646353937115794</v>
      </c>
      <c r="M420" s="8">
        <f t="shared" si="1"/>
        <v>47549328</v>
      </c>
    </row>
    <row r="421">
      <c r="A421" s="9">
        <v>46127.0</v>
      </c>
      <c r="B421" s="1">
        <v>804.95</v>
      </c>
      <c r="C421" s="1">
        <v>814.8</v>
      </c>
      <c r="D421" s="1">
        <v>804.0</v>
      </c>
      <c r="E421" s="1">
        <v>794.7</v>
      </c>
      <c r="F421" s="1">
        <v>809.9</v>
      </c>
      <c r="G421" s="1">
        <v>809.73</v>
      </c>
      <c r="H421" s="1" t="s">
        <v>4720</v>
      </c>
      <c r="I421" s="1" t="s">
        <v>4721</v>
      </c>
      <c r="J421" s="1" t="s">
        <v>4722</v>
      </c>
      <c r="K421" s="6">
        <f t="shared" si="2"/>
        <v>0.01912671448</v>
      </c>
      <c r="L421" s="7">
        <v>0.01630062094607763</v>
      </c>
      <c r="M421" s="8">
        <f t="shared" si="1"/>
        <v>39769515</v>
      </c>
    </row>
    <row r="422">
      <c r="A422" s="9">
        <v>46128.0</v>
      </c>
      <c r="B422" s="1">
        <v>818.0</v>
      </c>
      <c r="C422" s="1">
        <v>820.05</v>
      </c>
      <c r="D422" s="1">
        <v>792.2</v>
      </c>
      <c r="E422" s="1">
        <v>809.9</v>
      </c>
      <c r="F422" s="1">
        <v>795.45</v>
      </c>
      <c r="G422" s="1">
        <v>802.59</v>
      </c>
      <c r="H422" s="1" t="s">
        <v>4743</v>
      </c>
      <c r="I422" s="1" t="s">
        <v>4745</v>
      </c>
      <c r="J422" s="1" t="s">
        <v>4746</v>
      </c>
      <c r="K422" s="6">
        <f t="shared" si="2"/>
        <v>-0.01784170885</v>
      </c>
      <c r="L422" s="7">
        <v>-0.0014258417831482123</v>
      </c>
      <c r="M422" s="8">
        <f t="shared" si="1"/>
        <v>62861293</v>
      </c>
    </row>
    <row r="423">
      <c r="A423" s="9">
        <v>46129.0</v>
      </c>
      <c r="B423" s="1">
        <v>790.1</v>
      </c>
      <c r="C423" s="1">
        <v>803.95</v>
      </c>
      <c r="D423" s="1">
        <v>788.2</v>
      </c>
      <c r="E423" s="1">
        <v>795.45</v>
      </c>
      <c r="F423" s="1">
        <v>799.9</v>
      </c>
      <c r="G423" s="1">
        <v>799.4</v>
      </c>
      <c r="H423" s="1" t="s">
        <v>4756</v>
      </c>
      <c r="I423" s="1" t="s">
        <v>4757</v>
      </c>
      <c r="J423" s="1" t="s">
        <v>4758</v>
      </c>
      <c r="K423" s="6">
        <f t="shared" si="2"/>
        <v>0.005594317682</v>
      </c>
      <c r="L423" s="7">
        <v>0.006480209118993223</v>
      </c>
      <c r="M423" s="8">
        <f t="shared" si="1"/>
        <v>37282544</v>
      </c>
    </row>
    <row r="424">
      <c r="A424" s="9">
        <v>46132.0</v>
      </c>
      <c r="B424" s="1">
        <v>797.1</v>
      </c>
      <c r="C424" s="1">
        <v>809.95</v>
      </c>
      <c r="D424" s="1">
        <v>790.0</v>
      </c>
      <c r="E424" s="1">
        <v>799.9</v>
      </c>
      <c r="F424" s="1">
        <v>795.45</v>
      </c>
      <c r="G424" s="1">
        <v>796.95</v>
      </c>
      <c r="H424" s="1" t="s">
        <v>4767</v>
      </c>
      <c r="I424" s="1" t="s">
        <v>4768</v>
      </c>
      <c r="J424" s="1" t="s">
        <v>4769</v>
      </c>
      <c r="K424" s="6">
        <f t="shared" si="2"/>
        <v>-0.005563195399</v>
      </c>
      <c r="L424" s="7">
        <v>4.639980618841718E-4</v>
      </c>
      <c r="M424" s="8">
        <f t="shared" si="1"/>
        <v>52148044</v>
      </c>
    </row>
    <row r="425">
      <c r="A425" s="9">
        <v>46133.0</v>
      </c>
      <c r="B425" s="1">
        <v>795.2</v>
      </c>
      <c r="C425" s="1">
        <v>814.9</v>
      </c>
      <c r="D425" s="1">
        <v>795.2</v>
      </c>
      <c r="E425" s="1">
        <v>795.45</v>
      </c>
      <c r="F425" s="1">
        <v>811.75</v>
      </c>
      <c r="G425" s="1">
        <v>808.97</v>
      </c>
      <c r="H425" s="1" t="s">
        <v>4779</v>
      </c>
      <c r="I425" s="1" t="s">
        <v>4780</v>
      </c>
      <c r="J425" s="1" t="s">
        <v>4781</v>
      </c>
      <c r="K425" s="6">
        <f t="shared" si="2"/>
        <v>0.02049154567</v>
      </c>
      <c r="L425" s="7">
        <v>0.00869079842477996</v>
      </c>
      <c r="M425" s="8">
        <f t="shared" si="1"/>
        <v>49135752</v>
      </c>
    </row>
    <row r="426">
      <c r="A426" s="9">
        <v>46134.0</v>
      </c>
      <c r="B426" s="1">
        <v>810.0</v>
      </c>
      <c r="C426" s="1">
        <v>813.05</v>
      </c>
      <c r="D426" s="1">
        <v>798.0</v>
      </c>
      <c r="E426" s="1">
        <v>811.75</v>
      </c>
      <c r="F426" s="1">
        <v>799.9</v>
      </c>
      <c r="G426" s="1">
        <v>804.11</v>
      </c>
      <c r="H426" s="1" t="s">
        <v>4790</v>
      </c>
      <c r="I426" s="1" t="s">
        <v>4792</v>
      </c>
      <c r="J426" s="1" t="s">
        <v>4793</v>
      </c>
      <c r="K426" s="6">
        <f t="shared" si="2"/>
        <v>-0.01459809055</v>
      </c>
      <c r="L426" s="7">
        <v>-0.008076788489864343</v>
      </c>
      <c r="M426" s="8">
        <f t="shared" si="1"/>
        <v>23876412</v>
      </c>
    </row>
    <row r="427">
      <c r="A427" s="9">
        <v>46135.0</v>
      </c>
      <c r="B427" s="1">
        <v>792.0</v>
      </c>
      <c r="C427" s="1">
        <v>796.65</v>
      </c>
      <c r="D427" s="1">
        <v>782.5</v>
      </c>
      <c r="E427" s="1">
        <v>799.9</v>
      </c>
      <c r="F427" s="1">
        <v>784.35</v>
      </c>
      <c r="G427" s="1">
        <v>788.13</v>
      </c>
      <c r="H427" s="1" t="s">
        <v>4801</v>
      </c>
      <c r="I427" s="1" t="s">
        <v>4803</v>
      </c>
      <c r="J427" s="1" t="s">
        <v>4806</v>
      </c>
      <c r="K427" s="6">
        <f t="shared" si="2"/>
        <v>-0.01943992999</v>
      </c>
      <c r="L427" s="7">
        <v>-0.008411237955377954</v>
      </c>
      <c r="M427" s="8">
        <f t="shared" si="1"/>
        <v>37677616</v>
      </c>
    </row>
    <row r="428">
      <c r="A428" s="9">
        <v>46136.0</v>
      </c>
      <c r="B428" s="1">
        <v>777.3</v>
      </c>
      <c r="C428" s="1">
        <v>787.6</v>
      </c>
      <c r="D428" s="1">
        <v>777.0</v>
      </c>
      <c r="E428" s="1">
        <v>784.35</v>
      </c>
      <c r="F428" s="1">
        <v>784.85</v>
      </c>
      <c r="G428" s="1">
        <v>782.99</v>
      </c>
      <c r="H428" s="1" t="s">
        <v>4812</v>
      </c>
      <c r="I428" s="1" t="s">
        <v>4814</v>
      </c>
      <c r="J428" s="1" t="s">
        <v>4816</v>
      </c>
      <c r="K428" s="6">
        <f t="shared" si="2"/>
        <v>0.000637470517</v>
      </c>
      <c r="L428" s="7">
        <v>-0.011380442269386715</v>
      </c>
      <c r="M428" s="8">
        <f t="shared" si="1"/>
        <v>27720358</v>
      </c>
    </row>
    <row r="429">
      <c r="A429" s="9">
        <v>46139.0</v>
      </c>
      <c r="B429" s="1">
        <v>787.5</v>
      </c>
      <c r="C429" s="1">
        <v>793.0</v>
      </c>
      <c r="D429" s="1">
        <v>785.0</v>
      </c>
      <c r="E429" s="1">
        <v>784.85</v>
      </c>
      <c r="F429" s="1">
        <v>789.8</v>
      </c>
      <c r="G429" s="1">
        <v>789.16</v>
      </c>
      <c r="H429" s="1" t="s">
        <v>4823</v>
      </c>
      <c r="I429" s="1" t="s">
        <v>4825</v>
      </c>
      <c r="J429" s="1" t="s">
        <v>4827</v>
      </c>
      <c r="K429" s="6">
        <f t="shared" si="2"/>
        <v>0.006306937631</v>
      </c>
      <c r="L429" s="7">
        <v>0.008149234557775876</v>
      </c>
      <c r="M429" s="8">
        <f t="shared" si="1"/>
        <v>18115375</v>
      </c>
    </row>
    <row r="430">
      <c r="A430" s="9">
        <v>46140.0</v>
      </c>
      <c r="B430" s="1">
        <v>785.0</v>
      </c>
      <c r="C430" s="1">
        <v>794.5</v>
      </c>
      <c r="D430" s="1">
        <v>778.3</v>
      </c>
      <c r="E430" s="1">
        <v>789.8</v>
      </c>
      <c r="F430" s="1">
        <v>782.55</v>
      </c>
      <c r="G430" s="1">
        <v>786.39</v>
      </c>
      <c r="H430" s="1" t="s">
        <v>4837</v>
      </c>
      <c r="I430" s="1" t="s">
        <v>4839</v>
      </c>
      <c r="J430" s="1" t="s">
        <v>4840</v>
      </c>
      <c r="K430" s="6">
        <f t="shared" si="2"/>
        <v>-0.009179539124</v>
      </c>
      <c r="L430" s="7">
        <v>-0.004026115794410755</v>
      </c>
      <c r="M430" s="8">
        <f t="shared" si="1"/>
        <v>35366803</v>
      </c>
    </row>
    <row r="431">
      <c r="A431" s="9">
        <v>46141.0</v>
      </c>
      <c r="B431" s="1">
        <v>785.5</v>
      </c>
      <c r="C431" s="1">
        <v>790.0</v>
      </c>
      <c r="D431" s="1">
        <v>777.35</v>
      </c>
      <c r="E431" s="1">
        <v>782.55</v>
      </c>
      <c r="F431" s="1">
        <v>779.0</v>
      </c>
      <c r="G431" s="1">
        <v>783.9</v>
      </c>
      <c r="H431" s="1" t="s">
        <v>4850</v>
      </c>
      <c r="I431" s="1" t="s">
        <v>4851</v>
      </c>
      <c r="J431" s="1" t="s">
        <v>4852</v>
      </c>
      <c r="K431" s="6">
        <f t="shared" si="2"/>
        <v>-0.004536451345</v>
      </c>
      <c r="L431" s="7">
        <v>0.007582608550698697</v>
      </c>
      <c r="M431" s="8">
        <f t="shared" si="1"/>
        <v>25799963</v>
      </c>
    </row>
    <row r="432">
      <c r="A432" s="9">
        <v>46142.0</v>
      </c>
      <c r="B432" s="1">
        <v>770.0</v>
      </c>
      <c r="C432" s="1">
        <v>778.8</v>
      </c>
      <c r="D432" s="1">
        <v>762.25</v>
      </c>
      <c r="E432" s="1">
        <v>779.0</v>
      </c>
      <c r="F432" s="1">
        <v>771.7</v>
      </c>
      <c r="G432" s="1">
        <v>770.36</v>
      </c>
      <c r="H432" s="1" t="s">
        <v>4862</v>
      </c>
      <c r="I432" s="1" t="s">
        <v>4864</v>
      </c>
      <c r="J432" s="1" t="s">
        <v>4866</v>
      </c>
      <c r="K432" s="6">
        <f t="shared" si="2"/>
        <v>-0.009370988447</v>
      </c>
      <c r="L432" s="7">
        <v>-0.00744902833815537</v>
      </c>
      <c r="M432" s="8">
        <f t="shared" si="1"/>
        <v>47998755</v>
      </c>
    </row>
    <row r="433">
      <c r="A433" s="12">
        <v>46146.0</v>
      </c>
      <c r="B433" s="1">
        <v>772.6</v>
      </c>
      <c r="C433" s="1">
        <v>786.6</v>
      </c>
      <c r="D433" s="1">
        <v>772.6</v>
      </c>
      <c r="E433" s="1">
        <v>771.7</v>
      </c>
      <c r="F433" s="1">
        <v>779.4</v>
      </c>
      <c r="G433" s="1">
        <v>779.72</v>
      </c>
      <c r="H433" s="1" t="s">
        <v>4874</v>
      </c>
      <c r="I433" s="1" t="s">
        <v>4877</v>
      </c>
      <c r="J433" s="1" t="s">
        <v>4880</v>
      </c>
      <c r="K433" s="6">
        <f t="shared" si="2"/>
        <v>0.009977970714</v>
      </c>
      <c r="L433" s="7">
        <v>0.005073434579780019</v>
      </c>
      <c r="M433" s="8">
        <f t="shared" si="1"/>
        <v>29028060</v>
      </c>
    </row>
    <row r="434">
      <c r="A434" s="12">
        <v>46147.0</v>
      </c>
      <c r="B434" s="1">
        <v>774.4</v>
      </c>
      <c r="C434" s="1">
        <v>776.9</v>
      </c>
      <c r="D434" s="1">
        <v>763.7</v>
      </c>
      <c r="E434" s="1">
        <v>779.4</v>
      </c>
      <c r="F434" s="1">
        <v>772.3</v>
      </c>
      <c r="G434" s="1">
        <v>771.31</v>
      </c>
      <c r="H434" s="1" t="s">
        <v>4887</v>
      </c>
      <c r="I434" s="1" t="s">
        <v>4891</v>
      </c>
      <c r="J434" s="1" t="s">
        <v>4895</v>
      </c>
      <c r="K434" s="6">
        <f t="shared" si="2"/>
        <v>-0.009109571465</v>
      </c>
      <c r="L434" s="7">
        <v>-0.0035863395703855418</v>
      </c>
      <c r="M434" s="8">
        <f t="shared" si="1"/>
        <v>38887657</v>
      </c>
    </row>
    <row r="435">
      <c r="A435" s="12">
        <v>46148.0</v>
      </c>
      <c r="B435" s="1">
        <v>775.15</v>
      </c>
      <c r="C435" s="1">
        <v>798.95</v>
      </c>
      <c r="D435" s="1">
        <v>773.5</v>
      </c>
      <c r="E435" s="1">
        <v>772.3</v>
      </c>
      <c r="F435" s="1">
        <v>796.55</v>
      </c>
      <c r="G435" s="1">
        <v>785.36</v>
      </c>
      <c r="H435" s="1" t="s">
        <v>4899</v>
      </c>
      <c r="I435" s="1" t="s">
        <v>4902</v>
      </c>
      <c r="J435" s="1" t="s">
        <v>4904</v>
      </c>
      <c r="K435" s="6">
        <f t="shared" si="2"/>
        <v>0.03139971514</v>
      </c>
      <c r="L435" s="7">
        <v>0.012405961852135475</v>
      </c>
      <c r="M435" s="8">
        <f t="shared" si="1"/>
        <v>35530831</v>
      </c>
    </row>
    <row r="436">
      <c r="A436" s="12">
        <v>46149.0</v>
      </c>
      <c r="B436" s="1">
        <v>794.0</v>
      </c>
      <c r="C436" s="1">
        <v>801.55</v>
      </c>
      <c r="D436" s="1">
        <v>788.55</v>
      </c>
      <c r="E436" s="1">
        <v>796.55</v>
      </c>
      <c r="F436" s="1">
        <v>796.05</v>
      </c>
      <c r="G436" s="1">
        <v>795.15</v>
      </c>
      <c r="H436" s="1" t="s">
        <v>4912</v>
      </c>
      <c r="I436" s="1" t="s">
        <v>4913</v>
      </c>
      <c r="J436" s="1" t="s">
        <v>4915</v>
      </c>
      <c r="K436" s="6">
        <f t="shared" si="2"/>
        <v>-0.0006277069864</v>
      </c>
      <c r="L436" s="7">
        <v>-1.7672963858785917E-4</v>
      </c>
      <c r="M436" s="8">
        <f t="shared" si="1"/>
        <v>46137553</v>
      </c>
    </row>
    <row r="437">
      <c r="A437" s="12">
        <v>46150.0</v>
      </c>
      <c r="B437" s="1">
        <v>784.0</v>
      </c>
      <c r="C437" s="1">
        <v>788.75</v>
      </c>
      <c r="D437" s="1">
        <v>777.2</v>
      </c>
      <c r="E437" s="1">
        <v>796.05</v>
      </c>
      <c r="F437" s="1">
        <v>780.85</v>
      </c>
      <c r="G437" s="1">
        <v>781.63</v>
      </c>
      <c r="H437" s="1" t="s">
        <v>4924</v>
      </c>
      <c r="I437" s="1" t="s">
        <v>4925</v>
      </c>
      <c r="J437" s="1" t="s">
        <v>4926</v>
      </c>
      <c r="K437" s="6">
        <f t="shared" si="2"/>
        <v>-0.019094278</v>
      </c>
      <c r="L437" s="7">
        <v>-0.006186630711585853</v>
      </c>
      <c r="M437" s="8">
        <f t="shared" si="1"/>
        <v>38016841</v>
      </c>
    </row>
    <row r="438">
      <c r="A438" s="13">
        <v>46153.0</v>
      </c>
      <c r="B438" s="1">
        <v>771.95</v>
      </c>
      <c r="C438" s="1">
        <v>774.85</v>
      </c>
      <c r="D438" s="1">
        <v>761.9</v>
      </c>
      <c r="E438" s="1">
        <v>780.85</v>
      </c>
      <c r="F438" s="1">
        <v>763.65</v>
      </c>
      <c r="G438" s="1">
        <v>769.2</v>
      </c>
      <c r="H438" s="1" t="s">
        <v>4936</v>
      </c>
      <c r="I438" s="1" t="s">
        <v>4937</v>
      </c>
      <c r="J438" s="1" t="s">
        <v>4938</v>
      </c>
      <c r="K438" s="6">
        <f t="shared" si="2"/>
        <v>-0.02202727797</v>
      </c>
      <c r="L438" s="7">
        <v>-0.01490311732844158</v>
      </c>
      <c r="M438" s="8">
        <f t="shared" si="1"/>
        <v>41123422</v>
      </c>
    </row>
    <row r="439">
      <c r="A439" s="13">
        <v>46154.0</v>
      </c>
      <c r="B439" s="1">
        <v>756.6</v>
      </c>
      <c r="C439" s="1">
        <v>759.7</v>
      </c>
      <c r="D439" s="1">
        <v>747.8</v>
      </c>
      <c r="E439" s="1">
        <v>763.65</v>
      </c>
      <c r="F439" s="1">
        <v>750.45</v>
      </c>
      <c r="G439" s="1">
        <v>753.71</v>
      </c>
      <c r="H439" s="1" t="s">
        <v>4948</v>
      </c>
      <c r="I439" s="1" t="s">
        <v>4950</v>
      </c>
      <c r="J439" s="1" t="s">
        <v>4952</v>
      </c>
      <c r="K439" s="6">
        <f t="shared" si="2"/>
        <v>-0.01728540562</v>
      </c>
      <c r="L439" s="7">
        <v>-0.018319732447088777</v>
      </c>
      <c r="M439" s="8">
        <f t="shared" si="1"/>
        <v>43937132</v>
      </c>
    </row>
    <row r="440">
      <c r="A440" s="13">
        <v>46155.0</v>
      </c>
      <c r="B440" s="1">
        <v>752.0</v>
      </c>
      <c r="C440" s="1">
        <v>759.95</v>
      </c>
      <c r="D440" s="1">
        <v>747.35</v>
      </c>
      <c r="E440" s="1">
        <v>750.45</v>
      </c>
      <c r="F440" s="1">
        <v>749.6</v>
      </c>
      <c r="G440" s="1">
        <v>752.96</v>
      </c>
      <c r="H440" s="1" t="s">
        <v>4963</v>
      </c>
      <c r="I440" s="1" t="s">
        <v>4964</v>
      </c>
      <c r="J440" s="1" t="s">
        <v>4966</v>
      </c>
      <c r="K440" s="6">
        <f t="shared" si="2"/>
        <v>-0.001132653741</v>
      </c>
      <c r="L440" s="7">
        <v>0.0014136285771111624</v>
      </c>
      <c r="M440" s="8">
        <f t="shared" si="1"/>
        <v>28960919</v>
      </c>
    </row>
    <row r="441">
      <c r="A441" s="13">
        <v>46156.0</v>
      </c>
      <c r="B441" s="1">
        <v>751.0</v>
      </c>
      <c r="C441" s="1">
        <v>778.3</v>
      </c>
      <c r="D441" s="1">
        <v>747.0</v>
      </c>
      <c r="E441" s="1">
        <v>749.6</v>
      </c>
      <c r="F441" s="1">
        <v>769.55</v>
      </c>
      <c r="G441" s="1">
        <v>767.26</v>
      </c>
      <c r="H441" s="1" t="s">
        <v>4972</v>
      </c>
      <c r="I441" s="1" t="s">
        <v>4975</v>
      </c>
      <c r="J441" s="1" t="s">
        <v>4979</v>
      </c>
      <c r="K441" s="6">
        <f t="shared" si="2"/>
        <v>0.02661419424</v>
      </c>
      <c r="L441" s="7">
        <v>0.011831236171975774</v>
      </c>
      <c r="M441" s="8">
        <f t="shared" si="1"/>
        <v>50992358</v>
      </c>
    </row>
    <row r="442">
      <c r="A442" s="13">
        <v>46157.0</v>
      </c>
      <c r="B442" s="1">
        <v>773.0</v>
      </c>
      <c r="C442" s="1">
        <v>781.9</v>
      </c>
      <c r="D442" s="1">
        <v>765.4</v>
      </c>
      <c r="E442" s="1">
        <v>769.55</v>
      </c>
      <c r="F442" s="1">
        <v>767.5</v>
      </c>
      <c r="G442" s="1">
        <v>774.13</v>
      </c>
      <c r="H442" s="1" t="s">
        <v>4986</v>
      </c>
      <c r="I442" s="1" t="s">
        <v>4988</v>
      </c>
      <c r="J442" s="1" t="s">
        <v>4989</v>
      </c>
      <c r="K442" s="6">
        <f t="shared" si="2"/>
        <v>-0.002663894484</v>
      </c>
      <c r="L442" s="7">
        <v>-0.0019460016209644126</v>
      </c>
      <c r="M442" s="8">
        <f t="shared" si="1"/>
        <v>24347873</v>
      </c>
    </row>
    <row r="443">
      <c r="A443" s="13">
        <v>46160.0</v>
      </c>
      <c r="B443" s="1">
        <v>759.0</v>
      </c>
      <c r="C443" s="1">
        <v>774.1</v>
      </c>
      <c r="D443" s="1">
        <v>751.35</v>
      </c>
      <c r="E443" s="1">
        <v>767.5</v>
      </c>
      <c r="F443" s="1">
        <v>768.65</v>
      </c>
      <c r="G443" s="1">
        <v>765.63</v>
      </c>
      <c r="H443" s="1" t="s">
        <v>4998</v>
      </c>
      <c r="I443" s="1" t="s">
        <v>4999</v>
      </c>
      <c r="J443" s="1" t="s">
        <v>5000</v>
      </c>
      <c r="K443" s="6">
        <f t="shared" si="2"/>
        <v>0.001498371336</v>
      </c>
      <c r="L443" s="7">
        <v>2.728022500899075E-4</v>
      </c>
      <c r="M443" s="8">
        <f t="shared" si="1"/>
        <v>29812079</v>
      </c>
    </row>
    <row r="444">
      <c r="A444" s="13">
        <v>46161.0</v>
      </c>
      <c r="B444" s="1">
        <v>766.7</v>
      </c>
      <c r="C444" s="1">
        <v>770.8</v>
      </c>
      <c r="D444" s="1">
        <v>760.25</v>
      </c>
      <c r="E444" s="1">
        <v>768.65</v>
      </c>
      <c r="F444" s="1">
        <v>762.45</v>
      </c>
      <c r="G444" s="1">
        <v>765.85</v>
      </c>
      <c r="H444" s="1" t="s">
        <v>5011</v>
      </c>
      <c r="I444" s="1" t="s">
        <v>5013</v>
      </c>
      <c r="J444" s="1" t="s">
        <v>5015</v>
      </c>
      <c r="K444" s="6">
        <f t="shared" si="2"/>
        <v>-0.008066089898</v>
      </c>
      <c r="L444" s="7">
        <v>-0.0013509542303472408</v>
      </c>
      <c r="M444" s="8">
        <f t="shared" si="1"/>
        <v>40307830</v>
      </c>
    </row>
    <row r="445">
      <c r="A445" s="13">
        <v>46162.0</v>
      </c>
      <c r="B445" s="1">
        <v>759.6</v>
      </c>
      <c r="C445" s="1">
        <v>762.25</v>
      </c>
      <c r="D445" s="1">
        <v>755.15</v>
      </c>
      <c r="E445" s="1">
        <v>762.45</v>
      </c>
      <c r="F445" s="1">
        <v>759.5</v>
      </c>
      <c r="G445" s="1">
        <v>759.21</v>
      </c>
      <c r="H445" s="1" t="s">
        <v>5025</v>
      </c>
      <c r="I445" s="1" t="s">
        <v>5026</v>
      </c>
      <c r="J445" s="1" t="s">
        <v>5027</v>
      </c>
      <c r="K445" s="6">
        <f t="shared" si="2"/>
        <v>-0.003869106171</v>
      </c>
      <c r="L445" s="7">
        <v>0.0017359640951816412</v>
      </c>
      <c r="M445" s="8">
        <f t="shared" si="1"/>
        <v>24013451</v>
      </c>
    </row>
    <row r="446">
      <c r="A446" s="13">
        <v>46163.0</v>
      </c>
      <c r="B446" s="1">
        <v>767.0</v>
      </c>
      <c r="C446" s="1">
        <v>768.25</v>
      </c>
      <c r="D446" s="1">
        <v>755.15</v>
      </c>
      <c r="E446" s="1">
        <v>759.5</v>
      </c>
      <c r="F446" s="1">
        <v>759.15</v>
      </c>
      <c r="G446" s="1">
        <v>760.54</v>
      </c>
      <c r="H446" s="1" t="s">
        <v>5034</v>
      </c>
      <c r="I446" s="1" t="s">
        <v>5035</v>
      </c>
      <c r="J446" s="1" t="s">
        <v>5036</v>
      </c>
      <c r="K446" s="6">
        <f t="shared" si="2"/>
        <v>-0.0004608294931</v>
      </c>
      <c r="L446" s="7">
        <v>-1.817490172872595E-4</v>
      </c>
      <c r="M446" s="8">
        <f t="shared" si="1"/>
        <v>34664725</v>
      </c>
    </row>
    <row r="447">
      <c r="A447" s="13">
        <v>46164.0</v>
      </c>
      <c r="B447" s="1">
        <v>759.15</v>
      </c>
      <c r="C447" s="1">
        <v>775.0</v>
      </c>
      <c r="D447" s="1">
        <v>759.15</v>
      </c>
      <c r="E447" s="1">
        <v>759.15</v>
      </c>
      <c r="F447" s="1">
        <v>766.8</v>
      </c>
      <c r="G447" s="1">
        <v>768.46</v>
      </c>
      <c r="H447" s="1" t="s">
        <v>5040</v>
      </c>
      <c r="I447" s="1" t="s">
        <v>5042</v>
      </c>
      <c r="J447" s="1" t="s">
        <v>5044</v>
      </c>
      <c r="K447" s="6">
        <f t="shared" si="2"/>
        <v>0.01007705987</v>
      </c>
      <c r="L447" s="7">
        <v>0.0027309583296342183</v>
      </c>
      <c r="M447" s="8">
        <f t="shared" si="1"/>
        <v>25604071</v>
      </c>
    </row>
    <row r="448">
      <c r="A448" s="13">
        <v>46167.0</v>
      </c>
      <c r="B448" s="1">
        <v>776.0</v>
      </c>
      <c r="C448" s="1">
        <v>787.85</v>
      </c>
      <c r="D448" s="1">
        <v>775.2</v>
      </c>
      <c r="E448" s="1">
        <v>766.8</v>
      </c>
      <c r="F448" s="1">
        <v>786.85</v>
      </c>
      <c r="G448" s="1">
        <v>783.84</v>
      </c>
      <c r="H448" s="1" t="s">
        <v>5049</v>
      </c>
      <c r="I448" s="1" t="s">
        <v>5050</v>
      </c>
      <c r="J448" s="1" t="s">
        <v>5051</v>
      </c>
      <c r="K448" s="6">
        <f t="shared" si="2"/>
        <v>0.0261476265</v>
      </c>
      <c r="L448" s="7">
        <v>0.013170709085006786</v>
      </c>
      <c r="M448" s="8">
        <f t="shared" si="1"/>
        <v>26043952</v>
      </c>
    </row>
    <row r="449">
      <c r="A449" s="13">
        <v>46168.0</v>
      </c>
      <c r="B449" s="1">
        <v>784.05</v>
      </c>
      <c r="C449" s="1">
        <v>790.85</v>
      </c>
      <c r="D449" s="1">
        <v>776.75</v>
      </c>
      <c r="E449" s="1">
        <v>786.85</v>
      </c>
      <c r="F449" s="1">
        <v>778.9</v>
      </c>
      <c r="G449" s="1">
        <v>783.86</v>
      </c>
      <c r="H449" s="1" t="s">
        <v>5058</v>
      </c>
      <c r="I449" s="1" t="s">
        <v>5059</v>
      </c>
      <c r="J449" s="1" t="s">
        <v>5060</v>
      </c>
      <c r="K449" s="6">
        <f t="shared" si="2"/>
        <v>-0.01010357756</v>
      </c>
      <c r="L449" s="7">
        <v>-0.004910181135749863</v>
      </c>
      <c r="M449" s="8">
        <f t="shared" si="1"/>
        <v>31528062</v>
      </c>
    </row>
    <row r="450">
      <c r="A450" s="13">
        <v>46169.0</v>
      </c>
      <c r="B450" s="1">
        <v>769.5</v>
      </c>
      <c r="C450" s="1">
        <v>773.9</v>
      </c>
      <c r="D450" s="1">
        <v>756.9</v>
      </c>
      <c r="E450" s="1">
        <v>778.9</v>
      </c>
      <c r="F450" s="1">
        <v>758.65</v>
      </c>
      <c r="G450" s="1">
        <v>762.18</v>
      </c>
      <c r="H450" s="1" t="s">
        <v>5064</v>
      </c>
      <c r="I450" s="1" t="s">
        <v>5066</v>
      </c>
      <c r="J450" s="1" t="s">
        <v>5068</v>
      </c>
      <c r="K450" s="6">
        <f t="shared" si="2"/>
        <v>-0.02599820259</v>
      </c>
      <c r="L450" s="7">
        <v>-2.7390157106592757E-4</v>
      </c>
      <c r="M450" s="8">
        <f t="shared" si="1"/>
        <v>63680153</v>
      </c>
    </row>
    <row r="451">
      <c r="A451" s="13">
        <v>46171.0</v>
      </c>
      <c r="B451" s="1">
        <v>746.05</v>
      </c>
      <c r="C451" s="1">
        <v>760.5</v>
      </c>
      <c r="D451" s="1">
        <v>737.75</v>
      </c>
      <c r="E451" s="1">
        <v>758.65</v>
      </c>
      <c r="F451" s="1">
        <v>744.55</v>
      </c>
      <c r="G451" s="1">
        <v>747.79</v>
      </c>
      <c r="H451" s="1" t="s">
        <v>5073</v>
      </c>
      <c r="I451" s="1" t="s">
        <v>5075</v>
      </c>
      <c r="J451" s="1" t="s">
        <v>5077</v>
      </c>
      <c r="K451" s="6">
        <f t="shared" si="2"/>
        <v>-0.01858564555</v>
      </c>
      <c r="L451" s="7">
        <v>-0.015033159535954785</v>
      </c>
      <c r="M451" s="8">
        <f t="shared" si="1"/>
        <v>101299431</v>
      </c>
    </row>
    <row r="452">
      <c r="A452" s="3">
        <v>46174.0</v>
      </c>
      <c r="B452" s="1">
        <v>749.0</v>
      </c>
      <c r="C452" s="1">
        <v>752.35</v>
      </c>
      <c r="D452" s="1">
        <v>739.2</v>
      </c>
      <c r="E452" s="1">
        <v>744.55</v>
      </c>
      <c r="F452" s="1">
        <v>742.7</v>
      </c>
      <c r="G452" s="1">
        <v>743.7</v>
      </c>
      <c r="H452" s="1" t="s">
        <v>5081</v>
      </c>
      <c r="I452" s="1" t="s">
        <v>5082</v>
      </c>
      <c r="J452" s="1" t="s">
        <v>5084</v>
      </c>
      <c r="K452" s="6">
        <f t="shared" si="2"/>
        <v>-0.002484722315</v>
      </c>
      <c r="L452" s="7">
        <v>-0.007013408924419593</v>
      </c>
      <c r="M452" s="8">
        <f t="shared" si="1"/>
        <v>47996441</v>
      </c>
    </row>
    <row r="453">
      <c r="A453" s="3">
        <v>46175.0</v>
      </c>
      <c r="B453" s="1">
        <v>737.0</v>
      </c>
      <c r="C453" s="1">
        <v>753.6</v>
      </c>
      <c r="D453" s="1">
        <v>733.15</v>
      </c>
      <c r="E453" s="1">
        <v>742.7</v>
      </c>
      <c r="F453" s="1">
        <v>748.25</v>
      </c>
      <c r="G453" s="1">
        <v>745.07</v>
      </c>
      <c r="H453" s="1" t="s">
        <v>5090</v>
      </c>
      <c r="I453" s="1" t="s">
        <v>5091</v>
      </c>
      <c r="J453" s="1" t="s">
        <v>5092</v>
      </c>
      <c r="K453" s="6">
        <f t="shared" si="2"/>
        <v>0.007472734617</v>
      </c>
      <c r="L453" s="7">
        <v>0.0043173128736753285</v>
      </c>
      <c r="M453" s="8">
        <f t="shared" si="1"/>
        <v>47314447</v>
      </c>
    </row>
    <row r="454">
      <c r="A454" s="3">
        <v>46176.0</v>
      </c>
      <c r="B454" s="1">
        <v>744.45</v>
      </c>
      <c r="C454" s="1">
        <v>756.9</v>
      </c>
      <c r="D454" s="1">
        <v>742.6</v>
      </c>
      <c r="E454" s="1">
        <v>748.25</v>
      </c>
      <c r="F454" s="1">
        <v>753.65</v>
      </c>
      <c r="G454" s="1">
        <v>748.83</v>
      </c>
      <c r="H454" s="1" t="s">
        <v>5098</v>
      </c>
      <c r="I454" s="1" t="s">
        <v>5099</v>
      </c>
      <c r="J454" s="1" t="s">
        <v>5100</v>
      </c>
      <c r="K454" s="6">
        <f t="shared" si="2"/>
        <v>0.007216839292</v>
      </c>
      <c r="L454" s="7">
        <v>-0.0033193448179683538</v>
      </c>
      <c r="M454" s="8">
        <f t="shared" si="1"/>
        <v>36109480</v>
      </c>
    </row>
    <row r="455">
      <c r="A455" s="3">
        <v>46177.0</v>
      </c>
      <c r="B455" s="1">
        <v>749.15</v>
      </c>
      <c r="C455" s="1">
        <v>757.3</v>
      </c>
      <c r="D455" s="1">
        <v>745.0</v>
      </c>
      <c r="E455" s="1">
        <v>753.65</v>
      </c>
      <c r="F455" s="1">
        <v>754.2</v>
      </c>
      <c r="G455" s="1">
        <v>751.95</v>
      </c>
      <c r="H455" s="1" t="s">
        <v>5104</v>
      </c>
      <c r="I455" s="1" t="s">
        <v>5106</v>
      </c>
      <c r="J455" s="1" t="s">
        <v>5108</v>
      </c>
      <c r="K455" s="6">
        <f t="shared" si="2"/>
        <v>0.0007297817289</v>
      </c>
      <c r="L455" s="7">
        <v>4.678367570154462E-4</v>
      </c>
      <c r="M455" s="8">
        <f t="shared" si="1"/>
        <v>42673538</v>
      </c>
    </row>
    <row r="456">
      <c r="A456" s="3">
        <v>46178.0</v>
      </c>
      <c r="B456" s="1">
        <v>753.95</v>
      </c>
      <c r="C456" s="1">
        <v>758.7</v>
      </c>
      <c r="D456" s="1">
        <v>744.65</v>
      </c>
      <c r="E456" s="1">
        <v>754.2</v>
      </c>
      <c r="F456" s="1">
        <v>747.05</v>
      </c>
      <c r="G456" s="1">
        <v>750.42</v>
      </c>
      <c r="H456" s="1" t="s">
        <v>5113</v>
      </c>
      <c r="I456" s="1" t="s">
        <v>5114</v>
      </c>
      <c r="J456" s="1" t="s">
        <v>5117</v>
      </c>
      <c r="K456" s="6">
        <f t="shared" si="2"/>
        <v>-0.009480243967</v>
      </c>
      <c r="L456" s="7">
        <v>-0.0021288362290772357</v>
      </c>
      <c r="M456" s="8">
        <f t="shared" si="1"/>
        <v>22116568</v>
      </c>
    </row>
    <row r="457">
      <c r="A457" s="3">
        <v>46181.0</v>
      </c>
      <c r="B457" s="1">
        <v>738.0</v>
      </c>
      <c r="C457" s="1">
        <v>741.5</v>
      </c>
      <c r="D457" s="1">
        <v>734.5</v>
      </c>
      <c r="E457" s="1">
        <v>747.05</v>
      </c>
      <c r="F457" s="1">
        <v>738.65</v>
      </c>
      <c r="G457" s="1">
        <v>738.38</v>
      </c>
      <c r="H457" s="1" t="s">
        <v>5121</v>
      </c>
      <c r="I457" s="1" t="s">
        <v>5122</v>
      </c>
      <c r="J457" s="1" t="s">
        <v>5124</v>
      </c>
      <c r="K457" s="6">
        <f t="shared" si="2"/>
        <v>-0.01124422729</v>
      </c>
      <c r="L457" s="7">
        <v>-0.010429371712736533</v>
      </c>
      <c r="M457" s="8">
        <f t="shared" si="1"/>
        <v>21550700</v>
      </c>
    </row>
    <row r="458">
      <c r="A458" s="3">
        <v>46182.0</v>
      </c>
      <c r="B458" s="1">
        <v>739.45</v>
      </c>
      <c r="C458" s="1">
        <v>743.95</v>
      </c>
      <c r="D458" s="1">
        <v>732.3</v>
      </c>
      <c r="E458" s="1">
        <v>738.65</v>
      </c>
      <c r="F458" s="1">
        <v>738.35</v>
      </c>
      <c r="G458" s="1">
        <v>738.36</v>
      </c>
      <c r="H458" s="1" t="s">
        <v>5127</v>
      </c>
      <c r="I458" s="1" t="s">
        <v>5128</v>
      </c>
      <c r="J458" s="1" t="s">
        <v>5129</v>
      </c>
      <c r="K458" s="6">
        <f t="shared" si="2"/>
        <v>-0.0004061463481</v>
      </c>
      <c r="L458" s="7">
        <v>0.005150715737577241</v>
      </c>
      <c r="M458" s="8">
        <f t="shared" si="1"/>
        <v>38539563</v>
      </c>
    </row>
    <row r="459">
      <c r="A459" s="9">
        <v>46183.0</v>
      </c>
      <c r="B459" s="1">
        <v>736.5</v>
      </c>
      <c r="C459" s="1">
        <v>755.95</v>
      </c>
      <c r="D459" s="1">
        <v>736.4</v>
      </c>
      <c r="E459" s="1">
        <v>738.35</v>
      </c>
      <c r="F459" s="1">
        <v>746.85</v>
      </c>
      <c r="G459" s="1">
        <v>744.98</v>
      </c>
      <c r="H459" s="1" t="s">
        <v>5135</v>
      </c>
      <c r="I459" s="1" t="s">
        <v>5136</v>
      </c>
      <c r="J459" s="1" t="s">
        <v>5137</v>
      </c>
      <c r="K459" s="6">
        <f t="shared" si="2"/>
        <v>0.01151215548</v>
      </c>
      <c r="L459" s="7">
        <v>-0.0011681388514806243</v>
      </c>
      <c r="M459" s="8">
        <f t="shared" si="1"/>
        <v>44458159</v>
      </c>
    </row>
    <row r="460">
      <c r="A460" s="9">
        <v>46184.0</v>
      </c>
      <c r="B460" s="1">
        <v>743.0</v>
      </c>
      <c r="C460" s="1">
        <v>756.0</v>
      </c>
      <c r="D460" s="1">
        <v>740.1</v>
      </c>
      <c r="E460" s="1">
        <v>746.85</v>
      </c>
      <c r="F460" s="1">
        <v>744.6</v>
      </c>
      <c r="G460" s="1">
        <v>746.84</v>
      </c>
      <c r="H460" s="1" t="s">
        <v>5141</v>
      </c>
      <c r="I460" s="1" t="s">
        <v>5142</v>
      </c>
      <c r="J460" s="1" t="s">
        <v>5143</v>
      </c>
      <c r="K460" s="6">
        <f t="shared" si="2"/>
        <v>-0.003012653143</v>
      </c>
      <c r="L460" s="7">
        <v>-0.002298088085479494</v>
      </c>
      <c r="M460" s="8">
        <f t="shared" si="1"/>
        <v>32632007</v>
      </c>
    </row>
    <row r="461">
      <c r="A461" s="9">
        <v>46185.0</v>
      </c>
      <c r="B461" s="1">
        <v>754.7</v>
      </c>
      <c r="C461" s="1">
        <v>774.45</v>
      </c>
      <c r="D461" s="1">
        <v>753.1</v>
      </c>
      <c r="E461" s="1">
        <v>744.6</v>
      </c>
      <c r="F461" s="1">
        <v>772.45</v>
      </c>
      <c r="G461" s="1">
        <v>764.47</v>
      </c>
      <c r="H461" s="1" t="s">
        <v>5147</v>
      </c>
      <c r="I461" s="1" t="s">
        <v>5148</v>
      </c>
      <c r="J461" s="1" t="s">
        <v>5149</v>
      </c>
      <c r="K461" s="6">
        <f t="shared" si="2"/>
        <v>0.03740263229</v>
      </c>
      <c r="L461" s="7">
        <v>0.019916586073501094</v>
      </c>
      <c r="M461" s="8">
        <f t="shared" si="1"/>
        <v>36088159</v>
      </c>
    </row>
    <row r="462">
      <c r="A462" s="9">
        <v>46188.0</v>
      </c>
      <c r="B462" s="1">
        <v>790.0</v>
      </c>
      <c r="C462" s="1">
        <v>793.5</v>
      </c>
      <c r="D462" s="1">
        <v>775.6</v>
      </c>
      <c r="E462" s="1">
        <v>772.45</v>
      </c>
      <c r="F462" s="1">
        <v>777.35</v>
      </c>
      <c r="G462" s="1">
        <v>783.75</v>
      </c>
      <c r="H462" s="1" t="s">
        <v>5155</v>
      </c>
      <c r="I462" s="1" t="s">
        <v>5156</v>
      </c>
      <c r="J462" s="1" t="s">
        <v>5158</v>
      </c>
      <c r="K462" s="6">
        <f t="shared" si="2"/>
        <v>0.006343452651</v>
      </c>
      <c r="L462" s="7">
        <v>0.00977864699084363</v>
      </c>
      <c r="M462" s="8">
        <f t="shared" si="1"/>
        <v>39990334</v>
      </c>
    </row>
    <row r="463">
      <c r="A463" s="9">
        <v>46189.0</v>
      </c>
      <c r="B463" s="1">
        <v>780.5</v>
      </c>
      <c r="C463" s="1">
        <v>787.7</v>
      </c>
      <c r="D463" s="1">
        <v>779.45</v>
      </c>
      <c r="E463" s="1">
        <v>777.35</v>
      </c>
      <c r="F463" s="1">
        <v>784.9</v>
      </c>
      <c r="G463" s="1">
        <v>784.34</v>
      </c>
      <c r="H463" s="1" t="s">
        <v>5160</v>
      </c>
      <c r="I463" s="1" t="s">
        <v>5162</v>
      </c>
      <c r="J463" s="1" t="s">
        <v>5163</v>
      </c>
      <c r="K463" s="6">
        <f t="shared" si="2"/>
        <v>0.009712484724</v>
      </c>
      <c r="L463" s="7">
        <v>0.005669932380030099</v>
      </c>
      <c r="M463" s="8">
        <f t="shared" si="1"/>
        <v>27820970</v>
      </c>
    </row>
    <row r="464">
      <c r="A464" s="9">
        <v>46190.0</v>
      </c>
      <c r="B464" s="1">
        <v>787.65</v>
      </c>
      <c r="C464" s="1">
        <v>794.3</v>
      </c>
      <c r="D464" s="1">
        <v>783.1</v>
      </c>
      <c r="E464" s="1">
        <v>784.9</v>
      </c>
      <c r="F464" s="1">
        <v>787.1</v>
      </c>
      <c r="G464" s="1">
        <v>788.39</v>
      </c>
      <c r="H464" s="1" t="s">
        <v>5167</v>
      </c>
      <c r="I464" s="1" t="s">
        <v>5168</v>
      </c>
      <c r="J464" s="1" t="s">
        <v>5170</v>
      </c>
      <c r="K464" s="6">
        <f t="shared" si="2"/>
        <v>0.002802904829</v>
      </c>
      <c r="L464" s="7">
        <v>0.004024736182815951</v>
      </c>
      <c r="M464" s="8">
        <f t="shared" si="1"/>
        <v>32405604</v>
      </c>
    </row>
    <row r="465">
      <c r="A465" s="9">
        <v>46191.0</v>
      </c>
      <c r="B465" s="1">
        <v>786.5</v>
      </c>
      <c r="C465" s="1">
        <v>802.95</v>
      </c>
      <c r="D465" s="1">
        <v>786.2</v>
      </c>
      <c r="E465" s="1">
        <v>787.1</v>
      </c>
      <c r="F465" s="1">
        <v>799.0</v>
      </c>
      <c r="G465" s="1">
        <v>797.21</v>
      </c>
      <c r="H465" s="1" t="s">
        <v>5175</v>
      </c>
      <c r="I465" s="1" t="s">
        <v>5176</v>
      </c>
      <c r="J465" s="1" t="s">
        <v>5177</v>
      </c>
      <c r="K465" s="6">
        <f t="shared" si="2"/>
        <v>0.0151187905</v>
      </c>
      <c r="L465" s="7">
        <v>0.0034169652532415194</v>
      </c>
      <c r="M465" s="8">
        <f t="shared" si="1"/>
        <v>41492071</v>
      </c>
    </row>
    <row r="466">
      <c r="A466" s="9">
        <v>46192.0</v>
      </c>
      <c r="B466" s="1">
        <v>788.7</v>
      </c>
      <c r="C466" s="1">
        <v>789.05</v>
      </c>
      <c r="D466" s="1">
        <v>776.2</v>
      </c>
      <c r="E466" s="1">
        <v>799.0</v>
      </c>
      <c r="F466" s="1">
        <v>779.8</v>
      </c>
      <c r="G466" s="1">
        <v>780.8</v>
      </c>
      <c r="H466" s="1" t="s">
        <v>5184</v>
      </c>
      <c r="I466" s="1" t="s">
        <v>5185</v>
      </c>
      <c r="J466" s="1" t="s">
        <v>5186</v>
      </c>
      <c r="K466" s="6">
        <f t="shared" si="2"/>
        <v>-0.02403003755</v>
      </c>
      <c r="L466" s="7">
        <v>-0.006409301555776293</v>
      </c>
      <c r="M466" s="8">
        <f t="shared" si="1"/>
        <v>33798761</v>
      </c>
    </row>
    <row r="467">
      <c r="A467" s="9">
        <v>46195.0</v>
      </c>
      <c r="B467" s="1">
        <v>789.9</v>
      </c>
      <c r="C467" s="1">
        <v>789.9</v>
      </c>
      <c r="D467" s="1">
        <v>783.1</v>
      </c>
      <c r="E467" s="1">
        <v>779.8</v>
      </c>
      <c r="F467" s="1">
        <v>786.4</v>
      </c>
      <c r="G467" s="1">
        <v>786.71</v>
      </c>
      <c r="H467" s="1" t="s">
        <v>5193</v>
      </c>
      <c r="I467" s="1" t="s">
        <v>5194</v>
      </c>
      <c r="J467" s="1" t="s">
        <v>5195</v>
      </c>
      <c r="K467" s="6">
        <f t="shared" si="2"/>
        <v>0.008463708643</v>
      </c>
      <c r="L467" s="7">
        <v>0.003739625454439573</v>
      </c>
      <c r="M467" s="8">
        <f t="shared" si="1"/>
        <v>25194765</v>
      </c>
    </row>
    <row r="468">
      <c r="A468" s="9">
        <v>46196.0</v>
      </c>
      <c r="B468" s="1">
        <v>783.05</v>
      </c>
      <c r="C468" s="1">
        <v>790.9</v>
      </c>
      <c r="D468" s="1">
        <v>772.55</v>
      </c>
      <c r="E468" s="1">
        <v>786.4</v>
      </c>
      <c r="F468" s="1">
        <v>774.65</v>
      </c>
      <c r="G468" s="1">
        <v>781.94</v>
      </c>
      <c r="H468" s="1" t="s">
        <v>5202</v>
      </c>
      <c r="I468" s="1" t="s">
        <v>5203</v>
      </c>
      <c r="J468" s="1" t="s">
        <v>5204</v>
      </c>
      <c r="K468" s="6">
        <f t="shared" si="2"/>
        <v>-0.0149415056</v>
      </c>
      <c r="L468" s="7">
        <v>-0.011567072841857325</v>
      </c>
      <c r="M468" s="8">
        <f t="shared" si="1"/>
        <v>28289062</v>
      </c>
    </row>
    <row r="469">
      <c r="A469" s="9">
        <v>46197.0</v>
      </c>
      <c r="B469" s="1">
        <v>773.0</v>
      </c>
      <c r="C469" s="1">
        <v>794.9</v>
      </c>
      <c r="D469" s="1">
        <v>772.65</v>
      </c>
      <c r="E469" s="1">
        <v>774.65</v>
      </c>
      <c r="F469" s="1">
        <v>793.2</v>
      </c>
      <c r="G469" s="1">
        <v>788.6</v>
      </c>
      <c r="H469" s="1" t="s">
        <v>5210</v>
      </c>
      <c r="I469" s="1" t="s">
        <v>5211</v>
      </c>
      <c r="J469" s="1" t="s">
        <v>5212</v>
      </c>
      <c r="K469" s="6">
        <f t="shared" si="2"/>
        <v>0.02394629833</v>
      </c>
      <c r="L469" s="7">
        <v>0.008292023623138038</v>
      </c>
      <c r="M469" s="8">
        <f t="shared" si="1"/>
        <v>34701292</v>
      </c>
    </row>
    <row r="470">
      <c r="A470" s="9">
        <v>46198.0</v>
      </c>
      <c r="B470" s="1">
        <v>798.5</v>
      </c>
      <c r="C470" s="1">
        <v>804.45</v>
      </c>
      <c r="D470" s="1">
        <v>794.75</v>
      </c>
      <c r="E470" s="1">
        <v>793.2</v>
      </c>
      <c r="F470" s="1">
        <v>796.3</v>
      </c>
      <c r="G470" s="1">
        <v>799.35</v>
      </c>
      <c r="H470" s="1" t="s">
        <v>5215</v>
      </c>
      <c r="I470" s="1" t="s">
        <v>5218</v>
      </c>
      <c r="J470" s="1" t="s">
        <v>5220</v>
      </c>
      <c r="K470" s="6">
        <f t="shared" si="2"/>
        <v>0.003908219869</v>
      </c>
      <c r="L470" s="7">
        <v>0.0014299600568653088</v>
      </c>
      <c r="M470" s="8">
        <f t="shared" si="1"/>
        <v>46707966</v>
      </c>
    </row>
    <row r="471">
      <c r="A471" s="9">
        <v>46202.0</v>
      </c>
      <c r="B471" s="1">
        <v>800.0</v>
      </c>
      <c r="C471" s="1">
        <v>805.9</v>
      </c>
      <c r="D471" s="1">
        <v>793.3</v>
      </c>
      <c r="E471" s="1">
        <v>796.3</v>
      </c>
      <c r="F471" s="1">
        <v>798.9</v>
      </c>
      <c r="G471" s="1">
        <v>799.29</v>
      </c>
      <c r="H471" s="1" t="s">
        <v>5223</v>
      </c>
      <c r="I471" s="1" t="s">
        <v>5224</v>
      </c>
      <c r="J471" s="1" t="s">
        <v>5226</v>
      </c>
      <c r="K471" s="6">
        <f t="shared" si="2"/>
        <v>0.003265101093</v>
      </c>
      <c r="L471" s="7">
        <v>-0.004562271366810775</v>
      </c>
      <c r="M471" s="8">
        <f t="shared" si="1"/>
        <v>46695977</v>
      </c>
    </row>
    <row r="472">
      <c r="A472" s="9">
        <v>46203.0</v>
      </c>
      <c r="B472" s="1">
        <v>806.1</v>
      </c>
      <c r="C472" s="1">
        <v>806.1</v>
      </c>
      <c r="D472" s="1">
        <v>792.75</v>
      </c>
      <c r="E472" s="1">
        <v>798.9</v>
      </c>
      <c r="F472" s="1">
        <v>797.95</v>
      </c>
      <c r="G472" s="1">
        <v>798.65</v>
      </c>
      <c r="H472" s="1" t="s">
        <v>5232</v>
      </c>
      <c r="I472" s="1" t="s">
        <v>5234</v>
      </c>
      <c r="J472" s="1" t="s">
        <v>5235</v>
      </c>
      <c r="K472" s="6">
        <f t="shared" si="2"/>
        <v>-0.001189135061</v>
      </c>
      <c r="L472" s="7">
        <v>-0.0033616954637991333</v>
      </c>
      <c r="M472" s="8">
        <f t="shared" si="1"/>
        <v>45778356</v>
      </c>
    </row>
    <row r="473">
      <c r="A473" s="3">
        <v>46204.0</v>
      </c>
      <c r="B473" s="1">
        <v>793.5</v>
      </c>
      <c r="C473" s="1">
        <v>802.25</v>
      </c>
      <c r="D473" s="1">
        <v>793.5</v>
      </c>
      <c r="E473" s="1">
        <v>797.95</v>
      </c>
      <c r="F473" s="1">
        <v>796.15</v>
      </c>
      <c r="G473" s="1">
        <v>797.89</v>
      </c>
      <c r="H473" s="1" t="s">
        <v>5240</v>
      </c>
      <c r="I473" s="1" t="s">
        <v>5242</v>
      </c>
      <c r="J473" s="1" t="s">
        <v>5243</v>
      </c>
      <c r="K473" s="6">
        <f t="shared" si="2"/>
        <v>-0.002255780437</v>
      </c>
      <c r="L473" s="7">
        <v>0.005870337198705196</v>
      </c>
      <c r="M473" s="8">
        <f t="shared" si="1"/>
        <v>26094378</v>
      </c>
    </row>
    <row r="474">
      <c r="A474" s="3">
        <v>46205.0</v>
      </c>
      <c r="B474" s="1">
        <v>795.0</v>
      </c>
      <c r="C474" s="1">
        <v>805.45</v>
      </c>
      <c r="D474" s="1">
        <v>794.0</v>
      </c>
      <c r="E474" s="1">
        <v>796.15</v>
      </c>
      <c r="F474" s="1">
        <v>795.9</v>
      </c>
      <c r="G474" s="1">
        <v>798.17</v>
      </c>
      <c r="H474" s="1" t="s">
        <v>5248</v>
      </c>
      <c r="I474" s="1" t="s">
        <v>5250</v>
      </c>
      <c r="J474" s="1" t="s">
        <v>5252</v>
      </c>
      <c r="K474" s="6">
        <f t="shared" si="2"/>
        <v>-0.0003140111788</v>
      </c>
      <c r="L474" s="7">
        <v>0.007075358714646729</v>
      </c>
      <c r="M474" s="8">
        <f t="shared" si="1"/>
        <v>34143823</v>
      </c>
    </row>
    <row r="475">
      <c r="A475" s="3">
        <v>46206.0</v>
      </c>
      <c r="B475" s="1">
        <v>803.0</v>
      </c>
      <c r="C475" s="1">
        <v>807.0</v>
      </c>
      <c r="D475" s="1">
        <v>798.55</v>
      </c>
      <c r="E475" s="1">
        <v>795.9</v>
      </c>
      <c r="F475" s="1">
        <v>801.05</v>
      </c>
      <c r="G475" s="1">
        <v>802.89</v>
      </c>
      <c r="H475" s="1" t="s">
        <v>5259</v>
      </c>
      <c r="I475" s="1" t="s">
        <v>5260</v>
      </c>
      <c r="J475" s="1" t="s">
        <v>5262</v>
      </c>
      <c r="K475" s="6">
        <f t="shared" si="2"/>
        <v>0.006470662143</v>
      </c>
      <c r="L475" s="7">
        <v>0.003935770215546926</v>
      </c>
      <c r="M475" s="8">
        <f t="shared" si="1"/>
        <v>25871958</v>
      </c>
    </row>
    <row r="476">
      <c r="A476" s="3">
        <v>46209.0</v>
      </c>
      <c r="B476" s="1">
        <v>805.0</v>
      </c>
      <c r="C476" s="1">
        <v>831.5</v>
      </c>
      <c r="D476" s="1">
        <v>805.0</v>
      </c>
      <c r="E476" s="1">
        <v>801.05</v>
      </c>
      <c r="F476" s="1">
        <v>829.85</v>
      </c>
      <c r="G476" s="1">
        <v>824.42</v>
      </c>
      <c r="H476" s="1" t="s">
        <v>5268</v>
      </c>
      <c r="I476" s="1" t="s">
        <v>5269</v>
      </c>
      <c r="J476" s="1" t="s">
        <v>5271</v>
      </c>
      <c r="K476" s="6">
        <f t="shared" si="2"/>
        <v>0.03595281193</v>
      </c>
      <c r="L476" s="7">
        <v>0.0065716693070082014</v>
      </c>
      <c r="M476" s="8">
        <f t="shared" si="1"/>
        <v>63203327</v>
      </c>
    </row>
    <row r="477">
      <c r="A477" s="3">
        <v>46210.0</v>
      </c>
      <c r="B477" s="1">
        <v>843.0</v>
      </c>
      <c r="C477" s="1">
        <v>843.0</v>
      </c>
      <c r="D477" s="1">
        <v>826.1</v>
      </c>
      <c r="E477" s="1">
        <v>829.85</v>
      </c>
      <c r="F477" s="1">
        <v>829.3</v>
      </c>
      <c r="G477" s="1">
        <v>834.07</v>
      </c>
      <c r="H477" s="1" t="s">
        <v>5277</v>
      </c>
      <c r="I477" s="1" t="s">
        <v>5278</v>
      </c>
      <c r="J477" s="1" t="s">
        <v>5279</v>
      </c>
      <c r="K477" s="6">
        <f t="shared" si="2"/>
        <v>-0.0006627703802</v>
      </c>
      <c r="L477" s="7">
        <v>-0.0012955197121612182</v>
      </c>
      <c r="M477" s="8">
        <f t="shared" si="1"/>
        <v>57611729</v>
      </c>
    </row>
    <row r="478">
      <c r="A478" s="3">
        <v>46211.0</v>
      </c>
      <c r="B478" s="1">
        <v>825.9</v>
      </c>
      <c r="C478" s="1">
        <v>834.35</v>
      </c>
      <c r="D478" s="1">
        <v>806.95</v>
      </c>
      <c r="E478" s="1">
        <v>829.3</v>
      </c>
      <c r="F478" s="1">
        <v>810.3</v>
      </c>
      <c r="G478" s="1">
        <v>821.95</v>
      </c>
      <c r="H478" s="1" t="s">
        <v>5286</v>
      </c>
      <c r="I478" s="1" t="s">
        <v>5287</v>
      </c>
      <c r="J478" s="1" t="s">
        <v>5288</v>
      </c>
      <c r="K478" s="6">
        <f t="shared" si="2"/>
        <v>-0.0229108887</v>
      </c>
      <c r="L478" s="7">
        <v>-0.02117530852053599</v>
      </c>
      <c r="M478" s="8">
        <f t="shared" si="1"/>
        <v>38754632</v>
      </c>
    </row>
    <row r="479">
      <c r="A479" s="3">
        <v>46212.0</v>
      </c>
      <c r="B479" s="1">
        <v>813.0</v>
      </c>
      <c r="C479" s="1">
        <v>822.85</v>
      </c>
      <c r="D479" s="1">
        <v>812.3</v>
      </c>
      <c r="E479" s="1">
        <v>810.3</v>
      </c>
      <c r="F479" s="1">
        <v>817.55</v>
      </c>
      <c r="G479" s="1">
        <v>818.64</v>
      </c>
      <c r="H479" s="1" t="s">
        <v>5292</v>
      </c>
      <c r="I479" s="1" t="s">
        <v>5293</v>
      </c>
      <c r="J479" s="1" t="s">
        <v>5294</v>
      </c>
      <c r="K479" s="6">
        <f t="shared" si="2"/>
        <v>0.008947303468</v>
      </c>
      <c r="L479" s="7">
        <v>0.0033812005250805524</v>
      </c>
      <c r="M479" s="8">
        <f t="shared" si="1"/>
        <v>39891798</v>
      </c>
    </row>
    <row r="480">
      <c r="A480" s="9">
        <v>46213.0</v>
      </c>
      <c r="B480" s="1">
        <v>824.0</v>
      </c>
      <c r="C480" s="1">
        <v>827.7</v>
      </c>
      <c r="D480" s="1">
        <v>820.3</v>
      </c>
      <c r="E480" s="1">
        <v>817.55</v>
      </c>
      <c r="F480" s="1">
        <v>824.95</v>
      </c>
      <c r="G480" s="1">
        <v>824.61</v>
      </c>
      <c r="H480" s="1" t="s">
        <v>5301</v>
      </c>
      <c r="I480" s="1" t="s">
        <v>5302</v>
      </c>
      <c r="J480" s="1" t="s">
        <v>5303</v>
      </c>
      <c r="K480" s="6">
        <f t="shared" si="2"/>
        <v>0.009051434163</v>
      </c>
      <c r="L480" s="7">
        <v>0.010186622598360884</v>
      </c>
      <c r="M480" s="8">
        <f t="shared" si="1"/>
        <v>23595785</v>
      </c>
    </row>
    <row r="481">
      <c r="A481" s="9">
        <v>46216.0</v>
      </c>
      <c r="B481" s="1">
        <v>817.0</v>
      </c>
      <c r="C481" s="1">
        <v>821.95</v>
      </c>
      <c r="D481" s="1">
        <v>811.0</v>
      </c>
      <c r="E481" s="1">
        <v>824.95</v>
      </c>
      <c r="F481" s="1">
        <v>817.95</v>
      </c>
      <c r="G481" s="1">
        <v>817.72</v>
      </c>
      <c r="H481" s="1" t="s">
        <v>5307</v>
      </c>
      <c r="I481" s="1" t="s">
        <v>5309</v>
      </c>
      <c r="J481" s="1" t="s">
        <v>5311</v>
      </c>
      <c r="K481" s="6">
        <f t="shared" si="2"/>
        <v>-0.008485362749</v>
      </c>
      <c r="L481" s="7">
        <v>1.6937319524592347E-4</v>
      </c>
      <c r="M481" s="8">
        <f t="shared" si="1"/>
        <v>21741736</v>
      </c>
    </row>
    <row r="482">
      <c r="A482" s="9">
        <v>46217.0</v>
      </c>
      <c r="B482" s="1">
        <v>811.4</v>
      </c>
      <c r="C482" s="1">
        <v>818.4</v>
      </c>
      <c r="D482" s="1">
        <v>807.0</v>
      </c>
      <c r="E482" s="1">
        <v>817.95</v>
      </c>
      <c r="F482" s="1">
        <v>809.4</v>
      </c>
      <c r="G482" s="1">
        <v>811.9</v>
      </c>
      <c r="H482" s="1" t="s">
        <v>5316</v>
      </c>
      <c r="I482" s="1" t="s">
        <v>5317</v>
      </c>
      <c r="J482" s="1" t="s">
        <v>5319</v>
      </c>
      <c r="K482" s="6">
        <f t="shared" si="2"/>
        <v>-0.01045296167</v>
      </c>
      <c r="L482" s="7">
        <v>-0.0065651976374375585</v>
      </c>
      <c r="M482" s="8">
        <f t="shared" si="1"/>
        <v>25605395</v>
      </c>
    </row>
    <row r="483">
      <c r="A483" s="9">
        <v>46218.0</v>
      </c>
      <c r="B483" s="1">
        <v>811.0</v>
      </c>
      <c r="C483" s="1">
        <v>819.7</v>
      </c>
      <c r="D483" s="1">
        <v>809.7</v>
      </c>
      <c r="E483" s="1">
        <v>809.4</v>
      </c>
      <c r="F483" s="1">
        <v>815.45</v>
      </c>
      <c r="G483" s="1">
        <v>815.46</v>
      </c>
      <c r="H483" s="1" t="s">
        <v>5323</v>
      </c>
      <c r="I483" s="1" t="s">
        <v>5325</v>
      </c>
      <c r="J483" s="1" t="s">
        <v>5327</v>
      </c>
      <c r="K483" s="6">
        <f t="shared" si="2"/>
        <v>0.007474672597</v>
      </c>
      <c r="L483" s="7">
        <v>0.0010996983625096708</v>
      </c>
      <c r="M483" s="8">
        <f t="shared" si="1"/>
        <v>21488739</v>
      </c>
    </row>
    <row r="484">
      <c r="A484" s="9">
        <v>46219.0</v>
      </c>
      <c r="B484" s="1">
        <v>814.5</v>
      </c>
      <c r="C484" s="1">
        <v>818.0</v>
      </c>
      <c r="D484" s="1">
        <v>806.5</v>
      </c>
      <c r="E484" s="1">
        <v>815.45</v>
      </c>
      <c r="F484" s="1">
        <v>808.3</v>
      </c>
      <c r="G484" s="1">
        <v>810.8</v>
      </c>
      <c r="H484" s="1" t="s">
        <v>5331</v>
      </c>
      <c r="I484" s="1" t="s">
        <v>5333</v>
      </c>
      <c r="J484" s="1" t="s">
        <v>5336</v>
      </c>
      <c r="K484" s="6">
        <f t="shared" si="2"/>
        <v>-0.008768164817</v>
      </c>
      <c r="L484" s="7">
        <v>-2.3880225097078306E-4</v>
      </c>
      <c r="M484" s="8">
        <f t="shared" si="1"/>
        <v>18698186</v>
      </c>
    </row>
    <row r="485">
      <c r="A485" s="9">
        <v>46220.0</v>
      </c>
      <c r="B485" s="1">
        <v>810.0</v>
      </c>
      <c r="C485" s="1">
        <v>823.7</v>
      </c>
      <c r="D485" s="1">
        <v>808.5</v>
      </c>
      <c r="E485" s="1">
        <v>808.3</v>
      </c>
      <c r="F485" s="1">
        <v>819.6</v>
      </c>
      <c r="G485" s="1">
        <v>817.91</v>
      </c>
      <c r="H485" s="1" t="s">
        <v>5340</v>
      </c>
      <c r="I485" s="1" t="s">
        <v>5341</v>
      </c>
      <c r="J485" s="1" t="s">
        <v>5344</v>
      </c>
      <c r="K485" s="6">
        <f t="shared" si="2"/>
        <v>0.01397995794</v>
      </c>
      <c r="L485" s="7">
        <v>0.010864982189405003</v>
      </c>
      <c r="M485" s="8">
        <f t="shared" si="1"/>
        <v>17415322</v>
      </c>
    </row>
    <row r="486">
      <c r="A486" s="9">
        <v>46223.0</v>
      </c>
      <c r="B486" s="1">
        <v>790.0</v>
      </c>
      <c r="C486" s="1">
        <v>790.0</v>
      </c>
      <c r="D486" s="1">
        <v>774.55</v>
      </c>
      <c r="E486" s="1">
        <v>819.6</v>
      </c>
      <c r="F486" s="1">
        <v>777.6</v>
      </c>
      <c r="G486" s="1">
        <v>780.64</v>
      </c>
      <c r="H486" s="1" t="s">
        <v>5348</v>
      </c>
      <c r="I486" s="1" t="s">
        <v>5349</v>
      </c>
      <c r="J486" s="1" t="s">
        <v>5351</v>
      </c>
      <c r="K486" s="6">
        <f t="shared" si="2"/>
        <v>-0.05124450952</v>
      </c>
      <c r="L486" s="7">
        <v>-0.003936829906757099</v>
      </c>
      <c r="M486" s="8">
        <f t="shared" si="1"/>
        <v>56061789</v>
      </c>
    </row>
    <row r="487">
      <c r="A487" s="9">
        <v>46224.0</v>
      </c>
      <c r="B487" s="1">
        <v>769.15</v>
      </c>
      <c r="C487" s="1">
        <v>772.5</v>
      </c>
      <c r="D487" s="1">
        <v>760.1</v>
      </c>
      <c r="E487" s="1">
        <v>777.6</v>
      </c>
      <c r="F487" s="1">
        <v>761.45</v>
      </c>
      <c r="G487" s="1">
        <v>765.46</v>
      </c>
      <c r="H487" s="1" t="s">
        <v>5356</v>
      </c>
      <c r="I487" s="1" t="s">
        <v>5357</v>
      </c>
      <c r="J487" s="1" t="s">
        <v>5358</v>
      </c>
      <c r="K487" s="6">
        <f t="shared" si="2"/>
        <v>-0.02076903292</v>
      </c>
      <c r="L487" s="7">
        <v>-0.0020958392639808267</v>
      </c>
      <c r="M487" s="8">
        <f t="shared" si="1"/>
        <v>42246009</v>
      </c>
    </row>
    <row r="488">
      <c r="A488" s="9">
        <v>46225.0</v>
      </c>
      <c r="B488" s="1">
        <v>760.25</v>
      </c>
      <c r="C488" s="1">
        <v>761.35</v>
      </c>
      <c r="D488" s="1">
        <v>750.35</v>
      </c>
      <c r="E488" s="1">
        <v>761.45</v>
      </c>
      <c r="F488" s="1">
        <v>753.15</v>
      </c>
      <c r="G488" s="1">
        <v>753.56</v>
      </c>
      <c r="H488" s="1" t="s">
        <v>5365</v>
      </c>
      <c r="I488" s="1" t="s">
        <v>5366</v>
      </c>
      <c r="J488" s="1" t="s">
        <v>5367</v>
      </c>
      <c r="K488" s="6">
        <f t="shared" si="2"/>
        <v>-0.01090025609</v>
      </c>
      <c r="L488" s="7">
        <v>-0.007915180029519166</v>
      </c>
      <c r="M488" s="8">
        <f t="shared" si="1"/>
        <v>23385446</v>
      </c>
    </row>
    <row r="489">
      <c r="A489" s="9">
        <v>46226.0</v>
      </c>
      <c r="B489" s="1">
        <v>749.4</v>
      </c>
      <c r="C489" s="1">
        <v>751.0</v>
      </c>
      <c r="D489" s="1">
        <v>743.25</v>
      </c>
      <c r="E489" s="1">
        <v>753.15</v>
      </c>
      <c r="F489" s="1">
        <v>747.25</v>
      </c>
      <c r="G489" s="1">
        <v>746.39</v>
      </c>
      <c r="H489" s="1" t="s">
        <v>5374</v>
      </c>
      <c r="I489" s="1" t="s">
        <v>5375</v>
      </c>
      <c r="J489" s="1" t="s">
        <v>5376</v>
      </c>
      <c r="K489" s="6">
        <f t="shared" si="2"/>
        <v>-0.007833764854</v>
      </c>
      <c r="L489" s="7">
        <v>-0.005277908006459403</v>
      </c>
      <c r="M489" s="8">
        <f t="shared" si="1"/>
        <v>32532090</v>
      </c>
    </row>
    <row r="490">
      <c r="A490" s="9">
        <v>46227.0</v>
      </c>
      <c r="B490" s="1">
        <v>738.5</v>
      </c>
      <c r="C490" s="1">
        <v>748.25</v>
      </c>
      <c r="D490" s="1">
        <v>737.25</v>
      </c>
      <c r="E490" s="1">
        <v>747.25</v>
      </c>
      <c r="F490" s="1">
        <v>742.8</v>
      </c>
      <c r="G490" s="1">
        <v>742.56</v>
      </c>
      <c r="H490" s="1" t="s">
        <v>5383</v>
      </c>
      <c r="I490" s="1" t="s">
        <v>5384</v>
      </c>
      <c r="J490" s="1" t="s">
        <v>5385</v>
      </c>
      <c r="K490" s="6">
        <f t="shared" si="2"/>
        <v>-0.005955168953</v>
      </c>
      <c r="L490" s="7">
        <v>-0.00427950196065279</v>
      </c>
      <c r="M490" s="8">
        <f t="shared" si="1"/>
        <v>23837859</v>
      </c>
    </row>
    <row r="491">
      <c r="A491" s="9">
        <v>46230.0</v>
      </c>
      <c r="B491" s="1">
        <v>746.1</v>
      </c>
      <c r="C491" s="1">
        <v>747.95</v>
      </c>
      <c r="D491" s="1">
        <v>738.1</v>
      </c>
      <c r="E491" s="1">
        <v>742.8</v>
      </c>
      <c r="F491" s="1">
        <v>739.55</v>
      </c>
      <c r="G491" s="1">
        <v>740.88</v>
      </c>
      <c r="H491" s="1" t="s">
        <v>5391</v>
      </c>
      <c r="I491" s="1" t="s">
        <v>5392</v>
      </c>
      <c r="J491" s="1" t="s">
        <v>5393</v>
      </c>
      <c r="K491" s="6">
        <f t="shared" si="2"/>
        <v>-0.004375336564</v>
      </c>
      <c r="L491" s="7">
        <v>0.009613988879749406</v>
      </c>
      <c r="M491" s="8">
        <f t="shared" si="1"/>
        <v>29678752</v>
      </c>
    </row>
    <row r="492">
      <c r="A492" s="9">
        <v>46231.0</v>
      </c>
      <c r="B492" s="1">
        <v>732.0</v>
      </c>
      <c r="C492" s="1">
        <v>740.25</v>
      </c>
      <c r="D492" s="1">
        <v>732.0</v>
      </c>
      <c r="E492" s="1">
        <v>739.55</v>
      </c>
      <c r="F492" s="1">
        <v>735.4</v>
      </c>
      <c r="G492" s="1">
        <v>736.47</v>
      </c>
      <c r="H492" s="1" t="s">
        <v>5400</v>
      </c>
      <c r="I492" s="1" t="s">
        <v>5401</v>
      </c>
      <c r="J492" s="1" t="s">
        <v>5402</v>
      </c>
      <c r="K492" s="6">
        <f t="shared" si="2"/>
        <v>-0.005611520519</v>
      </c>
      <c r="L492" s="7">
        <v>-4.417412104960288E-4</v>
      </c>
      <c r="M492" s="8">
        <f t="shared" si="1"/>
        <v>33886037</v>
      </c>
    </row>
    <row r="493">
      <c r="A493" s="9">
        <v>46232.0</v>
      </c>
      <c r="B493" s="1">
        <v>743.0</v>
      </c>
      <c r="C493" s="1">
        <v>751.25</v>
      </c>
      <c r="D493" s="1">
        <v>740.8</v>
      </c>
      <c r="E493" s="1">
        <v>735.4</v>
      </c>
      <c r="F493" s="1">
        <v>748.2</v>
      </c>
      <c r="G493" s="1">
        <v>747.8</v>
      </c>
      <c r="H493" s="1" t="s">
        <v>5409</v>
      </c>
      <c r="I493" s="1" t="s">
        <v>5410</v>
      </c>
      <c r="J493" s="1" t="s">
        <v>5411</v>
      </c>
      <c r="K493" s="6">
        <f t="shared" si="2"/>
        <v>0.01740549361</v>
      </c>
      <c r="L493" s="7">
        <v>0.01104215698332533</v>
      </c>
      <c r="M493" s="8">
        <f t="shared" si="1"/>
        <v>20460659</v>
      </c>
    </row>
    <row r="494">
      <c r="A494" s="9">
        <v>46233.0</v>
      </c>
      <c r="B494" s="1">
        <v>752.8</v>
      </c>
      <c r="C494" s="1">
        <v>757.9</v>
      </c>
      <c r="D494" s="1">
        <v>745.5</v>
      </c>
      <c r="E494" s="1">
        <v>748.2</v>
      </c>
      <c r="F494" s="1">
        <v>753.95</v>
      </c>
      <c r="G494" s="1">
        <v>750.92</v>
      </c>
      <c r="H494" s="1" t="s">
        <v>5416</v>
      </c>
      <c r="I494" s="1" t="s">
        <v>5418</v>
      </c>
      <c r="J494" s="1" t="s">
        <v>5420</v>
      </c>
      <c r="K494" s="6">
        <f t="shared" si="2"/>
        <v>0.007685110933</v>
      </c>
      <c r="L494" s="7">
        <v>0.002760801972767265</v>
      </c>
      <c r="M494" s="8">
        <f t="shared" si="1"/>
        <v>35844392</v>
      </c>
    </row>
    <row r="495">
      <c r="A495" s="9">
        <v>46234.0</v>
      </c>
      <c r="B495" s="1">
        <v>753.95</v>
      </c>
      <c r="C495" s="1">
        <v>757.55</v>
      </c>
      <c r="D495" s="1">
        <v>747.2</v>
      </c>
      <c r="E495" s="1">
        <v>753.95</v>
      </c>
      <c r="F495" s="1">
        <v>748.15</v>
      </c>
      <c r="G495" s="1">
        <v>749.63</v>
      </c>
      <c r="H495" s="1" t="s">
        <v>5430</v>
      </c>
      <c r="I495" s="1" t="s">
        <v>5431</v>
      </c>
      <c r="J495" s="1" t="s">
        <v>5432</v>
      </c>
      <c r="K495" s="6">
        <f t="shared" si="2"/>
        <v>-0.007692817826</v>
      </c>
      <c r="L495" s="7">
        <v>0.002732639310116403</v>
      </c>
      <c r="M495" s="8">
        <f t="shared" si="1"/>
        <v>25522483</v>
      </c>
    </row>
    <row r="496">
      <c r="A496" s="3">
        <v>46237.0</v>
      </c>
      <c r="B496" s="1">
        <v>753.05</v>
      </c>
      <c r="C496" s="1">
        <v>756.85</v>
      </c>
      <c r="D496" s="1">
        <v>750.05</v>
      </c>
      <c r="E496" s="1">
        <v>748.15</v>
      </c>
      <c r="F496" s="1">
        <v>753.0</v>
      </c>
      <c r="G496" s="1">
        <v>752.96</v>
      </c>
      <c r="H496" s="1" t="s">
        <v>5439</v>
      </c>
      <c r="I496" s="1" t="s">
        <v>5440</v>
      </c>
      <c r="J496" s="1" t="s">
        <v>5441</v>
      </c>
      <c r="K496" s="6">
        <f t="shared" si="2"/>
        <v>0.006482657221</v>
      </c>
      <c r="L496" s="7">
        <v>0.01602306468281963</v>
      </c>
      <c r="M496" s="8">
        <f t="shared" si="1"/>
        <v>14827841</v>
      </c>
    </row>
    <row r="497">
      <c r="K497" s="6"/>
    </row>
    <row r="498">
      <c r="K498" s="6"/>
    </row>
    <row r="499">
      <c r="K499" s="6"/>
    </row>
    <row r="500">
      <c r="K500" s="6"/>
    </row>
    <row r="501">
      <c r="K501" s="6"/>
    </row>
    <row r="502">
      <c r="K502" s="6"/>
    </row>
    <row r="503">
      <c r="K503" s="6"/>
    </row>
    <row r="504">
      <c r="K504" s="6"/>
    </row>
    <row r="505">
      <c r="K505" s="6"/>
    </row>
    <row r="506">
      <c r="K506" s="6"/>
    </row>
    <row r="507">
      <c r="K507" s="6"/>
    </row>
    <row r="508">
      <c r="K508" s="6"/>
    </row>
    <row r="509">
      <c r="K509" s="6"/>
    </row>
    <row r="510">
      <c r="K510" s="6"/>
    </row>
    <row r="511">
      <c r="K511" s="6"/>
    </row>
    <row r="512">
      <c r="K512" s="6"/>
    </row>
    <row r="513">
      <c r="K513" s="6"/>
    </row>
    <row r="514">
      <c r="K514" s="6"/>
    </row>
    <row r="515">
      <c r="K515" s="6"/>
    </row>
    <row r="516">
      <c r="K516" s="6"/>
    </row>
    <row r="517">
      <c r="K517" s="6"/>
    </row>
    <row r="518">
      <c r="K518" s="6"/>
    </row>
    <row r="519">
      <c r="K519" s="6"/>
    </row>
    <row r="520">
      <c r="K520" s="6"/>
    </row>
    <row r="521">
      <c r="K521" s="6"/>
    </row>
    <row r="522">
      <c r="K522" s="6"/>
    </row>
    <row r="523">
      <c r="K523" s="6"/>
    </row>
    <row r="524">
      <c r="K524" s="6"/>
    </row>
    <row r="525">
      <c r="K525" s="6"/>
    </row>
    <row r="526">
      <c r="K526" s="6"/>
    </row>
    <row r="527">
      <c r="K527" s="6"/>
    </row>
    <row r="528">
      <c r="K528" s="6"/>
    </row>
    <row r="529">
      <c r="K529" s="6"/>
    </row>
    <row r="530">
      <c r="K530" s="6"/>
    </row>
    <row r="531">
      <c r="K531" s="6"/>
    </row>
    <row r="532">
      <c r="K532" s="6"/>
    </row>
    <row r="533">
      <c r="K533" s="6"/>
    </row>
    <row r="534">
      <c r="K534" s="6"/>
    </row>
    <row r="535">
      <c r="K535" s="6"/>
    </row>
    <row r="536">
      <c r="K536" s="6"/>
    </row>
    <row r="537">
      <c r="K537" s="6"/>
    </row>
    <row r="538">
      <c r="K538" s="6"/>
    </row>
    <row r="539">
      <c r="K539" s="6"/>
    </row>
    <row r="540">
      <c r="K540" s="6"/>
    </row>
    <row r="541">
      <c r="K541" s="6"/>
    </row>
    <row r="542">
      <c r="K542" s="6"/>
    </row>
    <row r="543">
      <c r="K543" s="6"/>
    </row>
    <row r="544">
      <c r="K544" s="6"/>
    </row>
    <row r="545">
      <c r="K545" s="6"/>
    </row>
    <row r="546">
      <c r="K546" s="6"/>
    </row>
    <row r="547">
      <c r="K547" s="6"/>
    </row>
    <row r="548">
      <c r="K548" s="6"/>
    </row>
    <row r="549">
      <c r="K549" s="6"/>
    </row>
    <row r="550">
      <c r="K550" s="6"/>
    </row>
    <row r="551">
      <c r="K551" s="6"/>
    </row>
    <row r="552">
      <c r="K552" s="6"/>
    </row>
    <row r="553">
      <c r="K553" s="6"/>
    </row>
    <row r="554">
      <c r="K554" s="6"/>
    </row>
    <row r="555">
      <c r="K555" s="6"/>
    </row>
    <row r="556">
      <c r="K556" s="6"/>
    </row>
    <row r="557">
      <c r="K557" s="6"/>
    </row>
    <row r="558">
      <c r="K558" s="6"/>
    </row>
    <row r="559">
      <c r="K559" s="6"/>
    </row>
    <row r="560">
      <c r="K560" s="6"/>
    </row>
    <row r="561">
      <c r="K561" s="6"/>
    </row>
    <row r="562">
      <c r="K562" s="6"/>
    </row>
    <row r="563">
      <c r="K563" s="6"/>
    </row>
    <row r="564">
      <c r="K564" s="6"/>
    </row>
    <row r="565">
      <c r="K565" s="6"/>
    </row>
    <row r="566">
      <c r="K566" s="6"/>
    </row>
    <row r="567">
      <c r="K567" s="6"/>
    </row>
    <row r="568">
      <c r="K568" s="6"/>
    </row>
    <row r="569">
      <c r="K569" s="6"/>
    </row>
    <row r="570">
      <c r="K570" s="6"/>
    </row>
    <row r="571">
      <c r="K571" s="6"/>
    </row>
    <row r="572">
      <c r="K572" s="6"/>
    </row>
    <row r="573">
      <c r="K573" s="6"/>
    </row>
    <row r="574">
      <c r="K574" s="6"/>
    </row>
    <row r="575">
      <c r="K575" s="6"/>
    </row>
    <row r="576">
      <c r="K576" s="6"/>
    </row>
    <row r="577">
      <c r="K577" s="6"/>
    </row>
    <row r="578">
      <c r="K578" s="6"/>
    </row>
    <row r="579">
      <c r="K579" s="6"/>
    </row>
    <row r="580">
      <c r="K580" s="6"/>
    </row>
    <row r="581">
      <c r="K581" s="6"/>
    </row>
    <row r="582">
      <c r="K582" s="6"/>
    </row>
    <row r="583">
      <c r="K583" s="6"/>
    </row>
    <row r="584">
      <c r="K584" s="6"/>
    </row>
    <row r="585">
      <c r="K585" s="6"/>
    </row>
    <row r="586">
      <c r="K586" s="6"/>
    </row>
    <row r="587">
      <c r="K587" s="6"/>
    </row>
    <row r="588">
      <c r="K588" s="6"/>
    </row>
    <row r="589">
      <c r="K589" s="6"/>
    </row>
    <row r="590">
      <c r="K590" s="6"/>
    </row>
    <row r="591">
      <c r="K591" s="6"/>
    </row>
    <row r="592">
      <c r="K592" s="6"/>
    </row>
    <row r="593">
      <c r="K593" s="6"/>
    </row>
    <row r="594">
      <c r="K594" s="6"/>
    </row>
    <row r="595">
      <c r="K595" s="6"/>
    </row>
    <row r="596">
      <c r="K596" s="6"/>
    </row>
    <row r="597">
      <c r="K597" s="6"/>
    </row>
    <row r="598">
      <c r="K598" s="6"/>
    </row>
    <row r="599">
      <c r="K599" s="6"/>
    </row>
    <row r="600">
      <c r="K600" s="6"/>
    </row>
    <row r="601">
      <c r="K601" s="6"/>
    </row>
    <row r="602">
      <c r="K602" s="6"/>
    </row>
    <row r="603">
      <c r="K603" s="6"/>
    </row>
    <row r="604">
      <c r="K604" s="6"/>
    </row>
    <row r="605">
      <c r="K605" s="6"/>
    </row>
    <row r="606">
      <c r="K606" s="6"/>
    </row>
    <row r="607">
      <c r="K607" s="6"/>
    </row>
    <row r="608">
      <c r="K608" s="6"/>
    </row>
    <row r="609">
      <c r="K609" s="6"/>
    </row>
    <row r="610">
      <c r="K610" s="6"/>
    </row>
    <row r="611">
      <c r="K611" s="6"/>
    </row>
    <row r="612">
      <c r="K612" s="6"/>
    </row>
    <row r="613">
      <c r="K613" s="6"/>
    </row>
    <row r="614">
      <c r="K614" s="6"/>
    </row>
    <row r="615">
      <c r="K615" s="6"/>
    </row>
    <row r="616">
      <c r="K616" s="6"/>
    </row>
    <row r="617">
      <c r="K617" s="6"/>
    </row>
    <row r="618">
      <c r="K618" s="6"/>
    </row>
    <row r="619">
      <c r="K619" s="6"/>
    </row>
    <row r="620">
      <c r="K620" s="6"/>
    </row>
    <row r="621">
      <c r="K621" s="6"/>
    </row>
    <row r="622">
      <c r="K622" s="6"/>
    </row>
    <row r="623">
      <c r="K623" s="6"/>
    </row>
    <row r="624">
      <c r="K624" s="6"/>
    </row>
    <row r="625">
      <c r="K625" s="6"/>
    </row>
    <row r="626">
      <c r="K626" s="6"/>
    </row>
    <row r="627">
      <c r="K627" s="6"/>
    </row>
    <row r="628">
      <c r="K628" s="6"/>
    </row>
    <row r="629">
      <c r="K629" s="6"/>
    </row>
    <row r="630">
      <c r="K630" s="6"/>
    </row>
    <row r="631">
      <c r="K631" s="6"/>
    </row>
    <row r="632">
      <c r="K632" s="6"/>
    </row>
    <row r="633">
      <c r="K633" s="6"/>
    </row>
    <row r="634">
      <c r="K634" s="6"/>
    </row>
    <row r="635">
      <c r="K635" s="6"/>
    </row>
    <row r="636">
      <c r="K636" s="6"/>
    </row>
    <row r="637">
      <c r="K637" s="6"/>
    </row>
    <row r="638">
      <c r="K638" s="6"/>
    </row>
    <row r="639">
      <c r="K639" s="6"/>
    </row>
    <row r="640">
      <c r="K640" s="6"/>
    </row>
    <row r="641">
      <c r="K641" s="6"/>
    </row>
    <row r="642">
      <c r="K642" s="6"/>
    </row>
    <row r="643">
      <c r="K643" s="6"/>
    </row>
    <row r="644">
      <c r="K644" s="6"/>
    </row>
    <row r="645">
      <c r="K645" s="6"/>
    </row>
    <row r="646">
      <c r="K646" s="6"/>
    </row>
    <row r="647">
      <c r="K647" s="6"/>
    </row>
    <row r="648">
      <c r="K648" s="6"/>
    </row>
    <row r="649">
      <c r="K649" s="6"/>
    </row>
    <row r="650">
      <c r="K650" s="6"/>
    </row>
    <row r="651">
      <c r="K651" s="6"/>
    </row>
    <row r="652">
      <c r="K652" s="6"/>
    </row>
    <row r="653">
      <c r="K653" s="6"/>
    </row>
    <row r="654">
      <c r="K654" s="6"/>
    </row>
    <row r="655">
      <c r="K655" s="6"/>
    </row>
    <row r="656">
      <c r="K656" s="6"/>
    </row>
    <row r="657">
      <c r="K657" s="6"/>
    </row>
    <row r="658">
      <c r="K658" s="6"/>
    </row>
    <row r="659">
      <c r="K659" s="6"/>
    </row>
    <row r="660">
      <c r="K660" s="6"/>
    </row>
    <row r="661">
      <c r="K661" s="6"/>
    </row>
    <row r="662">
      <c r="K662" s="6"/>
    </row>
    <row r="663">
      <c r="K663" s="6"/>
    </row>
    <row r="664">
      <c r="K664" s="6"/>
    </row>
    <row r="665">
      <c r="K665" s="6"/>
    </row>
    <row r="666">
      <c r="K666" s="6"/>
    </row>
    <row r="667">
      <c r="K667" s="6"/>
    </row>
    <row r="668">
      <c r="K668" s="6"/>
    </row>
    <row r="669">
      <c r="K669" s="6"/>
    </row>
    <row r="670">
      <c r="K670" s="6"/>
    </row>
    <row r="671">
      <c r="K671" s="6"/>
    </row>
    <row r="672">
      <c r="K672" s="6"/>
    </row>
    <row r="673">
      <c r="K673" s="6"/>
    </row>
    <row r="674">
      <c r="K674" s="6"/>
    </row>
    <row r="675">
      <c r="K675" s="6"/>
    </row>
    <row r="676">
      <c r="K676" s="6"/>
    </row>
    <row r="677">
      <c r="K677" s="6"/>
    </row>
    <row r="678">
      <c r="K678" s="6"/>
    </row>
    <row r="679">
      <c r="K679" s="6"/>
    </row>
    <row r="680">
      <c r="K680" s="6"/>
    </row>
    <row r="681">
      <c r="K681" s="6"/>
    </row>
    <row r="682">
      <c r="K682" s="6"/>
    </row>
    <row r="683">
      <c r="K683" s="6"/>
    </row>
    <row r="684">
      <c r="K684" s="6"/>
    </row>
    <row r="685">
      <c r="K685" s="6"/>
    </row>
    <row r="686">
      <c r="K686" s="6"/>
    </row>
    <row r="687">
      <c r="K687" s="6"/>
    </row>
    <row r="688">
      <c r="K688" s="6"/>
    </row>
    <row r="689">
      <c r="K689" s="6"/>
    </row>
    <row r="690">
      <c r="K690" s="6"/>
    </row>
    <row r="691">
      <c r="K691" s="6"/>
    </row>
    <row r="692">
      <c r="K692" s="6"/>
    </row>
    <row r="693">
      <c r="K693" s="6"/>
    </row>
    <row r="694">
      <c r="K694" s="6"/>
    </row>
    <row r="695">
      <c r="K695" s="6"/>
    </row>
    <row r="696">
      <c r="K696" s="6"/>
    </row>
    <row r="697">
      <c r="K697" s="6"/>
    </row>
    <row r="698">
      <c r="K698" s="6"/>
    </row>
    <row r="699">
      <c r="K699" s="6"/>
    </row>
    <row r="700">
      <c r="K700" s="6"/>
    </row>
    <row r="701">
      <c r="K701" s="6"/>
    </row>
    <row r="702">
      <c r="K702" s="6"/>
    </row>
    <row r="703">
      <c r="K703" s="6"/>
    </row>
    <row r="704">
      <c r="K704" s="6"/>
    </row>
    <row r="705">
      <c r="K705" s="6"/>
    </row>
    <row r="706">
      <c r="K706" s="6"/>
    </row>
    <row r="707">
      <c r="K707" s="6"/>
    </row>
    <row r="708">
      <c r="K708" s="6"/>
    </row>
    <row r="709">
      <c r="K709" s="6"/>
    </row>
    <row r="710">
      <c r="K710" s="6"/>
    </row>
    <row r="711">
      <c r="K711" s="6"/>
    </row>
    <row r="712">
      <c r="K712" s="6"/>
    </row>
    <row r="713">
      <c r="K713" s="6"/>
    </row>
    <row r="714">
      <c r="K714" s="6"/>
    </row>
    <row r="715">
      <c r="K715" s="6"/>
    </row>
    <row r="716">
      <c r="K716" s="6"/>
    </row>
    <row r="717">
      <c r="K717" s="6"/>
    </row>
    <row r="718">
      <c r="K718" s="6"/>
    </row>
    <row r="719">
      <c r="K719" s="6"/>
    </row>
    <row r="720">
      <c r="K720" s="6"/>
    </row>
    <row r="721">
      <c r="K721" s="6"/>
    </row>
    <row r="722">
      <c r="K722" s="6"/>
    </row>
    <row r="723">
      <c r="K723" s="6"/>
    </row>
    <row r="724">
      <c r="K724" s="6"/>
    </row>
    <row r="725">
      <c r="K725" s="6"/>
    </row>
    <row r="726">
      <c r="K726" s="6"/>
    </row>
    <row r="727">
      <c r="K727" s="6"/>
    </row>
    <row r="728">
      <c r="K728" s="6"/>
    </row>
    <row r="729">
      <c r="K729" s="6"/>
    </row>
    <row r="730">
      <c r="K730" s="6"/>
    </row>
    <row r="731">
      <c r="K731" s="6"/>
    </row>
    <row r="732">
      <c r="K732" s="6"/>
    </row>
    <row r="733">
      <c r="K733" s="6"/>
    </row>
    <row r="734">
      <c r="K734" s="6"/>
    </row>
    <row r="735">
      <c r="K735" s="6"/>
    </row>
    <row r="736">
      <c r="K736" s="6"/>
    </row>
    <row r="737">
      <c r="K737" s="6"/>
    </row>
    <row r="738">
      <c r="K738" s="6"/>
    </row>
    <row r="739">
      <c r="K739" s="6"/>
    </row>
    <row r="740">
      <c r="K740" s="6"/>
    </row>
    <row r="741">
      <c r="K741" s="6"/>
    </row>
    <row r="742">
      <c r="K742" s="6"/>
    </row>
    <row r="743">
      <c r="K743" s="6"/>
    </row>
    <row r="744">
      <c r="K744" s="6"/>
    </row>
    <row r="745">
      <c r="K745" s="6"/>
    </row>
    <row r="746">
      <c r="K746" s="6"/>
    </row>
    <row r="747">
      <c r="K747" s="6"/>
    </row>
    <row r="748">
      <c r="K748" s="6"/>
    </row>
    <row r="749">
      <c r="K749" s="6"/>
    </row>
    <row r="750">
      <c r="K750" s="6"/>
    </row>
    <row r="751">
      <c r="K751" s="6"/>
    </row>
    <row r="752">
      <c r="K752" s="6"/>
    </row>
    <row r="753">
      <c r="K753" s="6"/>
    </row>
    <row r="754">
      <c r="K754" s="6"/>
    </row>
    <row r="755">
      <c r="K755" s="6"/>
    </row>
    <row r="756">
      <c r="K756" s="6"/>
    </row>
    <row r="757">
      <c r="K757" s="6"/>
    </row>
    <row r="758">
      <c r="K758" s="6"/>
    </row>
    <row r="759">
      <c r="K759" s="6"/>
    </row>
    <row r="760">
      <c r="K760" s="6"/>
    </row>
    <row r="761">
      <c r="K761" s="6"/>
    </row>
    <row r="762">
      <c r="K762" s="6"/>
    </row>
    <row r="763">
      <c r="K763" s="6"/>
    </row>
    <row r="764">
      <c r="K764" s="6"/>
    </row>
    <row r="765">
      <c r="K765" s="6"/>
    </row>
    <row r="766">
      <c r="K766" s="6"/>
    </row>
    <row r="767">
      <c r="K767" s="6"/>
    </row>
    <row r="768">
      <c r="K768" s="6"/>
    </row>
    <row r="769">
      <c r="K769" s="6"/>
    </row>
    <row r="770">
      <c r="K770" s="6"/>
    </row>
    <row r="771">
      <c r="K771" s="6"/>
    </row>
    <row r="772">
      <c r="K772" s="6"/>
    </row>
    <row r="773">
      <c r="K773" s="6"/>
    </row>
    <row r="774">
      <c r="K774" s="6"/>
    </row>
    <row r="775">
      <c r="K775" s="6"/>
    </row>
    <row r="776">
      <c r="K776" s="6"/>
    </row>
    <row r="777">
      <c r="K777" s="6"/>
    </row>
    <row r="778">
      <c r="K778" s="6"/>
    </row>
    <row r="779">
      <c r="K779" s="6"/>
    </row>
    <row r="780">
      <c r="K780" s="6"/>
    </row>
    <row r="781">
      <c r="K781" s="6"/>
    </row>
    <row r="782">
      <c r="K782" s="6"/>
    </row>
    <row r="783">
      <c r="K783" s="6"/>
    </row>
    <row r="784">
      <c r="K784" s="6"/>
    </row>
    <row r="785">
      <c r="K785" s="6"/>
    </row>
    <row r="786">
      <c r="K786" s="6"/>
    </row>
    <row r="787">
      <c r="K787" s="6"/>
    </row>
    <row r="788">
      <c r="K788" s="6"/>
    </row>
    <row r="789">
      <c r="K789" s="6"/>
    </row>
    <row r="790">
      <c r="K790" s="6"/>
    </row>
    <row r="791">
      <c r="K791" s="6"/>
    </row>
    <row r="792">
      <c r="K792" s="6"/>
    </row>
    <row r="793">
      <c r="K793" s="6"/>
    </row>
    <row r="794">
      <c r="K794" s="6"/>
    </row>
    <row r="795">
      <c r="K795" s="6"/>
    </row>
    <row r="796">
      <c r="K796" s="6"/>
    </row>
    <row r="797">
      <c r="K797" s="6"/>
    </row>
    <row r="798">
      <c r="K798" s="6"/>
    </row>
    <row r="799">
      <c r="K799" s="6"/>
    </row>
    <row r="800">
      <c r="K800" s="6"/>
    </row>
    <row r="801">
      <c r="K801" s="6"/>
    </row>
    <row r="802">
      <c r="K802" s="6"/>
    </row>
    <row r="803">
      <c r="K803" s="6"/>
    </row>
    <row r="804">
      <c r="K804" s="6"/>
    </row>
    <row r="805">
      <c r="K805" s="6"/>
    </row>
    <row r="806">
      <c r="K806" s="6"/>
    </row>
    <row r="807">
      <c r="K807" s="6"/>
    </row>
    <row r="808">
      <c r="K808" s="6"/>
    </row>
    <row r="809">
      <c r="K809" s="6"/>
    </row>
    <row r="810">
      <c r="K810" s="6"/>
    </row>
    <row r="811">
      <c r="K811" s="6"/>
    </row>
    <row r="812">
      <c r="K812" s="6"/>
    </row>
    <row r="813">
      <c r="K813" s="6"/>
    </row>
    <row r="814">
      <c r="K814" s="6"/>
    </row>
    <row r="815">
      <c r="K815" s="6"/>
    </row>
    <row r="816">
      <c r="K816" s="6"/>
    </row>
    <row r="817">
      <c r="K817" s="6"/>
    </row>
    <row r="818">
      <c r="K818" s="6"/>
    </row>
    <row r="819">
      <c r="K819" s="6"/>
    </row>
    <row r="820">
      <c r="K820" s="6"/>
    </row>
    <row r="821">
      <c r="K821" s="6"/>
    </row>
    <row r="822">
      <c r="K822" s="6"/>
    </row>
    <row r="823">
      <c r="K823" s="6"/>
    </row>
    <row r="824">
      <c r="K824" s="6"/>
    </row>
    <row r="825">
      <c r="K825" s="6"/>
    </row>
    <row r="826">
      <c r="K826" s="6"/>
    </row>
    <row r="827">
      <c r="K827" s="6"/>
    </row>
    <row r="828">
      <c r="K828" s="6"/>
    </row>
    <row r="829">
      <c r="K829" s="6"/>
    </row>
    <row r="830">
      <c r="K830" s="6"/>
    </row>
    <row r="831">
      <c r="K831" s="6"/>
    </row>
    <row r="832">
      <c r="K832" s="6"/>
    </row>
    <row r="833">
      <c r="K833" s="6"/>
    </row>
    <row r="834">
      <c r="K834" s="6"/>
    </row>
    <row r="835">
      <c r="K835" s="6"/>
    </row>
    <row r="836">
      <c r="K836" s="6"/>
    </row>
    <row r="837">
      <c r="K837" s="6"/>
    </row>
    <row r="838">
      <c r="K838" s="6"/>
    </row>
    <row r="839">
      <c r="K839" s="6"/>
    </row>
    <row r="840">
      <c r="K840" s="6"/>
    </row>
    <row r="841">
      <c r="K841" s="6"/>
    </row>
    <row r="842">
      <c r="K842" s="6"/>
    </row>
    <row r="843">
      <c r="K843" s="6"/>
    </row>
    <row r="844">
      <c r="K844" s="6"/>
    </row>
    <row r="845">
      <c r="K845" s="6"/>
    </row>
    <row r="846">
      <c r="K846" s="6"/>
    </row>
    <row r="847">
      <c r="K847" s="6"/>
    </row>
    <row r="848">
      <c r="K848" s="6"/>
    </row>
    <row r="849">
      <c r="K849" s="6"/>
    </row>
    <row r="850">
      <c r="K850" s="6"/>
    </row>
    <row r="851">
      <c r="K851" s="6"/>
    </row>
    <row r="852">
      <c r="K852" s="6"/>
    </row>
    <row r="853">
      <c r="K853" s="6"/>
    </row>
    <row r="854">
      <c r="K854" s="6"/>
    </row>
    <row r="855">
      <c r="K855" s="6"/>
    </row>
    <row r="856">
      <c r="K856" s="6"/>
    </row>
    <row r="857">
      <c r="K857" s="6"/>
    </row>
    <row r="858">
      <c r="K858" s="6"/>
    </row>
    <row r="859">
      <c r="K859" s="6"/>
    </row>
    <row r="860">
      <c r="K860" s="6"/>
    </row>
    <row r="861">
      <c r="K861" s="6"/>
    </row>
    <row r="862">
      <c r="K862" s="6"/>
    </row>
    <row r="863">
      <c r="K863" s="6"/>
    </row>
    <row r="864">
      <c r="K864" s="6"/>
    </row>
    <row r="865">
      <c r="K865" s="6"/>
    </row>
    <row r="866">
      <c r="K866" s="6"/>
    </row>
    <row r="867">
      <c r="K867" s="6"/>
    </row>
    <row r="868">
      <c r="K868" s="6"/>
    </row>
    <row r="869">
      <c r="K869" s="6"/>
    </row>
    <row r="870">
      <c r="K870" s="6"/>
    </row>
    <row r="871">
      <c r="K871" s="6"/>
    </row>
    <row r="872">
      <c r="K872" s="6"/>
    </row>
    <row r="873">
      <c r="K873" s="6"/>
    </row>
    <row r="874">
      <c r="K874" s="6"/>
    </row>
    <row r="875">
      <c r="K875" s="6"/>
    </row>
    <row r="876">
      <c r="K876" s="6"/>
    </row>
    <row r="877">
      <c r="K877" s="6"/>
    </row>
    <row r="878">
      <c r="K878" s="6"/>
    </row>
    <row r="879">
      <c r="K879" s="6"/>
    </row>
    <row r="880">
      <c r="K880" s="6"/>
    </row>
    <row r="881">
      <c r="K881" s="6"/>
    </row>
    <row r="882">
      <c r="K882" s="6"/>
    </row>
    <row r="883">
      <c r="K883" s="6"/>
    </row>
    <row r="884">
      <c r="K884" s="6"/>
    </row>
    <row r="885">
      <c r="K885" s="6"/>
    </row>
    <row r="886">
      <c r="K886" s="6"/>
    </row>
    <row r="887">
      <c r="K887" s="6"/>
    </row>
    <row r="888">
      <c r="K888" s="6"/>
    </row>
    <row r="889">
      <c r="K889" s="6"/>
    </row>
    <row r="890">
      <c r="K890" s="6"/>
    </row>
    <row r="891">
      <c r="K891" s="6"/>
    </row>
    <row r="892">
      <c r="K892" s="6"/>
    </row>
    <row r="893">
      <c r="K893" s="6"/>
    </row>
    <row r="894">
      <c r="K894" s="6"/>
    </row>
    <row r="895">
      <c r="K895" s="6"/>
    </row>
    <row r="896">
      <c r="K896" s="6"/>
    </row>
    <row r="897">
      <c r="K897" s="6"/>
    </row>
    <row r="898">
      <c r="K898" s="6"/>
    </row>
    <row r="899">
      <c r="K899" s="6"/>
    </row>
    <row r="900">
      <c r="K900" s="6"/>
    </row>
    <row r="901">
      <c r="K901" s="6"/>
    </row>
    <row r="902">
      <c r="K902" s="6"/>
    </row>
    <row r="903">
      <c r="K903" s="6"/>
    </row>
    <row r="904">
      <c r="K904" s="6"/>
    </row>
    <row r="905">
      <c r="K905" s="6"/>
    </row>
    <row r="906">
      <c r="K906" s="6"/>
    </row>
    <row r="907">
      <c r="K907" s="6"/>
    </row>
    <row r="908">
      <c r="K908" s="6"/>
    </row>
    <row r="909">
      <c r="K909" s="6"/>
    </row>
    <row r="910">
      <c r="K910" s="6"/>
    </row>
    <row r="911">
      <c r="K911" s="6"/>
    </row>
    <row r="912">
      <c r="K912" s="6"/>
    </row>
    <row r="913">
      <c r="K913" s="6"/>
    </row>
    <row r="914">
      <c r="K914" s="6"/>
    </row>
    <row r="915">
      <c r="K915" s="6"/>
    </row>
    <row r="916">
      <c r="K916" s="6"/>
    </row>
    <row r="917">
      <c r="K917" s="6"/>
    </row>
    <row r="918">
      <c r="K918" s="6"/>
    </row>
    <row r="919">
      <c r="K919" s="6"/>
    </row>
    <row r="920">
      <c r="K920" s="6"/>
    </row>
    <row r="921">
      <c r="K921" s="6"/>
    </row>
    <row r="922">
      <c r="K922" s="6"/>
    </row>
    <row r="923">
      <c r="K923" s="6"/>
    </row>
    <row r="924">
      <c r="K924" s="6"/>
    </row>
    <row r="925">
      <c r="K925" s="6"/>
    </row>
    <row r="926">
      <c r="K926" s="6"/>
    </row>
    <row r="927">
      <c r="K927" s="6"/>
    </row>
    <row r="928">
      <c r="K928" s="6"/>
    </row>
    <row r="929">
      <c r="K929" s="6"/>
    </row>
    <row r="930">
      <c r="K930" s="6"/>
    </row>
    <row r="931">
      <c r="K931" s="6"/>
    </row>
    <row r="932">
      <c r="K932" s="6"/>
    </row>
    <row r="933">
      <c r="K933" s="6"/>
    </row>
    <row r="934">
      <c r="K934" s="6"/>
    </row>
    <row r="935">
      <c r="K935" s="6"/>
    </row>
    <row r="936">
      <c r="K936" s="6"/>
    </row>
    <row r="937">
      <c r="K937" s="6"/>
    </row>
    <row r="938">
      <c r="K938" s="6"/>
    </row>
    <row r="939">
      <c r="K939" s="6"/>
    </row>
    <row r="940">
      <c r="K940" s="6"/>
    </row>
    <row r="941">
      <c r="K941" s="6"/>
    </row>
    <row r="942">
      <c r="K942" s="6"/>
    </row>
    <row r="943">
      <c r="K943" s="6"/>
    </row>
    <row r="944">
      <c r="K944" s="6"/>
    </row>
    <row r="945">
      <c r="K945" s="6"/>
    </row>
    <row r="946">
      <c r="K946" s="6"/>
    </row>
    <row r="947">
      <c r="K947" s="6"/>
    </row>
    <row r="948">
      <c r="K948" s="6"/>
    </row>
    <row r="949">
      <c r="K949" s="6"/>
    </row>
    <row r="950">
      <c r="K950" s="6"/>
    </row>
    <row r="951">
      <c r="K951" s="6"/>
    </row>
    <row r="952">
      <c r="K952" s="6"/>
    </row>
    <row r="953">
      <c r="K953" s="6"/>
    </row>
    <row r="954">
      <c r="K954" s="6"/>
    </row>
    <row r="955">
      <c r="K955" s="6"/>
    </row>
    <row r="956">
      <c r="K956" s="6"/>
    </row>
    <row r="957">
      <c r="K957" s="6"/>
    </row>
    <row r="958">
      <c r="K958" s="6"/>
    </row>
    <row r="959">
      <c r="K959" s="6"/>
    </row>
    <row r="960">
      <c r="K960" s="6"/>
    </row>
    <row r="961">
      <c r="K961" s="6"/>
    </row>
    <row r="962">
      <c r="K962" s="6"/>
    </row>
    <row r="963">
      <c r="K963" s="6"/>
    </row>
    <row r="964">
      <c r="K964" s="6"/>
    </row>
    <row r="965">
      <c r="K965" s="6"/>
    </row>
    <row r="966">
      <c r="K966" s="6"/>
    </row>
    <row r="967">
      <c r="K967" s="6"/>
    </row>
    <row r="968">
      <c r="K968" s="6"/>
    </row>
    <row r="969">
      <c r="K969" s="6"/>
    </row>
    <row r="970">
      <c r="K970" s="6"/>
    </row>
    <row r="971">
      <c r="K971" s="6"/>
    </row>
    <row r="972">
      <c r="K972" s="6"/>
    </row>
    <row r="973">
      <c r="K973" s="6"/>
    </row>
    <row r="974">
      <c r="K974" s="6"/>
    </row>
    <row r="975">
      <c r="K975" s="6"/>
    </row>
    <row r="976">
      <c r="K976" s="6"/>
    </row>
    <row r="977">
      <c r="K977" s="6"/>
    </row>
    <row r="978">
      <c r="K978" s="6"/>
    </row>
    <row r="979">
      <c r="K979" s="6"/>
    </row>
    <row r="980">
      <c r="K980" s="6"/>
    </row>
    <row r="981">
      <c r="K981" s="6"/>
    </row>
    <row r="982">
      <c r="K982" s="6"/>
    </row>
    <row r="983">
      <c r="K983" s="6"/>
    </row>
    <row r="984">
      <c r="K984" s="6"/>
    </row>
    <row r="985">
      <c r="K985" s="6"/>
    </row>
    <row r="986">
      <c r="K986" s="6"/>
    </row>
    <row r="987">
      <c r="K987" s="6"/>
    </row>
    <row r="988">
      <c r="K988" s="6"/>
    </row>
    <row r="989">
      <c r="K989" s="6"/>
    </row>
    <row r="990">
      <c r="K990" s="6"/>
    </row>
    <row r="991">
      <c r="K991" s="6"/>
    </row>
    <row r="992">
      <c r="K992" s="6"/>
    </row>
    <row r="993">
      <c r="K993" s="6"/>
    </row>
    <row r="994">
      <c r="K994" s="6"/>
    </row>
    <row r="995">
      <c r="K995" s="6"/>
    </row>
    <row r="996">
      <c r="K996" s="6"/>
    </row>
    <row r="997">
      <c r="K997" s="6"/>
    </row>
    <row r="998">
      <c r="K998" s="6"/>
    </row>
    <row r="999">
      <c r="K999" s="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2" t="s">
        <v>10</v>
      </c>
      <c r="L1" s="1" t="s">
        <v>11</v>
      </c>
    </row>
    <row r="2">
      <c r="A2" s="3">
        <v>45509.0</v>
      </c>
      <c r="B2" s="4">
        <v>1182.0</v>
      </c>
      <c r="C2" s="4">
        <v>1188.9</v>
      </c>
      <c r="D2" s="4">
        <v>1167.0</v>
      </c>
      <c r="E2" s="4">
        <v>1196.55</v>
      </c>
      <c r="F2" s="4">
        <v>1172.6</v>
      </c>
      <c r="G2" s="4">
        <v>1173.69</v>
      </c>
      <c r="H2" s="1" t="s">
        <v>5469</v>
      </c>
      <c r="I2" s="1" t="s">
        <v>5470</v>
      </c>
      <c r="J2" s="1" t="s">
        <v>5471</v>
      </c>
      <c r="K2" s="6"/>
      <c r="L2" s="7"/>
      <c r="M2" s="8">
        <f t="shared" ref="M2:M496" si="1">VALUE(SUBSTITUTE(H2,",",""))</f>
        <v>14306771</v>
      </c>
    </row>
    <row r="3">
      <c r="A3" s="3">
        <v>45510.0</v>
      </c>
      <c r="B3" s="4">
        <v>1175.0</v>
      </c>
      <c r="C3" s="4">
        <v>1187.7</v>
      </c>
      <c r="D3" s="4">
        <v>1161.5</v>
      </c>
      <c r="E3" s="4">
        <v>1172.6</v>
      </c>
      <c r="F3" s="4">
        <v>1166.85</v>
      </c>
      <c r="G3" s="4">
        <v>1169.06</v>
      </c>
      <c r="H3" s="1" t="s">
        <v>5484</v>
      </c>
      <c r="I3" s="1" t="s">
        <v>5485</v>
      </c>
      <c r="J3" s="1" t="s">
        <v>5486</v>
      </c>
      <c r="K3" s="6">
        <f t="shared" ref="K3:K496" si="2">(F3-F2)/F2</f>
        <v>-0.004903632952</v>
      </c>
      <c r="L3" s="7">
        <v>-0.0026210113237665773</v>
      </c>
      <c r="M3" s="8">
        <f t="shared" si="1"/>
        <v>13575619</v>
      </c>
    </row>
    <row r="4">
      <c r="A4" s="3">
        <v>45511.0</v>
      </c>
      <c r="B4" s="4">
        <v>1178.95</v>
      </c>
      <c r="C4" s="4">
        <v>1179.8</v>
      </c>
      <c r="D4" s="4">
        <v>1161.6</v>
      </c>
      <c r="E4" s="4">
        <v>1166.85</v>
      </c>
      <c r="F4" s="4">
        <v>1172.45</v>
      </c>
      <c r="G4" s="4">
        <v>1170.37</v>
      </c>
      <c r="H4" s="1" t="s">
        <v>5493</v>
      </c>
      <c r="I4" s="1" t="s">
        <v>5494</v>
      </c>
      <c r="J4" s="1" t="s">
        <v>5495</v>
      </c>
      <c r="K4" s="6">
        <f t="shared" si="2"/>
        <v>0.004799245833</v>
      </c>
      <c r="L4" s="7">
        <v>0.012710195456506321</v>
      </c>
      <c r="M4" s="8">
        <f t="shared" si="1"/>
        <v>15753644</v>
      </c>
    </row>
    <row r="5">
      <c r="A5" s="3">
        <v>45512.0</v>
      </c>
      <c r="B5" s="4">
        <v>1166.95</v>
      </c>
      <c r="C5" s="4">
        <v>1174.4</v>
      </c>
      <c r="D5" s="4">
        <v>1158.9</v>
      </c>
      <c r="E5" s="4">
        <v>1172.45</v>
      </c>
      <c r="F5" s="4">
        <v>1164.6</v>
      </c>
      <c r="G5" s="4">
        <v>1166.37</v>
      </c>
      <c r="H5" s="1" t="s">
        <v>5502</v>
      </c>
      <c r="I5" s="1" t="s">
        <v>5503</v>
      </c>
      <c r="J5" s="1" t="s">
        <v>5504</v>
      </c>
      <c r="K5" s="6">
        <f t="shared" si="2"/>
        <v>-0.006695381466</v>
      </c>
      <c r="L5" s="7">
        <v>-0.007428747813561066</v>
      </c>
      <c r="M5" s="8">
        <f t="shared" si="1"/>
        <v>10806438</v>
      </c>
    </row>
    <row r="6">
      <c r="A6" s="3">
        <v>45513.0</v>
      </c>
      <c r="B6" s="4">
        <v>1176.55</v>
      </c>
      <c r="C6" s="4">
        <v>1180.95</v>
      </c>
      <c r="D6" s="4">
        <v>1169.0</v>
      </c>
      <c r="E6" s="4">
        <v>1164.6</v>
      </c>
      <c r="F6" s="4">
        <v>1171.6</v>
      </c>
      <c r="G6" s="4">
        <v>1173.65</v>
      </c>
      <c r="H6" s="1" t="s">
        <v>5511</v>
      </c>
      <c r="I6" s="1" t="s">
        <v>5512</v>
      </c>
      <c r="J6" s="1" t="s">
        <v>5513</v>
      </c>
      <c r="K6" s="6">
        <f t="shared" si="2"/>
        <v>0.006010647433</v>
      </c>
      <c r="L6" s="7">
        <v>0.010386864037815649</v>
      </c>
      <c r="M6" s="8">
        <f t="shared" si="1"/>
        <v>8687307</v>
      </c>
    </row>
    <row r="7">
      <c r="A7" s="9">
        <v>45516.0</v>
      </c>
      <c r="B7" s="4">
        <v>1171.0</v>
      </c>
      <c r="C7" s="4">
        <v>1178.25</v>
      </c>
      <c r="D7" s="4">
        <v>1156.0</v>
      </c>
      <c r="E7" s="4">
        <v>1171.6</v>
      </c>
      <c r="F7" s="4">
        <v>1172.8</v>
      </c>
      <c r="G7" s="4">
        <v>1170.54</v>
      </c>
      <c r="H7" s="1" t="s">
        <v>5520</v>
      </c>
      <c r="I7" s="1" t="s">
        <v>5521</v>
      </c>
      <c r="J7" s="1" t="s">
        <v>5522</v>
      </c>
      <c r="K7" s="6">
        <f t="shared" si="2"/>
        <v>0.001024240355</v>
      </c>
      <c r="L7" s="7">
        <v>-8.412844977941931E-4</v>
      </c>
      <c r="M7" s="8">
        <f t="shared" si="1"/>
        <v>10860455</v>
      </c>
    </row>
    <row r="8">
      <c r="A8" s="9">
        <v>45517.0</v>
      </c>
      <c r="B8" s="4">
        <v>1183.2</v>
      </c>
      <c r="C8" s="4">
        <v>1189.25</v>
      </c>
      <c r="D8" s="4">
        <v>1163.6</v>
      </c>
      <c r="E8" s="4">
        <v>1172.8</v>
      </c>
      <c r="F8" s="4">
        <v>1168.35</v>
      </c>
      <c r="G8" s="4">
        <v>1172.48</v>
      </c>
      <c r="H8" s="1" t="s">
        <v>5527</v>
      </c>
      <c r="I8" s="1" t="s">
        <v>5529</v>
      </c>
      <c r="J8" s="1" t="s">
        <v>5530</v>
      </c>
      <c r="K8" s="6">
        <f t="shared" si="2"/>
        <v>-0.003794338336</v>
      </c>
      <c r="L8" s="7">
        <v>-0.008543146999630345</v>
      </c>
      <c r="M8" s="8">
        <f t="shared" si="1"/>
        <v>13117927</v>
      </c>
    </row>
    <row r="9">
      <c r="A9" s="9">
        <v>45518.0</v>
      </c>
      <c r="B9" s="4">
        <v>1167.0</v>
      </c>
      <c r="C9" s="4">
        <v>1170.05</v>
      </c>
      <c r="D9" s="4">
        <v>1153.0</v>
      </c>
      <c r="E9" s="4">
        <v>1168.35</v>
      </c>
      <c r="F9" s="4">
        <v>1161.65</v>
      </c>
      <c r="G9" s="4">
        <v>1159.56</v>
      </c>
      <c r="H9" s="1" t="s">
        <v>5534</v>
      </c>
      <c r="I9" s="1" t="s">
        <v>5535</v>
      </c>
      <c r="J9" s="1" t="s">
        <v>5536</v>
      </c>
      <c r="K9" s="6">
        <f t="shared" si="2"/>
        <v>-0.005734582959</v>
      </c>
      <c r="L9" s="7">
        <v>1.9677699987571978E-4</v>
      </c>
      <c r="M9" s="8">
        <f t="shared" si="1"/>
        <v>13431801</v>
      </c>
    </row>
    <row r="10">
      <c r="A10" s="9">
        <v>45520.0</v>
      </c>
      <c r="B10" s="4">
        <v>1170.0</v>
      </c>
      <c r="C10" s="4">
        <v>1193.0</v>
      </c>
      <c r="D10" s="4">
        <v>1165.65</v>
      </c>
      <c r="E10" s="4">
        <v>1161.65</v>
      </c>
      <c r="F10" s="4">
        <v>1187.25</v>
      </c>
      <c r="G10" s="4">
        <v>1181.45</v>
      </c>
      <c r="H10" s="1" t="s">
        <v>5540</v>
      </c>
      <c r="I10" s="1" t="s">
        <v>5541</v>
      </c>
      <c r="J10" s="1" t="s">
        <v>5542</v>
      </c>
      <c r="K10" s="6">
        <f t="shared" si="2"/>
        <v>0.0220376189</v>
      </c>
      <c r="L10" s="7">
        <v>0.01645974631115719</v>
      </c>
      <c r="M10" s="8">
        <f t="shared" si="1"/>
        <v>10961370</v>
      </c>
    </row>
    <row r="11">
      <c r="A11" s="9">
        <v>45523.0</v>
      </c>
      <c r="B11" s="4">
        <v>1191.0</v>
      </c>
      <c r="C11" s="4">
        <v>1195.75</v>
      </c>
      <c r="D11" s="4">
        <v>1173.3</v>
      </c>
      <c r="E11" s="4">
        <v>1187.25</v>
      </c>
      <c r="F11" s="4">
        <v>1175.9</v>
      </c>
      <c r="G11" s="4">
        <v>1181.33</v>
      </c>
      <c r="H11" s="1" t="s">
        <v>5546</v>
      </c>
      <c r="I11" s="1" t="s">
        <v>5547</v>
      </c>
      <c r="J11" s="1" t="s">
        <v>5549</v>
      </c>
      <c r="K11" s="6">
        <f t="shared" si="2"/>
        <v>-0.009559907349</v>
      </c>
      <c r="L11" s="7">
        <v>0.0012835584314508488</v>
      </c>
      <c r="M11" s="8">
        <f t="shared" si="1"/>
        <v>6686394</v>
      </c>
    </row>
    <row r="12">
      <c r="A12" s="9">
        <v>45524.0</v>
      </c>
      <c r="B12" s="4">
        <v>1174.2</v>
      </c>
      <c r="C12" s="4">
        <v>1189.8</v>
      </c>
      <c r="D12" s="4">
        <v>1170.0</v>
      </c>
      <c r="E12" s="4">
        <v>1175.9</v>
      </c>
      <c r="F12" s="4">
        <v>1179.45</v>
      </c>
      <c r="G12" s="4">
        <v>1181.26</v>
      </c>
      <c r="H12" s="1" t="s">
        <v>5554</v>
      </c>
      <c r="I12" s="1" t="s">
        <v>5556</v>
      </c>
      <c r="J12" s="1" t="s">
        <v>5557</v>
      </c>
      <c r="K12" s="6">
        <f t="shared" si="2"/>
        <v>0.003018964198</v>
      </c>
      <c r="L12" s="7">
        <v>0.005135791215029599</v>
      </c>
      <c r="M12" s="8">
        <f t="shared" si="1"/>
        <v>10427061</v>
      </c>
    </row>
    <row r="13">
      <c r="A13" s="9">
        <v>45525.0</v>
      </c>
      <c r="B13" s="4">
        <v>1177.0</v>
      </c>
      <c r="C13" s="4">
        <v>1178.65</v>
      </c>
      <c r="D13" s="4">
        <v>1165.1</v>
      </c>
      <c r="E13" s="4">
        <v>1179.45</v>
      </c>
      <c r="F13" s="4">
        <v>1174.85</v>
      </c>
      <c r="G13" s="4">
        <v>1172.27</v>
      </c>
      <c r="H13" s="1" t="s">
        <v>5561</v>
      </c>
      <c r="I13" s="1" t="s">
        <v>5562</v>
      </c>
      <c r="J13" s="1" t="s">
        <v>5563</v>
      </c>
      <c r="K13" s="6">
        <f t="shared" si="2"/>
        <v>-0.003900122939</v>
      </c>
      <c r="L13" s="7">
        <v>0.0028887984663254437</v>
      </c>
      <c r="M13" s="8">
        <f t="shared" si="1"/>
        <v>17234142</v>
      </c>
    </row>
    <row r="14">
      <c r="A14" s="9">
        <v>45526.0</v>
      </c>
      <c r="B14" s="4">
        <v>1182.0</v>
      </c>
      <c r="C14" s="4">
        <v>1192.6</v>
      </c>
      <c r="D14" s="4">
        <v>1176.6</v>
      </c>
      <c r="E14" s="4">
        <v>1174.85</v>
      </c>
      <c r="F14" s="4">
        <v>1191.1</v>
      </c>
      <c r="G14" s="4">
        <v>1187.45</v>
      </c>
      <c r="H14" s="1" t="s">
        <v>5570</v>
      </c>
      <c r="I14" s="1" t="s">
        <v>5571</v>
      </c>
      <c r="J14" s="1" t="s">
        <v>5572</v>
      </c>
      <c r="K14" s="6">
        <f t="shared" si="2"/>
        <v>0.01383155296</v>
      </c>
      <c r="L14" s="7">
        <v>0.0016673260611540994</v>
      </c>
      <c r="M14" s="8">
        <f t="shared" si="1"/>
        <v>8564142</v>
      </c>
    </row>
    <row r="15">
      <c r="A15" s="9">
        <v>45527.0</v>
      </c>
      <c r="B15" s="4">
        <v>1193.0</v>
      </c>
      <c r="C15" s="4">
        <v>1205.0</v>
      </c>
      <c r="D15" s="4">
        <v>1188.55</v>
      </c>
      <c r="E15" s="4">
        <v>1191.1</v>
      </c>
      <c r="F15" s="4">
        <v>1203.5</v>
      </c>
      <c r="G15" s="4">
        <v>1199.93</v>
      </c>
      <c r="H15" s="1" t="s">
        <v>5576</v>
      </c>
      <c r="I15" s="1" t="s">
        <v>5578</v>
      </c>
      <c r="J15" s="1" t="s">
        <v>5580</v>
      </c>
      <c r="K15" s="6">
        <f t="shared" si="2"/>
        <v>0.01041054487</v>
      </c>
      <c r="L15" s="7">
        <v>4.695403341193179E-4</v>
      </c>
      <c r="M15" s="8">
        <f t="shared" si="1"/>
        <v>7518309</v>
      </c>
    </row>
    <row r="16">
      <c r="A16" s="9">
        <v>45530.0</v>
      </c>
      <c r="B16" s="4">
        <v>1205.55</v>
      </c>
      <c r="C16" s="4">
        <v>1214.95</v>
      </c>
      <c r="D16" s="4">
        <v>1201.05</v>
      </c>
      <c r="E16" s="4">
        <v>1203.5</v>
      </c>
      <c r="F16" s="4">
        <v>1213.3</v>
      </c>
      <c r="G16" s="4">
        <v>1211.0</v>
      </c>
      <c r="H16" s="1" t="s">
        <v>5585</v>
      </c>
      <c r="I16" s="1" t="s">
        <v>5586</v>
      </c>
      <c r="J16" s="1" t="s">
        <v>5587</v>
      </c>
      <c r="K16" s="6">
        <f t="shared" si="2"/>
        <v>0.008142916494</v>
      </c>
      <c r="L16" s="7">
        <v>0.0075514187361393325</v>
      </c>
      <c r="M16" s="8">
        <f t="shared" si="1"/>
        <v>10920226</v>
      </c>
    </row>
    <row r="17">
      <c r="A17" s="9">
        <v>45531.0</v>
      </c>
      <c r="B17" s="4">
        <v>1213.3</v>
      </c>
      <c r="C17" s="4">
        <v>1232.5</v>
      </c>
      <c r="D17" s="4">
        <v>1208.9</v>
      </c>
      <c r="E17" s="4">
        <v>1213.3</v>
      </c>
      <c r="F17" s="4">
        <v>1226.35</v>
      </c>
      <c r="G17" s="4">
        <v>1222.91</v>
      </c>
      <c r="H17" s="1" t="s">
        <v>5594</v>
      </c>
      <c r="I17" s="1" t="s">
        <v>5595</v>
      </c>
      <c r="J17" s="1" t="s">
        <v>5596</v>
      </c>
      <c r="K17" s="6">
        <f t="shared" si="2"/>
        <v>0.01075578999</v>
      </c>
      <c r="L17" s="7">
        <v>2.858787873942031E-4</v>
      </c>
      <c r="M17" s="8">
        <f t="shared" si="1"/>
        <v>16295325</v>
      </c>
    </row>
    <row r="18">
      <c r="A18" s="9">
        <v>45532.0</v>
      </c>
      <c r="B18" s="4">
        <v>1222.65</v>
      </c>
      <c r="C18" s="4">
        <v>1226.4</v>
      </c>
      <c r="D18" s="4">
        <v>1217.3</v>
      </c>
      <c r="E18" s="4">
        <v>1226.35</v>
      </c>
      <c r="F18" s="4">
        <v>1223.85</v>
      </c>
      <c r="G18" s="4">
        <v>1223.2</v>
      </c>
      <c r="H18" s="1" t="s">
        <v>5603</v>
      </c>
      <c r="I18" s="1" t="s">
        <v>5604</v>
      </c>
      <c r="J18" s="1" t="s">
        <v>5605</v>
      </c>
      <c r="K18" s="6">
        <f t="shared" si="2"/>
        <v>-0.002038569739</v>
      </c>
      <c r="L18" s="7">
        <v>0.0013830180571793446</v>
      </c>
      <c r="M18" s="8">
        <f t="shared" si="1"/>
        <v>12291305</v>
      </c>
    </row>
    <row r="19">
      <c r="A19" s="9">
        <v>45533.0</v>
      </c>
      <c r="B19" s="4">
        <v>1218.95</v>
      </c>
      <c r="C19" s="4">
        <v>1235.0</v>
      </c>
      <c r="D19" s="4">
        <v>1217.0</v>
      </c>
      <c r="E19" s="4">
        <v>1223.85</v>
      </c>
      <c r="F19" s="4">
        <v>1221.9</v>
      </c>
      <c r="G19" s="4">
        <v>1225.43</v>
      </c>
      <c r="H19" s="1" t="s">
        <v>5609</v>
      </c>
      <c r="I19" s="1" t="s">
        <v>5610</v>
      </c>
      <c r="J19" s="1" t="s">
        <v>5611</v>
      </c>
      <c r="K19" s="6">
        <f t="shared" si="2"/>
        <v>-0.001593332516</v>
      </c>
      <c r="L19" s="7">
        <v>0.003975674936682674</v>
      </c>
      <c r="M19" s="8">
        <f t="shared" si="1"/>
        <v>10806748</v>
      </c>
    </row>
    <row r="20">
      <c r="A20" s="9">
        <v>45534.0</v>
      </c>
      <c r="B20" s="4">
        <v>1230.0</v>
      </c>
      <c r="C20" s="4">
        <v>1235.55</v>
      </c>
      <c r="D20" s="4">
        <v>1218.9</v>
      </c>
      <c r="E20" s="4">
        <v>1221.9</v>
      </c>
      <c r="F20" s="4">
        <v>1229.2</v>
      </c>
      <c r="G20" s="4">
        <v>1228.19</v>
      </c>
      <c r="H20" s="1" t="s">
        <v>5618</v>
      </c>
      <c r="I20" s="1" t="s">
        <v>5619</v>
      </c>
      <c r="J20" s="1" t="s">
        <v>5620</v>
      </c>
      <c r="K20" s="6">
        <f t="shared" si="2"/>
        <v>0.005974302316</v>
      </c>
      <c r="L20" s="7">
        <v>0.00333771337808801</v>
      </c>
      <c r="M20" s="8">
        <f t="shared" si="1"/>
        <v>21211148</v>
      </c>
    </row>
    <row r="21">
      <c r="A21" s="3">
        <v>45537.0</v>
      </c>
      <c r="B21" s="4">
        <v>1239.0</v>
      </c>
      <c r="C21" s="4">
        <v>1239.2</v>
      </c>
      <c r="D21" s="4">
        <v>1222.5</v>
      </c>
      <c r="E21" s="4">
        <v>1229.2</v>
      </c>
      <c r="F21" s="4">
        <v>1229.95</v>
      </c>
      <c r="G21" s="4">
        <v>1229.7</v>
      </c>
      <c r="H21" s="1" t="s">
        <v>5627</v>
      </c>
      <c r="I21" s="1" t="s">
        <v>5628</v>
      </c>
      <c r="J21" s="1" t="s">
        <v>5629</v>
      </c>
      <c r="K21" s="6">
        <f t="shared" si="2"/>
        <v>0.000610152945</v>
      </c>
      <c r="L21" s="7">
        <v>0.0016959965763059478</v>
      </c>
      <c r="M21" s="8">
        <f t="shared" si="1"/>
        <v>12516759</v>
      </c>
    </row>
    <row r="22">
      <c r="A22" s="3">
        <v>45538.0</v>
      </c>
      <c r="B22" s="4">
        <v>1227.2</v>
      </c>
      <c r="C22" s="4">
        <v>1250.95</v>
      </c>
      <c r="D22" s="4">
        <v>1220.4</v>
      </c>
      <c r="E22" s="4">
        <v>1229.95</v>
      </c>
      <c r="F22" s="4">
        <v>1247.7</v>
      </c>
      <c r="G22" s="4">
        <v>1236.45</v>
      </c>
      <c r="H22" s="1" t="s">
        <v>5633</v>
      </c>
      <c r="I22" s="1" t="s">
        <v>5634</v>
      </c>
      <c r="J22" s="1" t="s">
        <v>5635</v>
      </c>
      <c r="K22" s="6">
        <f t="shared" si="2"/>
        <v>0.01443148095</v>
      </c>
      <c r="L22" s="7">
        <v>4.549284575543114E-5</v>
      </c>
      <c r="M22" s="8">
        <f t="shared" si="1"/>
        <v>19114907</v>
      </c>
    </row>
    <row r="23">
      <c r="A23" s="3">
        <v>45539.0</v>
      </c>
      <c r="B23" s="4">
        <v>1239.85</v>
      </c>
      <c r="C23" s="4">
        <v>1243.7</v>
      </c>
      <c r="D23" s="4">
        <v>1232.8</v>
      </c>
      <c r="E23" s="4">
        <v>1247.7</v>
      </c>
      <c r="F23" s="4">
        <v>1236.35</v>
      </c>
      <c r="G23" s="4">
        <v>1237.93</v>
      </c>
      <c r="H23" s="1" t="s">
        <v>5641</v>
      </c>
      <c r="I23" s="1" t="s">
        <v>5642</v>
      </c>
      <c r="J23" s="1" t="s">
        <v>5644</v>
      </c>
      <c r="K23" s="6">
        <f t="shared" si="2"/>
        <v>-0.009096737998</v>
      </c>
      <c r="L23" s="7">
        <v>-0.0032100665154262318</v>
      </c>
      <c r="M23" s="8">
        <f t="shared" si="1"/>
        <v>13505843</v>
      </c>
    </row>
    <row r="24">
      <c r="A24" s="3">
        <v>45540.0</v>
      </c>
      <c r="B24" s="4">
        <v>1238.0</v>
      </c>
      <c r="C24" s="4">
        <v>1244.85</v>
      </c>
      <c r="D24" s="4">
        <v>1231.3</v>
      </c>
      <c r="E24" s="4">
        <v>1236.35</v>
      </c>
      <c r="F24" s="4">
        <v>1235.95</v>
      </c>
      <c r="G24" s="4">
        <v>1235.75</v>
      </c>
      <c r="H24" s="1" t="s">
        <v>5647</v>
      </c>
      <c r="I24" s="1" t="s">
        <v>5650</v>
      </c>
      <c r="J24" s="1" t="s">
        <v>5652</v>
      </c>
      <c r="K24" s="6">
        <f t="shared" si="2"/>
        <v>-0.0003235329801</v>
      </c>
      <c r="L24" s="7">
        <v>-0.0021270938580165715</v>
      </c>
      <c r="M24" s="8">
        <f t="shared" si="1"/>
        <v>9142811</v>
      </c>
    </row>
    <row r="25">
      <c r="A25" s="3">
        <v>45541.0</v>
      </c>
      <c r="B25" s="4">
        <v>1225.95</v>
      </c>
      <c r="C25" s="4">
        <v>1233.9</v>
      </c>
      <c r="D25" s="4">
        <v>1205.0</v>
      </c>
      <c r="E25" s="4">
        <v>1235.95</v>
      </c>
      <c r="F25" s="4">
        <v>1208.15</v>
      </c>
      <c r="G25" s="4">
        <v>1217.46</v>
      </c>
      <c r="H25" s="1" t="s">
        <v>5654</v>
      </c>
      <c r="I25" s="1" t="s">
        <v>5655</v>
      </c>
      <c r="J25" s="1" t="s">
        <v>5656</v>
      </c>
      <c r="K25" s="6">
        <f t="shared" si="2"/>
        <v>-0.02249281929</v>
      </c>
      <c r="L25" s="7">
        <v>-0.011650381187587128</v>
      </c>
      <c r="M25" s="8">
        <f t="shared" si="1"/>
        <v>10170479</v>
      </c>
    </row>
    <row r="26">
      <c r="A26" s="3">
        <v>45544.0</v>
      </c>
      <c r="B26" s="4">
        <v>1202.9</v>
      </c>
      <c r="C26" s="4">
        <v>1238.3</v>
      </c>
      <c r="D26" s="4">
        <v>1200.45</v>
      </c>
      <c r="E26" s="4">
        <v>1208.15</v>
      </c>
      <c r="F26" s="4">
        <v>1235.0</v>
      </c>
      <c r="G26" s="4">
        <v>1225.45</v>
      </c>
      <c r="H26" s="1" t="s">
        <v>5660</v>
      </c>
      <c r="I26" s="1" t="s">
        <v>5661</v>
      </c>
      <c r="J26" s="1" t="s">
        <v>5662</v>
      </c>
      <c r="K26" s="6">
        <f t="shared" si="2"/>
        <v>0.02222406158</v>
      </c>
      <c r="L26" s="7">
        <v>0.0033900487482974306</v>
      </c>
      <c r="M26" s="8">
        <f t="shared" si="1"/>
        <v>13863250</v>
      </c>
    </row>
    <row r="27">
      <c r="A27" s="9">
        <v>45545.0</v>
      </c>
      <c r="B27" s="4">
        <v>1236.95</v>
      </c>
      <c r="C27" s="4">
        <v>1241.35</v>
      </c>
      <c r="D27" s="4">
        <v>1227.0</v>
      </c>
      <c r="E27" s="4">
        <v>1235.0</v>
      </c>
      <c r="F27" s="4">
        <v>1237.3</v>
      </c>
      <c r="G27" s="4">
        <v>1235.85</v>
      </c>
      <c r="H27" s="1" t="s">
        <v>5663</v>
      </c>
      <c r="I27" s="1" t="s">
        <v>5664</v>
      </c>
      <c r="J27" s="1" t="s">
        <v>5665</v>
      </c>
      <c r="K27" s="6">
        <f t="shared" si="2"/>
        <v>0.001862348178</v>
      </c>
      <c r="L27" s="7">
        <v>0.0041986814455974835</v>
      </c>
      <c r="M27" s="8">
        <f t="shared" si="1"/>
        <v>15545130</v>
      </c>
    </row>
    <row r="28">
      <c r="A28" s="9">
        <v>45546.0</v>
      </c>
      <c r="B28" s="4">
        <v>1231.5</v>
      </c>
      <c r="C28" s="4">
        <v>1239.3</v>
      </c>
      <c r="D28" s="4">
        <v>1226.4</v>
      </c>
      <c r="E28" s="4">
        <v>1237.3</v>
      </c>
      <c r="F28" s="4">
        <v>1236.35</v>
      </c>
      <c r="G28" s="4">
        <v>1234.69</v>
      </c>
      <c r="H28" s="1" t="s">
        <v>5669</v>
      </c>
      <c r="I28" s="1" t="s">
        <v>5670</v>
      </c>
      <c r="J28" s="1" t="s">
        <v>5671</v>
      </c>
      <c r="K28" s="6">
        <f t="shared" si="2"/>
        <v>-0.0007678008567</v>
      </c>
      <c r="L28" s="7">
        <v>-0.004897947773859688</v>
      </c>
      <c r="M28" s="8">
        <f t="shared" si="1"/>
        <v>11993242</v>
      </c>
    </row>
    <row r="29">
      <c r="A29" s="9">
        <v>45547.0</v>
      </c>
      <c r="B29" s="4">
        <v>1238.0</v>
      </c>
      <c r="C29" s="4">
        <v>1257.0</v>
      </c>
      <c r="D29" s="4">
        <v>1226.35</v>
      </c>
      <c r="E29" s="4">
        <v>1236.35</v>
      </c>
      <c r="F29" s="4">
        <v>1252.15</v>
      </c>
      <c r="G29" s="4">
        <v>1243.23</v>
      </c>
      <c r="H29" s="1" t="s">
        <v>5672</v>
      </c>
      <c r="I29" s="1" t="s">
        <v>5674</v>
      </c>
      <c r="J29" s="1" t="s">
        <v>5675</v>
      </c>
      <c r="K29" s="6">
        <f t="shared" si="2"/>
        <v>0.01277955272</v>
      </c>
      <c r="L29" s="7">
        <v>0.018879585206945083</v>
      </c>
      <c r="M29" s="8">
        <f t="shared" si="1"/>
        <v>15376442</v>
      </c>
    </row>
    <row r="30">
      <c r="A30" s="9">
        <v>45548.0</v>
      </c>
      <c r="B30" s="4">
        <v>1252.0</v>
      </c>
      <c r="C30" s="4">
        <v>1255.95</v>
      </c>
      <c r="D30" s="4">
        <v>1242.05</v>
      </c>
      <c r="E30" s="4">
        <v>1252.15</v>
      </c>
      <c r="F30" s="4">
        <v>1250.35</v>
      </c>
      <c r="G30" s="4">
        <v>1249.5</v>
      </c>
      <c r="H30" s="1" t="s">
        <v>5678</v>
      </c>
      <c r="I30" s="1" t="s">
        <v>5679</v>
      </c>
      <c r="J30" s="1" t="s">
        <v>5680</v>
      </c>
      <c r="K30" s="6">
        <f t="shared" si="2"/>
        <v>-0.001437527453</v>
      </c>
      <c r="L30" s="7">
        <v>-0.0012761482380095812</v>
      </c>
      <c r="M30" s="8">
        <f t="shared" si="1"/>
        <v>9877288</v>
      </c>
    </row>
    <row r="31">
      <c r="A31" s="9">
        <v>45551.0</v>
      </c>
      <c r="B31" s="4">
        <v>1251.0</v>
      </c>
      <c r="C31" s="4">
        <v>1265.6</v>
      </c>
      <c r="D31" s="4">
        <v>1244.7</v>
      </c>
      <c r="E31" s="4">
        <v>1250.35</v>
      </c>
      <c r="F31" s="4">
        <v>1262.85</v>
      </c>
      <c r="G31" s="4">
        <v>1257.5</v>
      </c>
      <c r="H31" s="1" t="s">
        <v>5684</v>
      </c>
      <c r="I31" s="1" t="s">
        <v>5685</v>
      </c>
      <c r="J31" s="1" t="s">
        <v>5686</v>
      </c>
      <c r="K31" s="6">
        <f t="shared" si="2"/>
        <v>0.009997200784</v>
      </c>
      <c r="L31" s="7">
        <v>0.0010746751326089958</v>
      </c>
      <c r="M31" s="8">
        <f t="shared" si="1"/>
        <v>8973335</v>
      </c>
    </row>
    <row r="32">
      <c r="A32" s="9">
        <v>45552.0</v>
      </c>
      <c r="B32" s="4">
        <v>1259.95</v>
      </c>
      <c r="C32" s="4">
        <v>1272.25</v>
      </c>
      <c r="D32" s="4">
        <v>1258.4</v>
      </c>
      <c r="E32" s="4">
        <v>1262.85</v>
      </c>
      <c r="F32" s="4">
        <v>1268.1</v>
      </c>
      <c r="G32" s="4">
        <v>1267.18</v>
      </c>
      <c r="H32" s="1" t="s">
        <v>5687</v>
      </c>
      <c r="I32" s="1" t="s">
        <v>5688</v>
      </c>
      <c r="J32" s="1" t="s">
        <v>5689</v>
      </c>
      <c r="K32" s="6">
        <f t="shared" si="2"/>
        <v>0.004157263333</v>
      </c>
      <c r="L32" s="7">
        <v>0.0013709558280395637</v>
      </c>
      <c r="M32" s="8">
        <f t="shared" si="1"/>
        <v>11513121</v>
      </c>
    </row>
    <row r="33">
      <c r="A33" s="9">
        <v>45553.0</v>
      </c>
      <c r="B33" s="4">
        <v>1262.0</v>
      </c>
      <c r="C33" s="4">
        <v>1295.35</v>
      </c>
      <c r="D33" s="4">
        <v>1262.0</v>
      </c>
      <c r="E33" s="4">
        <v>1268.1</v>
      </c>
      <c r="F33" s="4">
        <v>1288.35</v>
      </c>
      <c r="G33" s="4">
        <v>1286.46</v>
      </c>
      <c r="H33" s="1" t="s">
        <v>5693</v>
      </c>
      <c r="I33" s="1" t="s">
        <v>5694</v>
      </c>
      <c r="J33" s="1" t="s">
        <v>5695</v>
      </c>
      <c r="K33" s="6">
        <f t="shared" si="2"/>
        <v>0.01596877218</v>
      </c>
      <c r="L33" s="7">
        <v>-0.001612995233795791</v>
      </c>
      <c r="M33" s="8">
        <f t="shared" si="1"/>
        <v>12466597</v>
      </c>
    </row>
    <row r="34">
      <c r="A34" s="9">
        <v>45554.0</v>
      </c>
      <c r="B34" s="4">
        <v>1288.35</v>
      </c>
      <c r="C34" s="4">
        <v>1300.0</v>
      </c>
      <c r="D34" s="4">
        <v>1285.35</v>
      </c>
      <c r="E34" s="4">
        <v>1288.35</v>
      </c>
      <c r="F34" s="4">
        <v>1292.0</v>
      </c>
      <c r="G34" s="4">
        <v>1293.4</v>
      </c>
      <c r="H34" s="1" t="s">
        <v>5696</v>
      </c>
      <c r="I34" s="1" t="s">
        <v>5697</v>
      </c>
      <c r="J34" s="1" t="s">
        <v>5698</v>
      </c>
      <c r="K34" s="6">
        <f t="shared" si="2"/>
        <v>0.002833081073</v>
      </c>
      <c r="L34" s="7">
        <v>0.0015072376963103215</v>
      </c>
      <c r="M34" s="8">
        <f t="shared" si="1"/>
        <v>13172268</v>
      </c>
    </row>
    <row r="35">
      <c r="A35" s="9">
        <v>45555.0</v>
      </c>
      <c r="B35" s="4">
        <v>1295.0</v>
      </c>
      <c r="C35" s="4">
        <v>1362.35</v>
      </c>
      <c r="D35" s="4">
        <v>1291.55</v>
      </c>
      <c r="E35" s="4">
        <v>1292.0</v>
      </c>
      <c r="F35" s="4">
        <v>1338.45</v>
      </c>
      <c r="G35" s="4">
        <v>1331.38</v>
      </c>
      <c r="H35" s="1" t="s">
        <v>5702</v>
      </c>
      <c r="I35" s="1" t="s">
        <v>5703</v>
      </c>
      <c r="J35" s="1" t="s">
        <v>5704</v>
      </c>
      <c r="K35" s="6">
        <f t="shared" si="2"/>
        <v>0.03595201238</v>
      </c>
      <c r="L35" s="7">
        <v>0.014760503308965348</v>
      </c>
      <c r="M35" s="8">
        <f t="shared" si="1"/>
        <v>73257767</v>
      </c>
    </row>
    <row r="36">
      <c r="A36" s="9">
        <v>45558.0</v>
      </c>
      <c r="B36" s="4">
        <v>1331.0</v>
      </c>
      <c r="C36" s="4">
        <v>1331.8</v>
      </c>
      <c r="D36" s="4">
        <v>1308.5</v>
      </c>
      <c r="E36" s="4">
        <v>1338.45</v>
      </c>
      <c r="F36" s="4">
        <v>1321.9</v>
      </c>
      <c r="G36" s="4">
        <v>1320.13</v>
      </c>
      <c r="H36" s="1" t="s">
        <v>5708</v>
      </c>
      <c r="I36" s="1" t="s">
        <v>5709</v>
      </c>
      <c r="J36" s="1" t="s">
        <v>5710</v>
      </c>
      <c r="K36" s="6">
        <f t="shared" si="2"/>
        <v>-0.01236504912</v>
      </c>
      <c r="L36" s="7">
        <v>0.005742324342453401</v>
      </c>
      <c r="M36" s="8">
        <f t="shared" si="1"/>
        <v>11380409</v>
      </c>
    </row>
    <row r="37">
      <c r="A37" s="9">
        <v>45559.0</v>
      </c>
      <c r="B37" s="4">
        <v>1321.0</v>
      </c>
      <c r="C37" s="4">
        <v>1331.4</v>
      </c>
      <c r="D37" s="4">
        <v>1315.45</v>
      </c>
      <c r="E37" s="4">
        <v>1321.9</v>
      </c>
      <c r="F37" s="4">
        <v>1318.6</v>
      </c>
      <c r="G37" s="4">
        <v>1320.74</v>
      </c>
      <c r="H37" s="1" t="s">
        <v>5711</v>
      </c>
      <c r="I37" s="1" t="s">
        <v>5712</v>
      </c>
      <c r="J37" s="1" t="s">
        <v>5713</v>
      </c>
      <c r="K37" s="6">
        <f t="shared" si="2"/>
        <v>-0.002496406687</v>
      </c>
      <c r="L37" s="7">
        <v>5.2045082607195824E-5</v>
      </c>
      <c r="M37" s="8">
        <f t="shared" si="1"/>
        <v>13886037</v>
      </c>
    </row>
    <row r="38">
      <c r="A38" s="9">
        <v>45560.0</v>
      </c>
      <c r="B38" s="4">
        <v>1310.75</v>
      </c>
      <c r="C38" s="4">
        <v>1327.75</v>
      </c>
      <c r="D38" s="4">
        <v>1310.1</v>
      </c>
      <c r="E38" s="4">
        <v>1318.6</v>
      </c>
      <c r="F38" s="4">
        <v>1323.85</v>
      </c>
      <c r="G38" s="4">
        <v>1322.81</v>
      </c>
      <c r="H38" s="1" t="s">
        <v>5717</v>
      </c>
      <c r="I38" s="1" t="s">
        <v>5718</v>
      </c>
      <c r="J38" s="1" t="s">
        <v>5719</v>
      </c>
      <c r="K38" s="6">
        <f t="shared" si="2"/>
        <v>0.003981495526</v>
      </c>
      <c r="L38" s="7">
        <v>0.0024575565527131422</v>
      </c>
      <c r="M38" s="8">
        <f t="shared" si="1"/>
        <v>8728019</v>
      </c>
    </row>
    <row r="39">
      <c r="A39" s="9">
        <v>45561.0</v>
      </c>
      <c r="B39" s="4">
        <v>1320.0</v>
      </c>
      <c r="C39" s="4">
        <v>1333.35</v>
      </c>
      <c r="D39" s="4">
        <v>1316.9</v>
      </c>
      <c r="E39" s="4">
        <v>1323.85</v>
      </c>
      <c r="F39" s="4">
        <v>1329.05</v>
      </c>
      <c r="G39" s="4">
        <v>1326.63</v>
      </c>
      <c r="H39" s="1" t="s">
        <v>5720</v>
      </c>
      <c r="I39" s="1" t="s">
        <v>5721</v>
      </c>
      <c r="J39" s="1" t="s">
        <v>5722</v>
      </c>
      <c r="K39" s="6">
        <f t="shared" si="2"/>
        <v>0.003927937455</v>
      </c>
      <c r="L39" s="7">
        <v>0.008148699342220293</v>
      </c>
      <c r="M39" s="8">
        <f t="shared" si="1"/>
        <v>11100869</v>
      </c>
    </row>
    <row r="40">
      <c r="A40" s="9">
        <v>45562.0</v>
      </c>
      <c r="B40" s="4">
        <v>1333.0</v>
      </c>
      <c r="C40" s="4">
        <v>1333.0</v>
      </c>
      <c r="D40" s="4">
        <v>1303.85</v>
      </c>
      <c r="E40" s="4">
        <v>1329.05</v>
      </c>
      <c r="F40" s="4">
        <v>1306.6</v>
      </c>
      <c r="G40" s="4">
        <v>1312.54</v>
      </c>
      <c r="H40" s="1" t="s">
        <v>5726</v>
      </c>
      <c r="I40" s="1" t="s">
        <v>5727</v>
      </c>
      <c r="J40" s="1" t="s">
        <v>5728</v>
      </c>
      <c r="K40" s="6">
        <f t="shared" si="2"/>
        <v>-0.01689176479</v>
      </c>
      <c r="L40" s="7">
        <v>-0.0014151636116042862</v>
      </c>
      <c r="M40" s="8">
        <f t="shared" si="1"/>
        <v>17117379</v>
      </c>
    </row>
    <row r="41">
      <c r="A41" s="9">
        <v>45565.0</v>
      </c>
      <c r="B41" s="4">
        <v>1292.1</v>
      </c>
      <c r="C41" s="4">
        <v>1296.8</v>
      </c>
      <c r="D41" s="4">
        <v>1270.9</v>
      </c>
      <c r="E41" s="4">
        <v>1306.6</v>
      </c>
      <c r="F41" s="4">
        <v>1273.0</v>
      </c>
      <c r="G41" s="4">
        <v>1278.52</v>
      </c>
      <c r="H41" s="1" t="s">
        <v>5731</v>
      </c>
      <c r="I41" s="1" t="s">
        <v>5733</v>
      </c>
      <c r="J41" s="1" t="s">
        <v>5734</v>
      </c>
      <c r="K41" s="6">
        <f t="shared" si="2"/>
        <v>-0.02571559773</v>
      </c>
      <c r="L41" s="7">
        <v>-0.014060915353748036</v>
      </c>
      <c r="M41" s="8">
        <f t="shared" si="1"/>
        <v>12622212</v>
      </c>
    </row>
    <row r="42">
      <c r="A42" s="3">
        <v>45566.0</v>
      </c>
      <c r="B42" s="4">
        <v>1269.8</v>
      </c>
      <c r="C42" s="4">
        <v>1280.25</v>
      </c>
      <c r="D42" s="4">
        <v>1267.6</v>
      </c>
      <c r="E42" s="4">
        <v>1273.0</v>
      </c>
      <c r="F42" s="4">
        <v>1274.4</v>
      </c>
      <c r="G42" s="4">
        <v>1274.08</v>
      </c>
      <c r="H42" s="1" t="s">
        <v>5735</v>
      </c>
      <c r="I42" s="1" t="s">
        <v>5736</v>
      </c>
      <c r="J42" s="1" t="s">
        <v>5737</v>
      </c>
      <c r="K42" s="6">
        <f t="shared" si="2"/>
        <v>0.001099764336</v>
      </c>
      <c r="L42" s="7">
        <v>-5.40470383578886E-4</v>
      </c>
      <c r="M42" s="8">
        <f t="shared" si="1"/>
        <v>10972413</v>
      </c>
    </row>
    <row r="43">
      <c r="A43" s="3">
        <v>45568.0</v>
      </c>
      <c r="B43" s="4">
        <v>1253.6</v>
      </c>
      <c r="C43" s="4">
        <v>1265.75</v>
      </c>
      <c r="D43" s="4">
        <v>1248.15</v>
      </c>
      <c r="E43" s="4">
        <v>1274.4</v>
      </c>
      <c r="F43" s="4">
        <v>1256.35</v>
      </c>
      <c r="G43" s="4">
        <v>1253.97</v>
      </c>
      <c r="H43" s="1" t="s">
        <v>5741</v>
      </c>
      <c r="I43" s="1" t="s">
        <v>5742</v>
      </c>
      <c r="J43" s="1" t="s">
        <v>5743</v>
      </c>
      <c r="K43" s="6">
        <f t="shared" si="2"/>
        <v>-0.01416352793</v>
      </c>
      <c r="L43" s="7">
        <v>-0.021196345297303278</v>
      </c>
      <c r="M43" s="8">
        <f t="shared" si="1"/>
        <v>17648551</v>
      </c>
    </row>
    <row r="44">
      <c r="A44" s="3">
        <v>45569.0</v>
      </c>
      <c r="B44" s="4">
        <v>1247.1</v>
      </c>
      <c r="C44" s="4">
        <v>1264.4</v>
      </c>
      <c r="D44" s="4">
        <v>1236.2</v>
      </c>
      <c r="E44" s="4">
        <v>1256.35</v>
      </c>
      <c r="F44" s="4">
        <v>1239.75</v>
      </c>
      <c r="G44" s="4">
        <v>1248.43</v>
      </c>
      <c r="H44" s="1" t="s">
        <v>5744</v>
      </c>
      <c r="I44" s="1" t="s">
        <v>5745</v>
      </c>
      <c r="J44" s="1" t="s">
        <v>5747</v>
      </c>
      <c r="K44" s="6">
        <f t="shared" si="2"/>
        <v>-0.01321287858</v>
      </c>
      <c r="L44" s="7">
        <v>-0.009326695735858473</v>
      </c>
      <c r="M44" s="8">
        <f t="shared" si="1"/>
        <v>13488887</v>
      </c>
    </row>
    <row r="45">
      <c r="A45" s="3">
        <v>45572.0</v>
      </c>
      <c r="B45" s="4">
        <v>1241.55</v>
      </c>
      <c r="C45" s="4">
        <v>1262.95</v>
      </c>
      <c r="D45" s="4">
        <v>1225.0</v>
      </c>
      <c r="E45" s="4">
        <v>1239.75</v>
      </c>
      <c r="F45" s="4">
        <v>1233.9</v>
      </c>
      <c r="G45" s="4">
        <v>1242.75</v>
      </c>
      <c r="H45" s="1" t="s">
        <v>5750</v>
      </c>
      <c r="I45" s="1" t="s">
        <v>5751</v>
      </c>
      <c r="J45" s="1" t="s">
        <v>5752</v>
      </c>
      <c r="K45" s="6">
        <f t="shared" si="2"/>
        <v>-0.004718693285</v>
      </c>
      <c r="L45" s="7">
        <v>-0.008748890647861591</v>
      </c>
      <c r="M45" s="8">
        <f t="shared" si="1"/>
        <v>20667247</v>
      </c>
    </row>
    <row r="46">
      <c r="A46" s="3">
        <v>45573.0</v>
      </c>
      <c r="B46" s="4">
        <v>1241.0</v>
      </c>
      <c r="C46" s="4">
        <v>1247.8</v>
      </c>
      <c r="D46" s="4">
        <v>1229.75</v>
      </c>
      <c r="E46" s="4">
        <v>1233.9</v>
      </c>
      <c r="F46" s="4">
        <v>1236.6</v>
      </c>
      <c r="G46" s="4">
        <v>1238.7</v>
      </c>
      <c r="H46" s="1" t="s">
        <v>5756</v>
      </c>
      <c r="I46" s="1" t="s">
        <v>5757</v>
      </c>
      <c r="J46" s="1" t="s">
        <v>5758</v>
      </c>
      <c r="K46" s="6">
        <f t="shared" si="2"/>
        <v>0.002188183807</v>
      </c>
      <c r="L46" s="7">
        <v>0.008767631549761611</v>
      </c>
      <c r="M46" s="8">
        <f t="shared" si="1"/>
        <v>12219259</v>
      </c>
    </row>
    <row r="47">
      <c r="A47" s="3">
        <v>45574.0</v>
      </c>
      <c r="B47" s="4">
        <v>1243.05</v>
      </c>
      <c r="C47" s="4">
        <v>1265.1</v>
      </c>
      <c r="D47" s="4">
        <v>1232.65</v>
      </c>
      <c r="E47" s="4">
        <v>1236.6</v>
      </c>
      <c r="F47" s="4">
        <v>1244.15</v>
      </c>
      <c r="G47" s="4">
        <v>1246.69</v>
      </c>
      <c r="H47" s="1" t="s">
        <v>5759</v>
      </c>
      <c r="I47" s="1" t="s">
        <v>5760</v>
      </c>
      <c r="J47" s="1" t="s">
        <v>5761</v>
      </c>
      <c r="K47" s="6">
        <f t="shared" si="2"/>
        <v>0.006105450429</v>
      </c>
      <c r="L47" s="7">
        <v>-0.0012473438971101491</v>
      </c>
      <c r="M47" s="8">
        <f t="shared" si="1"/>
        <v>14765997</v>
      </c>
    </row>
    <row r="48">
      <c r="A48" s="9">
        <v>45575.0</v>
      </c>
      <c r="B48" s="4">
        <v>1246.75</v>
      </c>
      <c r="C48" s="4">
        <v>1254.7</v>
      </c>
      <c r="D48" s="4">
        <v>1238.0</v>
      </c>
      <c r="E48" s="4">
        <v>1244.15</v>
      </c>
      <c r="F48" s="4">
        <v>1243.5</v>
      </c>
      <c r="G48" s="4">
        <v>1244.67</v>
      </c>
      <c r="H48" s="1" t="s">
        <v>5765</v>
      </c>
      <c r="I48" s="1" t="s">
        <v>5766</v>
      </c>
      <c r="J48" s="1" t="s">
        <v>5767</v>
      </c>
      <c r="K48" s="6">
        <f t="shared" si="2"/>
        <v>-0.0005224450428</v>
      </c>
      <c r="L48" s="7">
        <v>6.604768642960217E-4</v>
      </c>
      <c r="M48" s="8">
        <f t="shared" si="1"/>
        <v>9118195</v>
      </c>
    </row>
    <row r="49">
      <c r="A49" s="9">
        <v>45576.0</v>
      </c>
      <c r="B49" s="4">
        <v>1237.0</v>
      </c>
      <c r="C49" s="4">
        <v>1240.8</v>
      </c>
      <c r="D49" s="4">
        <v>1222.0</v>
      </c>
      <c r="E49" s="4">
        <v>1243.5</v>
      </c>
      <c r="F49" s="4">
        <v>1223.0</v>
      </c>
      <c r="G49" s="4">
        <v>1228.1</v>
      </c>
      <c r="H49" s="1" t="s">
        <v>5768</v>
      </c>
      <c r="I49" s="1" t="s">
        <v>5769</v>
      </c>
      <c r="J49" s="1" t="s">
        <v>5770</v>
      </c>
      <c r="K49" s="6">
        <f t="shared" si="2"/>
        <v>-0.01648572577</v>
      </c>
      <c r="L49" s="7">
        <v>-0.001368084821258947</v>
      </c>
      <c r="M49" s="8">
        <f t="shared" si="1"/>
        <v>8472512</v>
      </c>
    </row>
    <row r="50">
      <c r="A50" s="9">
        <v>45579.0</v>
      </c>
      <c r="B50" s="4">
        <v>1221.0</v>
      </c>
      <c r="C50" s="4">
        <v>1237.9</v>
      </c>
      <c r="D50" s="4">
        <v>1217.4</v>
      </c>
      <c r="E50" s="4">
        <v>1223.0</v>
      </c>
      <c r="F50" s="4">
        <v>1231.75</v>
      </c>
      <c r="G50" s="4">
        <v>1232.07</v>
      </c>
      <c r="H50" s="1" t="s">
        <v>5774</v>
      </c>
      <c r="I50" s="1" t="s">
        <v>5775</v>
      </c>
      <c r="J50" s="1" t="s">
        <v>5776</v>
      </c>
      <c r="K50" s="6">
        <f t="shared" si="2"/>
        <v>0.007154538021</v>
      </c>
      <c r="L50" s="7">
        <v>0.006557377049180357</v>
      </c>
      <c r="M50" s="8">
        <f t="shared" si="1"/>
        <v>11833929</v>
      </c>
    </row>
    <row r="51">
      <c r="A51" s="9">
        <v>45580.0</v>
      </c>
      <c r="B51" s="4">
        <v>1238.95</v>
      </c>
      <c r="C51" s="4">
        <v>1258.3</v>
      </c>
      <c r="D51" s="4">
        <v>1235.4</v>
      </c>
      <c r="E51" s="4">
        <v>1231.75</v>
      </c>
      <c r="F51" s="4">
        <v>1255.5</v>
      </c>
      <c r="G51" s="4">
        <v>1251.17</v>
      </c>
      <c r="H51" s="1" t="s">
        <v>5778</v>
      </c>
      <c r="I51" s="1" t="s">
        <v>5780</v>
      </c>
      <c r="J51" s="1" t="s">
        <v>5781</v>
      </c>
      <c r="K51" s="6">
        <f t="shared" si="2"/>
        <v>0.01928151005</v>
      </c>
      <c r="L51" s="7">
        <v>-0.0028096203629823435</v>
      </c>
      <c r="M51" s="8">
        <f t="shared" si="1"/>
        <v>11657338</v>
      </c>
    </row>
    <row r="52">
      <c r="A52" s="9">
        <v>45581.0</v>
      </c>
      <c r="B52" s="4">
        <v>1248.5</v>
      </c>
      <c r="C52" s="4">
        <v>1254.95</v>
      </c>
      <c r="D52" s="4">
        <v>1241.6</v>
      </c>
      <c r="E52" s="4">
        <v>1255.5</v>
      </c>
      <c r="F52" s="4">
        <v>1243.15</v>
      </c>
      <c r="G52" s="4">
        <v>1247.54</v>
      </c>
      <c r="H52" s="1" t="s">
        <v>5783</v>
      </c>
      <c r="I52" s="1" t="s">
        <v>5784</v>
      </c>
      <c r="J52" s="1" t="s">
        <v>5785</v>
      </c>
      <c r="K52" s="6">
        <f t="shared" si="2"/>
        <v>-0.009836718439</v>
      </c>
      <c r="L52" s="7">
        <v>-0.003434122123847864</v>
      </c>
      <c r="M52" s="8">
        <f t="shared" si="1"/>
        <v>7869727</v>
      </c>
    </row>
    <row r="53">
      <c r="A53" s="9">
        <v>45582.0</v>
      </c>
      <c r="B53" s="4">
        <v>1249.45</v>
      </c>
      <c r="C53" s="4">
        <v>1256.95</v>
      </c>
      <c r="D53" s="4">
        <v>1224.4</v>
      </c>
      <c r="E53" s="4">
        <v>1243.15</v>
      </c>
      <c r="F53" s="4">
        <v>1231.25</v>
      </c>
      <c r="G53" s="4">
        <v>1235.01</v>
      </c>
      <c r="H53" s="1" t="s">
        <v>5789</v>
      </c>
      <c r="I53" s="1" t="s">
        <v>5790</v>
      </c>
      <c r="J53" s="1" t="s">
        <v>5791</v>
      </c>
      <c r="K53" s="6">
        <f t="shared" si="2"/>
        <v>-0.009572457065</v>
      </c>
      <c r="L53" s="7">
        <v>-0.008868180671410809</v>
      </c>
      <c r="M53" s="8">
        <f t="shared" si="1"/>
        <v>8459497</v>
      </c>
    </row>
    <row r="54">
      <c r="A54" s="9">
        <v>45583.0</v>
      </c>
      <c r="B54" s="4">
        <v>1227.95</v>
      </c>
      <c r="C54" s="4">
        <v>1268.9</v>
      </c>
      <c r="D54" s="4">
        <v>1225.25</v>
      </c>
      <c r="E54" s="4">
        <v>1231.25</v>
      </c>
      <c r="F54" s="4">
        <v>1264.5</v>
      </c>
      <c r="G54" s="4">
        <v>1256.38</v>
      </c>
      <c r="H54" s="1" t="s">
        <v>5792</v>
      </c>
      <c r="I54" s="1" t="s">
        <v>5793</v>
      </c>
      <c r="J54" s="1" t="s">
        <v>5794</v>
      </c>
      <c r="K54" s="6">
        <f t="shared" si="2"/>
        <v>0.02700507614</v>
      </c>
      <c r="L54" s="7">
        <v>0.004210126526019379</v>
      </c>
      <c r="M54" s="8">
        <f t="shared" si="1"/>
        <v>11018126</v>
      </c>
    </row>
    <row r="55">
      <c r="A55" s="9">
        <v>45586.0</v>
      </c>
      <c r="B55" s="4">
        <v>1264.5</v>
      </c>
      <c r="C55" s="4">
        <v>1272.35</v>
      </c>
      <c r="D55" s="4">
        <v>1250.55</v>
      </c>
      <c r="E55" s="4">
        <v>1264.5</v>
      </c>
      <c r="F55" s="4">
        <v>1259.05</v>
      </c>
      <c r="G55" s="4">
        <v>1260.14</v>
      </c>
      <c r="H55" s="1" t="s">
        <v>5798</v>
      </c>
      <c r="I55" s="1" t="s">
        <v>5799</v>
      </c>
      <c r="J55" s="1" t="s">
        <v>5800</v>
      </c>
      <c r="K55" s="6">
        <f t="shared" si="2"/>
        <v>-0.004310003954</v>
      </c>
      <c r="L55" s="7">
        <v>-0.0029351353199981787</v>
      </c>
      <c r="M55" s="8">
        <f t="shared" si="1"/>
        <v>7742775</v>
      </c>
    </row>
    <row r="56">
      <c r="A56" s="9">
        <v>45587.0</v>
      </c>
      <c r="B56" s="4">
        <v>1266.6</v>
      </c>
      <c r="C56" s="4">
        <v>1284.9</v>
      </c>
      <c r="D56" s="4">
        <v>1259.75</v>
      </c>
      <c r="E56" s="4">
        <v>1259.05</v>
      </c>
      <c r="F56" s="4">
        <v>1267.5</v>
      </c>
      <c r="G56" s="4">
        <v>1273.05</v>
      </c>
      <c r="H56" s="1" t="s">
        <v>5803</v>
      </c>
      <c r="I56" s="1" t="s">
        <v>5805</v>
      </c>
      <c r="J56" s="1" t="s">
        <v>5806</v>
      </c>
      <c r="K56" s="6">
        <f t="shared" si="2"/>
        <v>0.006711409396</v>
      </c>
      <c r="L56" s="7">
        <v>-0.012469180141317376</v>
      </c>
      <c r="M56" s="8">
        <f t="shared" si="1"/>
        <v>20090801</v>
      </c>
    </row>
    <row r="57">
      <c r="A57" s="9">
        <v>45588.0</v>
      </c>
      <c r="B57" s="4">
        <v>1261.0</v>
      </c>
      <c r="C57" s="4">
        <v>1267.95</v>
      </c>
      <c r="D57" s="4">
        <v>1243.05</v>
      </c>
      <c r="E57" s="4">
        <v>1267.5</v>
      </c>
      <c r="F57" s="4">
        <v>1251.6</v>
      </c>
      <c r="G57" s="4">
        <v>1251.59</v>
      </c>
      <c r="H57" s="1" t="s">
        <v>5807</v>
      </c>
      <c r="I57" s="1" t="s">
        <v>5808</v>
      </c>
      <c r="J57" s="1" t="s">
        <v>5809</v>
      </c>
      <c r="K57" s="6">
        <f t="shared" si="2"/>
        <v>-0.0125443787</v>
      </c>
      <c r="L57" s="7">
        <v>-0.0014955806816741737</v>
      </c>
      <c r="M57" s="8">
        <f t="shared" si="1"/>
        <v>14055447</v>
      </c>
    </row>
    <row r="58">
      <c r="A58" s="9">
        <v>45589.0</v>
      </c>
      <c r="B58" s="4">
        <v>1250.25</v>
      </c>
      <c r="C58" s="4">
        <v>1260.45</v>
      </c>
      <c r="D58" s="4">
        <v>1241.05</v>
      </c>
      <c r="E58" s="4">
        <v>1251.6</v>
      </c>
      <c r="F58" s="4">
        <v>1252.75</v>
      </c>
      <c r="G58" s="4">
        <v>1252.73</v>
      </c>
      <c r="H58" s="1" t="s">
        <v>5813</v>
      </c>
      <c r="I58" s="1" t="s">
        <v>5814</v>
      </c>
      <c r="J58" s="1" t="s">
        <v>5815</v>
      </c>
      <c r="K58" s="6">
        <f t="shared" si="2"/>
        <v>0.0009188239054</v>
      </c>
      <c r="L58" s="7">
        <v>-0.0014773587608192403</v>
      </c>
      <c r="M58" s="8">
        <f t="shared" si="1"/>
        <v>12223031</v>
      </c>
    </row>
    <row r="59">
      <c r="A59" s="9">
        <v>45590.0</v>
      </c>
      <c r="B59" s="4">
        <v>1247.25</v>
      </c>
      <c r="C59" s="4">
        <v>1268.9</v>
      </c>
      <c r="D59" s="4">
        <v>1234.2</v>
      </c>
      <c r="E59" s="4">
        <v>1252.75</v>
      </c>
      <c r="F59" s="4">
        <v>1255.45</v>
      </c>
      <c r="G59" s="4">
        <v>1250.04</v>
      </c>
      <c r="H59" s="1" t="s">
        <v>5819</v>
      </c>
      <c r="I59" s="1" t="s">
        <v>5820</v>
      </c>
      <c r="J59" s="1" t="s">
        <v>5821</v>
      </c>
      <c r="K59" s="6">
        <f t="shared" si="2"/>
        <v>0.002155258431</v>
      </c>
      <c r="L59" s="7">
        <v>-0.008959236702541954</v>
      </c>
      <c r="M59" s="8">
        <f t="shared" si="1"/>
        <v>13546055</v>
      </c>
    </row>
    <row r="60">
      <c r="A60" s="9">
        <v>45593.0</v>
      </c>
      <c r="B60" s="4">
        <v>1285.5</v>
      </c>
      <c r="C60" s="4">
        <v>1307.8</v>
      </c>
      <c r="D60" s="4">
        <v>1280.6</v>
      </c>
      <c r="E60" s="4">
        <v>1255.45</v>
      </c>
      <c r="F60" s="4">
        <v>1292.85</v>
      </c>
      <c r="G60" s="4">
        <v>1296.93</v>
      </c>
      <c r="H60" s="1" t="s">
        <v>5822</v>
      </c>
      <c r="I60" s="1" t="s">
        <v>5824</v>
      </c>
      <c r="J60" s="1" t="s">
        <v>5826</v>
      </c>
      <c r="K60" s="6">
        <f t="shared" si="2"/>
        <v>0.0297901151</v>
      </c>
      <c r="L60" s="7">
        <v>0.006548584000529436</v>
      </c>
      <c r="M60" s="8">
        <f t="shared" si="1"/>
        <v>24096412</v>
      </c>
    </row>
    <row r="61">
      <c r="A61" s="9">
        <v>45594.0</v>
      </c>
      <c r="B61" s="4">
        <v>1301.35</v>
      </c>
      <c r="C61" s="4">
        <v>1335.35</v>
      </c>
      <c r="D61" s="4">
        <v>1299.25</v>
      </c>
      <c r="E61" s="4">
        <v>1292.85</v>
      </c>
      <c r="F61" s="4">
        <v>1331.85</v>
      </c>
      <c r="G61" s="4">
        <v>1321.25</v>
      </c>
      <c r="H61" s="1" t="s">
        <v>5828</v>
      </c>
      <c r="I61" s="1" t="s">
        <v>5829</v>
      </c>
      <c r="J61" s="1" t="s">
        <v>5830</v>
      </c>
      <c r="K61" s="6">
        <f t="shared" si="2"/>
        <v>0.03016591252</v>
      </c>
      <c r="L61" s="7">
        <v>0.005246691030705554</v>
      </c>
      <c r="M61" s="8">
        <f t="shared" si="1"/>
        <v>20656117</v>
      </c>
    </row>
    <row r="62">
      <c r="A62" s="9">
        <v>45595.0</v>
      </c>
      <c r="B62" s="4">
        <v>1324.0</v>
      </c>
      <c r="C62" s="4">
        <v>1330.9</v>
      </c>
      <c r="D62" s="4">
        <v>1305.6</v>
      </c>
      <c r="E62" s="4">
        <v>1331.85</v>
      </c>
      <c r="F62" s="4">
        <v>1312.15</v>
      </c>
      <c r="G62" s="4">
        <v>1312.8</v>
      </c>
      <c r="H62" s="1" t="s">
        <v>5834</v>
      </c>
      <c r="I62" s="1" t="s">
        <v>5835</v>
      </c>
      <c r="J62" s="1" t="s">
        <v>5836</v>
      </c>
      <c r="K62" s="6">
        <f t="shared" si="2"/>
        <v>-0.01479145549</v>
      </c>
      <c r="L62" s="7">
        <v>-0.00514982517160975</v>
      </c>
      <c r="M62" s="8">
        <f t="shared" si="1"/>
        <v>15055031</v>
      </c>
    </row>
    <row r="63">
      <c r="A63" s="9">
        <v>45596.0</v>
      </c>
      <c r="B63" s="4">
        <v>1307.25</v>
      </c>
      <c r="C63" s="4">
        <v>1318.95</v>
      </c>
      <c r="D63" s="4">
        <v>1288.55</v>
      </c>
      <c r="E63" s="4">
        <v>1312.15</v>
      </c>
      <c r="F63" s="4">
        <v>1292.25</v>
      </c>
      <c r="G63" s="4">
        <v>1296.28</v>
      </c>
      <c r="H63" s="1" t="s">
        <v>5840</v>
      </c>
      <c r="I63" s="1" t="s">
        <v>5841</v>
      </c>
      <c r="J63" s="1" t="s">
        <v>5842</v>
      </c>
      <c r="K63" s="6">
        <f t="shared" si="2"/>
        <v>-0.01516594901</v>
      </c>
      <c r="L63" s="7">
        <v>-0.005566773551457735</v>
      </c>
      <c r="M63" s="8">
        <f t="shared" si="1"/>
        <v>23497314</v>
      </c>
    </row>
    <row r="64">
      <c r="A64" s="3">
        <v>45597.0</v>
      </c>
      <c r="B64" s="4">
        <v>1289.95</v>
      </c>
      <c r="C64" s="4">
        <v>1296.2</v>
      </c>
      <c r="D64" s="4">
        <v>1286.25</v>
      </c>
      <c r="E64" s="4">
        <v>1292.25</v>
      </c>
      <c r="F64" s="4">
        <v>1291.8</v>
      </c>
      <c r="G64" s="4">
        <v>1292.11</v>
      </c>
      <c r="H64" s="1" t="s">
        <v>5843</v>
      </c>
      <c r="I64" s="1" t="s">
        <v>5845</v>
      </c>
      <c r="J64" s="11">
        <v>40161.0</v>
      </c>
      <c r="K64" s="6">
        <f t="shared" si="2"/>
        <v>-0.0003482298317</v>
      </c>
      <c r="L64" s="7">
        <v>0.004090004895611921</v>
      </c>
      <c r="M64" s="8">
        <f t="shared" si="1"/>
        <v>1007022</v>
      </c>
    </row>
    <row r="65">
      <c r="A65" s="3">
        <v>45600.0</v>
      </c>
      <c r="B65" s="4">
        <v>1290.1</v>
      </c>
      <c r="C65" s="4">
        <v>1291.8</v>
      </c>
      <c r="D65" s="4">
        <v>1270.05</v>
      </c>
      <c r="E65" s="4">
        <v>1291.8</v>
      </c>
      <c r="F65" s="4">
        <v>1277.2</v>
      </c>
      <c r="G65" s="4">
        <v>1276.5</v>
      </c>
      <c r="H65" s="1" t="s">
        <v>5848</v>
      </c>
      <c r="I65" s="1" t="s">
        <v>5849</v>
      </c>
      <c r="J65" s="1" t="s">
        <v>5850</v>
      </c>
      <c r="K65" s="6">
        <f t="shared" si="2"/>
        <v>-0.01130205914</v>
      </c>
      <c r="L65" s="7">
        <v>-0.012713773460306488</v>
      </c>
      <c r="M65" s="8">
        <f t="shared" si="1"/>
        <v>14309121</v>
      </c>
    </row>
    <row r="66">
      <c r="A66" s="3">
        <v>45601.0</v>
      </c>
      <c r="B66" s="4">
        <v>1273.0</v>
      </c>
      <c r="C66" s="4">
        <v>1301.3</v>
      </c>
      <c r="D66" s="4">
        <v>1263.1</v>
      </c>
      <c r="E66" s="4">
        <v>1277.2</v>
      </c>
      <c r="F66" s="4">
        <v>1296.7</v>
      </c>
      <c r="G66" s="4">
        <v>1284.33</v>
      </c>
      <c r="H66" s="1" t="s">
        <v>5854</v>
      </c>
      <c r="I66" s="1" t="s">
        <v>5855</v>
      </c>
      <c r="J66" s="1" t="s">
        <v>5856</v>
      </c>
      <c r="K66" s="6">
        <f t="shared" si="2"/>
        <v>0.01526777325</v>
      </c>
      <c r="L66" s="7">
        <v>0.009083009833155204</v>
      </c>
      <c r="M66" s="8">
        <f t="shared" si="1"/>
        <v>16431920</v>
      </c>
    </row>
    <row r="67">
      <c r="A67" s="3">
        <v>45602.0</v>
      </c>
      <c r="B67" s="4">
        <v>1300.25</v>
      </c>
      <c r="C67" s="4">
        <v>1315.0</v>
      </c>
      <c r="D67" s="4">
        <v>1292.7</v>
      </c>
      <c r="E67" s="4">
        <v>1296.7</v>
      </c>
      <c r="F67" s="4">
        <v>1302.35</v>
      </c>
      <c r="G67" s="4">
        <v>1306.97</v>
      </c>
      <c r="H67" s="1" t="s">
        <v>5860</v>
      </c>
      <c r="I67" s="1" t="s">
        <v>5861</v>
      </c>
      <c r="J67" s="1" t="s">
        <v>5862</v>
      </c>
      <c r="K67" s="6">
        <f t="shared" si="2"/>
        <v>0.004357214467</v>
      </c>
      <c r="L67" s="7">
        <v>0.011181871120417292</v>
      </c>
      <c r="M67" s="8">
        <f t="shared" si="1"/>
        <v>12037405</v>
      </c>
    </row>
    <row r="68">
      <c r="A68" s="3">
        <v>45603.0</v>
      </c>
      <c r="B68" s="4">
        <v>1297.15</v>
      </c>
      <c r="C68" s="4">
        <v>1302.8</v>
      </c>
      <c r="D68" s="4">
        <v>1275.25</v>
      </c>
      <c r="E68" s="4">
        <v>1302.35</v>
      </c>
      <c r="F68" s="4">
        <v>1278.7</v>
      </c>
      <c r="G68" s="4">
        <v>1282.48</v>
      </c>
      <c r="H68" s="1" t="s">
        <v>5866</v>
      </c>
      <c r="I68" s="1" t="s">
        <v>5867</v>
      </c>
      <c r="J68" s="1" t="s">
        <v>5868</v>
      </c>
      <c r="K68" s="6">
        <f t="shared" si="2"/>
        <v>-0.01815948094</v>
      </c>
      <c r="L68" s="7">
        <v>-0.01162797821438858</v>
      </c>
      <c r="M68" s="8">
        <f t="shared" si="1"/>
        <v>9909035</v>
      </c>
    </row>
    <row r="69">
      <c r="A69" s="3">
        <v>45604.0</v>
      </c>
      <c r="B69" s="4">
        <v>1270.0</v>
      </c>
      <c r="C69" s="4">
        <v>1275.0</v>
      </c>
      <c r="D69" s="4">
        <v>1252.7</v>
      </c>
      <c r="E69" s="4">
        <v>1278.7</v>
      </c>
      <c r="F69" s="4">
        <v>1258.85</v>
      </c>
      <c r="G69" s="4">
        <v>1260.33</v>
      </c>
      <c r="H69" s="1" t="s">
        <v>5872</v>
      </c>
      <c r="I69" s="1" t="s">
        <v>5873</v>
      </c>
      <c r="J69" s="1" t="s">
        <v>5874</v>
      </c>
      <c r="K69" s="6">
        <f t="shared" si="2"/>
        <v>-0.01552357863</v>
      </c>
      <c r="L69" s="7">
        <v>-0.0021136931363858044</v>
      </c>
      <c r="M69" s="8">
        <f t="shared" si="1"/>
        <v>11195808</v>
      </c>
    </row>
    <row r="70">
      <c r="A70" s="9">
        <v>45607.0</v>
      </c>
      <c r="B70" s="4">
        <v>1262.0</v>
      </c>
      <c r="C70" s="4">
        <v>1275.9</v>
      </c>
      <c r="D70" s="4">
        <v>1246.65</v>
      </c>
      <c r="E70" s="4">
        <v>1258.85</v>
      </c>
      <c r="F70" s="4">
        <v>1269.3</v>
      </c>
      <c r="G70" s="4">
        <v>1266.04</v>
      </c>
      <c r="H70" s="1" t="s">
        <v>5878</v>
      </c>
      <c r="I70" s="1" t="s">
        <v>5879</v>
      </c>
      <c r="J70" s="1" t="s">
        <v>5880</v>
      </c>
      <c r="K70" s="6">
        <f t="shared" si="2"/>
        <v>0.008301227311</v>
      </c>
      <c r="L70" s="7">
        <v>-2.857355827764163E-4</v>
      </c>
      <c r="M70" s="8">
        <f t="shared" si="1"/>
        <v>8387780</v>
      </c>
    </row>
    <row r="71">
      <c r="A71" s="9">
        <v>45608.0</v>
      </c>
      <c r="B71" s="4">
        <v>1276.15</v>
      </c>
      <c r="C71" s="4">
        <v>1295.0</v>
      </c>
      <c r="D71" s="4">
        <v>1264.5</v>
      </c>
      <c r="E71" s="4">
        <v>1269.3</v>
      </c>
      <c r="F71" s="4">
        <v>1270.6</v>
      </c>
      <c r="G71" s="4">
        <v>1276.01</v>
      </c>
      <c r="H71" s="1" t="s">
        <v>5884</v>
      </c>
      <c r="I71" s="1" t="s">
        <v>5885</v>
      </c>
      <c r="J71" s="1" t="s">
        <v>5886</v>
      </c>
      <c r="K71" s="6">
        <f t="shared" si="2"/>
        <v>0.00102418656</v>
      </c>
      <c r="L71" s="7">
        <v>-0.010680866399075383</v>
      </c>
      <c r="M71" s="8">
        <f t="shared" si="1"/>
        <v>13486168</v>
      </c>
    </row>
    <row r="72">
      <c r="A72" s="9">
        <v>45609.0</v>
      </c>
      <c r="B72" s="4">
        <v>1270.6</v>
      </c>
      <c r="C72" s="4">
        <v>1276.25</v>
      </c>
      <c r="D72" s="4">
        <v>1250.0</v>
      </c>
      <c r="E72" s="4">
        <v>1270.6</v>
      </c>
      <c r="F72" s="4">
        <v>1253.7</v>
      </c>
      <c r="G72" s="4">
        <v>1261.05</v>
      </c>
      <c r="H72" s="1" t="s">
        <v>5890</v>
      </c>
      <c r="I72" s="1" t="s">
        <v>5891</v>
      </c>
      <c r="J72" s="1" t="s">
        <v>5892</v>
      </c>
      <c r="K72" s="6">
        <f t="shared" si="2"/>
        <v>-0.01330080277</v>
      </c>
      <c r="L72" s="7">
        <v>-0.013582627300494754</v>
      </c>
      <c r="M72" s="8">
        <f t="shared" si="1"/>
        <v>12260404</v>
      </c>
    </row>
    <row r="73">
      <c r="A73" s="9">
        <v>45610.0</v>
      </c>
      <c r="B73" s="4">
        <v>1253.75</v>
      </c>
      <c r="C73" s="4">
        <v>1267.7</v>
      </c>
      <c r="D73" s="4">
        <v>1243.05</v>
      </c>
      <c r="E73" s="4">
        <v>1253.7</v>
      </c>
      <c r="F73" s="4">
        <v>1256.95</v>
      </c>
      <c r="G73" s="4">
        <v>1255.26</v>
      </c>
      <c r="H73" s="1" t="s">
        <v>5895</v>
      </c>
      <c r="I73" s="1" t="s">
        <v>5897</v>
      </c>
      <c r="J73" s="1" t="s">
        <v>5898</v>
      </c>
      <c r="K73" s="6">
        <f t="shared" si="2"/>
        <v>0.002592326713</v>
      </c>
      <c r="L73" s="7">
        <v>-0.001118466152073133</v>
      </c>
      <c r="M73" s="8">
        <f t="shared" si="1"/>
        <v>9506892</v>
      </c>
    </row>
    <row r="74">
      <c r="A74" s="9">
        <v>45614.0</v>
      </c>
      <c r="B74" s="4">
        <v>1260.0</v>
      </c>
      <c r="C74" s="4">
        <v>1262.6</v>
      </c>
      <c r="D74" s="4">
        <v>1249.4</v>
      </c>
      <c r="E74" s="4">
        <v>1256.95</v>
      </c>
      <c r="F74" s="4">
        <v>1253.45</v>
      </c>
      <c r="G74" s="4">
        <v>1254.62</v>
      </c>
      <c r="H74" s="1" t="s">
        <v>5899</v>
      </c>
      <c r="I74" s="1" t="s">
        <v>5901</v>
      </c>
      <c r="J74" s="1" t="s">
        <v>5903</v>
      </c>
      <c r="K74" s="6">
        <f t="shared" si="2"/>
        <v>-0.002784518079</v>
      </c>
      <c r="L74" s="7">
        <v>-0.003352781448792593</v>
      </c>
      <c r="M74" s="8">
        <f t="shared" si="1"/>
        <v>6195554</v>
      </c>
    </row>
    <row r="75">
      <c r="A75" s="9">
        <v>45615.0</v>
      </c>
      <c r="B75" s="4">
        <v>1257.05</v>
      </c>
      <c r="C75" s="4">
        <v>1261.0</v>
      </c>
      <c r="D75" s="4">
        <v>1240.85</v>
      </c>
      <c r="E75" s="4">
        <v>1253.45</v>
      </c>
      <c r="F75" s="4">
        <v>1249.1</v>
      </c>
      <c r="G75" s="4">
        <v>1251.54</v>
      </c>
      <c r="H75" s="1" t="s">
        <v>5905</v>
      </c>
      <c r="I75" s="1" t="s">
        <v>5906</v>
      </c>
      <c r="J75" s="1" t="s">
        <v>5908</v>
      </c>
      <c r="K75" s="6">
        <f t="shared" si="2"/>
        <v>-0.003470421636</v>
      </c>
      <c r="L75" s="7">
        <v>0.002758614808687749</v>
      </c>
      <c r="M75" s="8">
        <f t="shared" si="1"/>
        <v>11537317</v>
      </c>
    </row>
    <row r="76">
      <c r="A76" s="9">
        <v>45617.0</v>
      </c>
      <c r="B76" s="4">
        <v>1248.55</v>
      </c>
      <c r="C76" s="4">
        <v>1256.9</v>
      </c>
      <c r="D76" s="4">
        <v>1232.55</v>
      </c>
      <c r="E76" s="4">
        <v>1249.1</v>
      </c>
      <c r="F76" s="4">
        <v>1250.55</v>
      </c>
      <c r="G76" s="4">
        <v>1247.38</v>
      </c>
      <c r="H76" s="1" t="s">
        <v>5914</v>
      </c>
      <c r="I76" s="1" t="s">
        <v>5915</v>
      </c>
      <c r="J76" s="1" t="s">
        <v>5916</v>
      </c>
      <c r="K76" s="6">
        <f t="shared" si="2"/>
        <v>0.001160835802</v>
      </c>
      <c r="L76" s="7">
        <v>-0.007168824542381468</v>
      </c>
      <c r="M76" s="8">
        <f t="shared" si="1"/>
        <v>9593870</v>
      </c>
    </row>
    <row r="77">
      <c r="A77" s="9">
        <v>45618.0</v>
      </c>
      <c r="B77" s="4">
        <v>1258.0</v>
      </c>
      <c r="C77" s="4">
        <v>1281.4</v>
      </c>
      <c r="D77" s="4">
        <v>1256.0</v>
      </c>
      <c r="E77" s="4">
        <v>1250.55</v>
      </c>
      <c r="F77" s="4">
        <v>1278.05</v>
      </c>
      <c r="G77" s="4">
        <v>1275.03</v>
      </c>
      <c r="H77" s="1" t="s">
        <v>5920</v>
      </c>
      <c r="I77" s="1" t="s">
        <v>5921</v>
      </c>
      <c r="J77" s="1" t="s">
        <v>5922</v>
      </c>
      <c r="K77" s="6">
        <f t="shared" si="2"/>
        <v>0.02199032426</v>
      </c>
      <c r="L77" s="7">
        <v>0.023869481239748285</v>
      </c>
      <c r="M77" s="8">
        <f t="shared" si="1"/>
        <v>11604338</v>
      </c>
    </row>
    <row r="78">
      <c r="A78" s="9">
        <v>45621.0</v>
      </c>
      <c r="B78" s="4">
        <v>1296.0</v>
      </c>
      <c r="C78" s="4">
        <v>1311.2</v>
      </c>
      <c r="D78" s="4">
        <v>1290.0</v>
      </c>
      <c r="E78" s="4">
        <v>1278.05</v>
      </c>
      <c r="F78" s="4">
        <v>1300.95</v>
      </c>
      <c r="G78" s="4">
        <v>1302.41</v>
      </c>
      <c r="H78" s="1" t="s">
        <v>5924</v>
      </c>
      <c r="I78" s="1" t="s">
        <v>5926</v>
      </c>
      <c r="J78" s="1" t="s">
        <v>5928</v>
      </c>
      <c r="K78" s="6">
        <f t="shared" si="2"/>
        <v>0.01791792183</v>
      </c>
      <c r="L78" s="7">
        <v>0.01316127952817666</v>
      </c>
      <c r="M78" s="8">
        <f t="shared" si="1"/>
        <v>22717581</v>
      </c>
    </row>
    <row r="79">
      <c r="A79" s="9">
        <v>45622.0</v>
      </c>
      <c r="B79" s="4">
        <v>1310.6</v>
      </c>
      <c r="C79" s="4">
        <v>1314.25</v>
      </c>
      <c r="D79" s="4">
        <v>1302.45</v>
      </c>
      <c r="E79" s="4">
        <v>1300.95</v>
      </c>
      <c r="F79" s="4">
        <v>1304.95</v>
      </c>
      <c r="G79" s="4">
        <v>1306.1</v>
      </c>
      <c r="H79" s="1" t="s">
        <v>5935</v>
      </c>
      <c r="I79" s="1" t="s">
        <v>5936</v>
      </c>
      <c r="J79" s="1" t="s">
        <v>5937</v>
      </c>
      <c r="K79" s="6">
        <f t="shared" si="2"/>
        <v>0.003074676198</v>
      </c>
      <c r="L79" s="7">
        <v>-0.0011312077087264605</v>
      </c>
      <c r="M79" s="8">
        <f t="shared" si="1"/>
        <v>7646955</v>
      </c>
    </row>
    <row r="80">
      <c r="A80" s="9">
        <v>45623.0</v>
      </c>
      <c r="B80" s="4">
        <v>1298.5</v>
      </c>
      <c r="C80" s="4">
        <v>1310.85</v>
      </c>
      <c r="D80" s="4">
        <v>1297.85</v>
      </c>
      <c r="E80" s="4">
        <v>1304.95</v>
      </c>
      <c r="F80" s="4">
        <v>1300.7</v>
      </c>
      <c r="G80" s="4">
        <v>1302.15</v>
      </c>
      <c r="H80" s="1" t="s">
        <v>5941</v>
      </c>
      <c r="I80" s="1" t="s">
        <v>5942</v>
      </c>
      <c r="J80" s="1" t="s">
        <v>5943</v>
      </c>
      <c r="K80" s="6">
        <f t="shared" si="2"/>
        <v>-0.003256829764</v>
      </c>
      <c r="L80" s="7">
        <v>0.003323069292607884</v>
      </c>
      <c r="M80" s="8">
        <f t="shared" si="1"/>
        <v>21938082</v>
      </c>
    </row>
    <row r="81">
      <c r="A81" s="9">
        <v>45624.0</v>
      </c>
      <c r="B81" s="4">
        <v>1301.05</v>
      </c>
      <c r="C81" s="4">
        <v>1310.5</v>
      </c>
      <c r="D81" s="4">
        <v>1282.3</v>
      </c>
      <c r="E81" s="4">
        <v>1300.7</v>
      </c>
      <c r="F81" s="4">
        <v>1286.35</v>
      </c>
      <c r="G81" s="4">
        <v>1292.68</v>
      </c>
      <c r="H81" s="1" t="s">
        <v>5950</v>
      </c>
      <c r="I81" s="1" t="s">
        <v>5951</v>
      </c>
      <c r="J81" s="1" t="s">
        <v>5952</v>
      </c>
      <c r="K81" s="6">
        <f t="shared" si="2"/>
        <v>-0.01103252095</v>
      </c>
      <c r="L81" s="7">
        <v>-0.014861029293632517</v>
      </c>
      <c r="M81" s="8">
        <f t="shared" si="1"/>
        <v>22803745</v>
      </c>
    </row>
    <row r="82">
      <c r="A82" s="9">
        <v>45625.0</v>
      </c>
      <c r="B82" s="4">
        <v>1283.1</v>
      </c>
      <c r="C82" s="4">
        <v>1303.25</v>
      </c>
      <c r="D82" s="4">
        <v>1283.1</v>
      </c>
      <c r="E82" s="4">
        <v>1286.35</v>
      </c>
      <c r="F82" s="4">
        <v>1300.1</v>
      </c>
      <c r="G82" s="4">
        <v>1296.93</v>
      </c>
      <c r="H82" s="1" t="s">
        <v>5959</v>
      </c>
      <c r="I82" s="1" t="s">
        <v>5960</v>
      </c>
      <c r="J82" s="1" t="s">
        <v>5961</v>
      </c>
      <c r="K82" s="6">
        <f t="shared" si="2"/>
        <v>0.01068915925</v>
      </c>
      <c r="L82" s="7">
        <v>0.009072034757664273</v>
      </c>
      <c r="M82" s="8">
        <f t="shared" si="1"/>
        <v>11397228</v>
      </c>
    </row>
    <row r="83">
      <c r="A83" s="3">
        <v>45628.0</v>
      </c>
      <c r="B83" s="4">
        <v>1299.9</v>
      </c>
      <c r="C83" s="4">
        <v>1310.55</v>
      </c>
      <c r="D83" s="4">
        <v>1289.15</v>
      </c>
      <c r="E83" s="4">
        <v>1300.1</v>
      </c>
      <c r="F83" s="4">
        <v>1304.65</v>
      </c>
      <c r="G83" s="4">
        <v>1303.46</v>
      </c>
      <c r="H83" s="1" t="s">
        <v>5968</v>
      </c>
      <c r="I83" s="1" t="s">
        <v>5969</v>
      </c>
      <c r="J83" s="1" t="s">
        <v>5970</v>
      </c>
      <c r="K83" s="6">
        <f t="shared" si="2"/>
        <v>0.00349973079</v>
      </c>
      <c r="L83" s="7">
        <v>0.006006771344862055</v>
      </c>
      <c r="M83" s="8">
        <f t="shared" si="1"/>
        <v>9626400</v>
      </c>
    </row>
    <row r="84">
      <c r="A84" s="3">
        <v>45629.0</v>
      </c>
      <c r="B84" s="4">
        <v>1303.95</v>
      </c>
      <c r="C84" s="4">
        <v>1312.8</v>
      </c>
      <c r="D84" s="4">
        <v>1296.1</v>
      </c>
      <c r="E84" s="4">
        <v>1304.65</v>
      </c>
      <c r="F84" s="4">
        <v>1308.4</v>
      </c>
      <c r="G84" s="4">
        <v>1306.89</v>
      </c>
      <c r="H84" s="1" t="s">
        <v>5976</v>
      </c>
      <c r="I84" s="1" t="s">
        <v>5978</v>
      </c>
      <c r="J84" s="1" t="s">
        <v>5979</v>
      </c>
      <c r="K84" s="6">
        <f t="shared" si="2"/>
        <v>0.002874334113</v>
      </c>
      <c r="L84" s="7">
        <v>0.007460027475639661</v>
      </c>
      <c r="M84" s="8">
        <f t="shared" si="1"/>
        <v>11509276</v>
      </c>
    </row>
    <row r="85">
      <c r="A85" s="3">
        <v>45630.0</v>
      </c>
      <c r="B85" s="4">
        <v>1302.6</v>
      </c>
      <c r="C85" s="4">
        <v>1320.0</v>
      </c>
      <c r="D85" s="4">
        <v>1301.7</v>
      </c>
      <c r="E85" s="4">
        <v>1308.4</v>
      </c>
      <c r="F85" s="4">
        <v>1316.05</v>
      </c>
      <c r="G85" s="4">
        <v>1313.28</v>
      </c>
      <c r="H85" s="1" t="s">
        <v>5984</v>
      </c>
      <c r="I85" s="1" t="s">
        <v>5986</v>
      </c>
      <c r="J85" s="1" t="s">
        <v>5988</v>
      </c>
      <c r="K85" s="6">
        <f t="shared" si="2"/>
        <v>0.00584683583</v>
      </c>
      <c r="L85" s="7">
        <v>4.211447368151756E-4</v>
      </c>
      <c r="M85" s="8">
        <f t="shared" si="1"/>
        <v>11570281</v>
      </c>
    </row>
    <row r="86">
      <c r="A86" s="3">
        <v>45631.0</v>
      </c>
      <c r="B86" s="4">
        <v>1316.25</v>
      </c>
      <c r="C86" s="4">
        <v>1342.9</v>
      </c>
      <c r="D86" s="4">
        <v>1308.6</v>
      </c>
      <c r="E86" s="4">
        <v>1316.05</v>
      </c>
      <c r="F86" s="4">
        <v>1336.5</v>
      </c>
      <c r="G86" s="4">
        <v>1329.38</v>
      </c>
      <c r="H86" s="1" t="s">
        <v>5992</v>
      </c>
      <c r="I86" s="1" t="s">
        <v>5993</v>
      </c>
      <c r="J86" s="1" t="s">
        <v>5994</v>
      </c>
      <c r="K86" s="6">
        <f t="shared" si="2"/>
        <v>0.01553892329</v>
      </c>
      <c r="L86" s="7">
        <v>0.009847777353177415</v>
      </c>
      <c r="M86" s="8">
        <f t="shared" si="1"/>
        <v>19210697</v>
      </c>
    </row>
    <row r="87">
      <c r="A87" s="3">
        <v>45632.0</v>
      </c>
      <c r="B87" s="4">
        <v>1342.5</v>
      </c>
      <c r="C87" s="4">
        <v>1347.1</v>
      </c>
      <c r="D87" s="4">
        <v>1326.7</v>
      </c>
      <c r="E87" s="4">
        <v>1336.5</v>
      </c>
      <c r="F87" s="4">
        <v>1328.75</v>
      </c>
      <c r="G87" s="4">
        <v>1334.62</v>
      </c>
      <c r="H87" s="1" t="s">
        <v>6000</v>
      </c>
      <c r="I87" s="1" t="s">
        <v>6001</v>
      </c>
      <c r="J87" s="1" t="s">
        <v>6002</v>
      </c>
      <c r="K87" s="6">
        <f t="shared" si="2"/>
        <v>-0.005798728021</v>
      </c>
      <c r="L87" s="7">
        <v>-0.0012384452251057204</v>
      </c>
      <c r="M87" s="8">
        <f t="shared" si="1"/>
        <v>8942672</v>
      </c>
    </row>
    <row r="88">
      <c r="A88" s="3">
        <v>45635.0</v>
      </c>
      <c r="B88" s="4">
        <v>1322.1</v>
      </c>
      <c r="C88" s="4">
        <v>1329.05</v>
      </c>
      <c r="D88" s="4">
        <v>1320.25</v>
      </c>
      <c r="E88" s="4">
        <v>1328.75</v>
      </c>
      <c r="F88" s="4">
        <v>1322.3</v>
      </c>
      <c r="G88" s="4">
        <v>1323.57</v>
      </c>
      <c r="H88" s="1" t="s">
        <v>6009</v>
      </c>
      <c r="I88" s="1" t="s">
        <v>6010</v>
      </c>
      <c r="J88" s="1" t="s">
        <v>6011</v>
      </c>
      <c r="K88" s="6">
        <f t="shared" si="2"/>
        <v>-0.004854186265</v>
      </c>
      <c r="L88" s="7">
        <v>-0.0023827083451522938</v>
      </c>
      <c r="M88" s="8">
        <f t="shared" si="1"/>
        <v>8000764</v>
      </c>
    </row>
    <row r="89">
      <c r="A89" s="9">
        <v>45636.0</v>
      </c>
      <c r="B89" s="4">
        <v>1319.0</v>
      </c>
      <c r="C89" s="4">
        <v>1332.0</v>
      </c>
      <c r="D89" s="4">
        <v>1315.25</v>
      </c>
      <c r="E89" s="4">
        <v>1322.3</v>
      </c>
      <c r="F89" s="4">
        <v>1330.45</v>
      </c>
      <c r="G89" s="4">
        <v>1327.71</v>
      </c>
      <c r="H89" s="1" t="s">
        <v>6017</v>
      </c>
      <c r="I89" s="1" t="s">
        <v>6018</v>
      </c>
      <c r="J89" s="1" t="s">
        <v>6019</v>
      </c>
      <c r="K89" s="6">
        <f t="shared" si="2"/>
        <v>0.006163502987</v>
      </c>
      <c r="L89" s="7">
        <v>-3.635403550103874E-4</v>
      </c>
      <c r="M89" s="8">
        <f t="shared" si="1"/>
        <v>8218214</v>
      </c>
    </row>
    <row r="90">
      <c r="A90" s="9">
        <v>45637.0</v>
      </c>
      <c r="B90" s="4">
        <v>1324.7</v>
      </c>
      <c r="C90" s="4">
        <v>1331.25</v>
      </c>
      <c r="D90" s="4">
        <v>1316.0</v>
      </c>
      <c r="E90" s="4">
        <v>1330.45</v>
      </c>
      <c r="F90" s="4">
        <v>1327.5</v>
      </c>
      <c r="G90" s="4">
        <v>1325.69</v>
      </c>
      <c r="H90" s="1" t="s">
        <v>6024</v>
      </c>
      <c r="I90" s="1" t="s">
        <v>6026</v>
      </c>
      <c r="J90" s="1" t="s">
        <v>6027</v>
      </c>
      <c r="K90" s="6">
        <f t="shared" si="2"/>
        <v>-0.0022172949</v>
      </c>
      <c r="L90" s="7">
        <v>0.00129012334391844</v>
      </c>
      <c r="M90" s="8">
        <f t="shared" si="1"/>
        <v>8138066</v>
      </c>
    </row>
    <row r="91">
      <c r="A91" s="9">
        <v>45638.0</v>
      </c>
      <c r="B91" s="4">
        <v>1321.55</v>
      </c>
      <c r="C91" s="4">
        <v>1338.75</v>
      </c>
      <c r="D91" s="4">
        <v>1321.55</v>
      </c>
      <c r="E91" s="4">
        <v>1327.5</v>
      </c>
      <c r="F91" s="4">
        <v>1329.25</v>
      </c>
      <c r="G91" s="4">
        <v>1330.74</v>
      </c>
      <c r="H91" s="1" t="s">
        <v>6031</v>
      </c>
      <c r="I91" s="1" t="s">
        <v>6032</v>
      </c>
      <c r="J91" s="1" t="s">
        <v>6033</v>
      </c>
      <c r="K91" s="6">
        <f t="shared" si="2"/>
        <v>0.00131826742</v>
      </c>
      <c r="L91" s="7">
        <v>-0.00377813309092674</v>
      </c>
      <c r="M91" s="8">
        <f t="shared" si="1"/>
        <v>9076896</v>
      </c>
    </row>
    <row r="92">
      <c r="A92" s="9">
        <v>45639.0</v>
      </c>
      <c r="B92" s="4">
        <v>1325.35</v>
      </c>
      <c r="C92" s="4">
        <v>1347.15</v>
      </c>
      <c r="D92" s="4">
        <v>1313.5</v>
      </c>
      <c r="E92" s="4">
        <v>1329.25</v>
      </c>
      <c r="F92" s="4">
        <v>1344.9</v>
      </c>
      <c r="G92" s="4">
        <v>1334.68</v>
      </c>
      <c r="H92" s="1" t="s">
        <v>6038</v>
      </c>
      <c r="I92" s="1" t="s">
        <v>6040</v>
      </c>
      <c r="J92" s="1" t="s">
        <v>6042</v>
      </c>
      <c r="K92" s="6">
        <f t="shared" si="2"/>
        <v>0.01177355652</v>
      </c>
      <c r="L92" s="7">
        <v>0.008945483874909814</v>
      </c>
      <c r="M92" s="8">
        <f t="shared" si="1"/>
        <v>13536684</v>
      </c>
    </row>
    <row r="93">
      <c r="A93" s="9">
        <v>45642.0</v>
      </c>
      <c r="B93" s="4">
        <v>1344.9</v>
      </c>
      <c r="C93" s="4">
        <v>1350.45</v>
      </c>
      <c r="D93" s="4">
        <v>1340.05</v>
      </c>
      <c r="E93" s="4">
        <v>1344.9</v>
      </c>
      <c r="F93" s="4">
        <v>1346.1</v>
      </c>
      <c r="G93" s="4">
        <v>1345.53</v>
      </c>
      <c r="H93" s="1" t="s">
        <v>6046</v>
      </c>
      <c r="I93" s="1" t="s">
        <v>6047</v>
      </c>
      <c r="J93" s="1" t="s">
        <v>6049</v>
      </c>
      <c r="K93" s="6">
        <f t="shared" si="2"/>
        <v>0.0008922596476</v>
      </c>
      <c r="L93" s="7">
        <v>-0.004039437506813115</v>
      </c>
      <c r="M93" s="8">
        <f t="shared" si="1"/>
        <v>9071006</v>
      </c>
    </row>
    <row r="94">
      <c r="A94" s="9">
        <v>45643.0</v>
      </c>
      <c r="B94" s="4">
        <v>1342.0</v>
      </c>
      <c r="C94" s="4">
        <v>1348.1</v>
      </c>
      <c r="D94" s="4">
        <v>1326.05</v>
      </c>
      <c r="E94" s="4">
        <v>1346.1</v>
      </c>
      <c r="F94" s="4">
        <v>1333.75</v>
      </c>
      <c r="G94" s="4">
        <v>1333.43</v>
      </c>
      <c r="H94" s="1" t="s">
        <v>6053</v>
      </c>
      <c r="I94" s="1" t="s">
        <v>6055</v>
      </c>
      <c r="J94" s="1" t="s">
        <v>6057</v>
      </c>
      <c r="K94" s="6">
        <f t="shared" si="2"/>
        <v>-0.0091746527</v>
      </c>
      <c r="L94" s="7">
        <v>-0.013468730047733423</v>
      </c>
      <c r="M94" s="8">
        <f t="shared" si="1"/>
        <v>9879257</v>
      </c>
    </row>
    <row r="95">
      <c r="A95" s="9">
        <v>45644.0</v>
      </c>
      <c r="B95" s="4">
        <v>1325.25</v>
      </c>
      <c r="C95" s="4">
        <v>1334.95</v>
      </c>
      <c r="D95" s="4">
        <v>1307.45</v>
      </c>
      <c r="E95" s="4">
        <v>1333.75</v>
      </c>
      <c r="F95" s="4">
        <v>1314.15</v>
      </c>
      <c r="G95" s="4">
        <v>1316.49</v>
      </c>
      <c r="H95" s="1" t="s">
        <v>6061</v>
      </c>
      <c r="I95" s="1" t="s">
        <v>6062</v>
      </c>
      <c r="J95" s="1" t="s">
        <v>6063</v>
      </c>
      <c r="K95" s="6">
        <f t="shared" si="2"/>
        <v>-0.01469540769</v>
      </c>
      <c r="L95" s="7">
        <v>-0.0056356837606838205</v>
      </c>
      <c r="M95" s="8">
        <f t="shared" si="1"/>
        <v>8510595</v>
      </c>
    </row>
    <row r="96">
      <c r="A96" s="9">
        <v>45645.0</v>
      </c>
      <c r="B96" s="4">
        <v>1286.0</v>
      </c>
      <c r="C96" s="4">
        <v>1303.0</v>
      </c>
      <c r="D96" s="4">
        <v>1284.45</v>
      </c>
      <c r="E96" s="4">
        <v>1314.15</v>
      </c>
      <c r="F96" s="4">
        <v>1286.9</v>
      </c>
      <c r="G96" s="4">
        <v>1290.73</v>
      </c>
      <c r="H96" s="1" t="s">
        <v>6064</v>
      </c>
      <c r="I96" s="1" t="s">
        <v>6065</v>
      </c>
      <c r="J96" s="1" t="s">
        <v>6066</v>
      </c>
      <c r="K96" s="6">
        <f t="shared" si="2"/>
        <v>-0.02073583685</v>
      </c>
      <c r="L96" s="7">
        <v>-0.010213295259898624</v>
      </c>
      <c r="M96" s="8">
        <f t="shared" si="1"/>
        <v>11517304</v>
      </c>
    </row>
    <row r="97">
      <c r="A97" s="9">
        <v>45646.0</v>
      </c>
      <c r="B97" s="4">
        <v>1283.95</v>
      </c>
      <c r="C97" s="4">
        <v>1297.75</v>
      </c>
      <c r="D97" s="4">
        <v>1272.4</v>
      </c>
      <c r="E97" s="4">
        <v>1286.9</v>
      </c>
      <c r="F97" s="4">
        <v>1288.4</v>
      </c>
      <c r="G97" s="4">
        <v>1287.83</v>
      </c>
      <c r="H97" s="1" t="s">
        <v>6071</v>
      </c>
      <c r="I97" s="1" t="s">
        <v>6072</v>
      </c>
      <c r="J97" s="1" t="s">
        <v>6075</v>
      </c>
      <c r="K97" s="6">
        <f t="shared" si="2"/>
        <v>0.001165591732</v>
      </c>
      <c r="L97" s="7">
        <v>-0.01520560127256106</v>
      </c>
      <c r="M97" s="8">
        <f t="shared" si="1"/>
        <v>58491181</v>
      </c>
    </row>
    <row r="98">
      <c r="A98" s="9">
        <v>45649.0</v>
      </c>
      <c r="B98" s="4">
        <v>1294.65</v>
      </c>
      <c r="C98" s="4">
        <v>1307.0</v>
      </c>
      <c r="D98" s="4">
        <v>1287.05</v>
      </c>
      <c r="E98" s="4">
        <v>1288.4</v>
      </c>
      <c r="F98" s="4">
        <v>1296.8</v>
      </c>
      <c r="G98" s="4">
        <v>1295.12</v>
      </c>
      <c r="H98" s="1" t="s">
        <v>6079</v>
      </c>
      <c r="I98" s="1" t="s">
        <v>6080</v>
      </c>
      <c r="J98" s="1" t="s">
        <v>6081</v>
      </c>
      <c r="K98" s="6">
        <f t="shared" si="2"/>
        <v>0.006519714374</v>
      </c>
      <c r="L98" s="7">
        <v>0.007035506094329655</v>
      </c>
      <c r="M98" s="8">
        <f t="shared" si="1"/>
        <v>6827512</v>
      </c>
    </row>
    <row r="99">
      <c r="A99" s="9">
        <v>45650.0</v>
      </c>
      <c r="B99" s="4">
        <v>1296.8</v>
      </c>
      <c r="C99" s="4">
        <v>1304.5</v>
      </c>
      <c r="D99" s="4">
        <v>1290.25</v>
      </c>
      <c r="E99" s="4">
        <v>1296.8</v>
      </c>
      <c r="F99" s="4">
        <v>1297.25</v>
      </c>
      <c r="G99" s="4">
        <v>1295.88</v>
      </c>
      <c r="H99" s="1" t="s">
        <v>6086</v>
      </c>
      <c r="I99" s="1" t="s">
        <v>6088</v>
      </c>
      <c r="J99" s="1" t="s">
        <v>6089</v>
      </c>
      <c r="K99" s="6">
        <f t="shared" si="2"/>
        <v>0.0003470080197</v>
      </c>
      <c r="L99" s="7">
        <v>-0.0010861580107310422</v>
      </c>
      <c r="M99" s="8">
        <f t="shared" si="1"/>
        <v>7138516</v>
      </c>
    </row>
    <row r="100">
      <c r="A100" s="9">
        <v>45652.0</v>
      </c>
      <c r="B100" s="4">
        <v>1307.0</v>
      </c>
      <c r="C100" s="4">
        <v>1312.75</v>
      </c>
      <c r="D100" s="4">
        <v>1289.2</v>
      </c>
      <c r="E100" s="4">
        <v>1297.25</v>
      </c>
      <c r="F100" s="4">
        <v>1297.35</v>
      </c>
      <c r="G100" s="4">
        <v>1296.86</v>
      </c>
      <c r="H100" s="1" t="s">
        <v>6093</v>
      </c>
      <c r="I100" s="1" t="s">
        <v>6096</v>
      </c>
      <c r="J100" s="1" t="s">
        <v>6098</v>
      </c>
      <c r="K100" s="6">
        <f t="shared" si="2"/>
        <v>0.00007708614377</v>
      </c>
      <c r="L100" s="7">
        <v>9.5036803054661E-4</v>
      </c>
      <c r="M100" s="8">
        <f t="shared" si="1"/>
        <v>7338444</v>
      </c>
    </row>
    <row r="101">
      <c r="A101" s="9">
        <v>45653.0</v>
      </c>
      <c r="B101" s="4">
        <v>1298.55</v>
      </c>
      <c r="C101" s="4">
        <v>1315.95</v>
      </c>
      <c r="D101" s="4">
        <v>1298.55</v>
      </c>
      <c r="E101" s="4">
        <v>1297.35</v>
      </c>
      <c r="F101" s="4">
        <v>1307.55</v>
      </c>
      <c r="G101" s="4">
        <v>1306.98</v>
      </c>
      <c r="H101" s="1" t="s">
        <v>6107</v>
      </c>
      <c r="I101" s="1" t="s">
        <v>6108</v>
      </c>
      <c r="J101" s="1" t="s">
        <v>6109</v>
      </c>
      <c r="K101" s="6">
        <f t="shared" si="2"/>
        <v>0.007862180599</v>
      </c>
      <c r="L101" s="7">
        <v>0.0026610302229034166</v>
      </c>
      <c r="M101" s="8">
        <f t="shared" si="1"/>
        <v>4756066</v>
      </c>
    </row>
    <row r="102">
      <c r="A102" s="9">
        <v>45656.0</v>
      </c>
      <c r="B102" s="4">
        <v>1304.95</v>
      </c>
      <c r="C102" s="4">
        <v>1326.5</v>
      </c>
      <c r="D102" s="4">
        <v>1289.45</v>
      </c>
      <c r="E102" s="4">
        <v>1307.55</v>
      </c>
      <c r="F102" s="4">
        <v>1294.65</v>
      </c>
      <c r="G102" s="4">
        <v>1303.69</v>
      </c>
      <c r="H102" s="1" t="s">
        <v>6117</v>
      </c>
      <c r="I102" s="1" t="s">
        <v>6118</v>
      </c>
      <c r="J102" s="1" t="s">
        <v>6119</v>
      </c>
      <c r="K102" s="6">
        <f t="shared" si="2"/>
        <v>-0.009865779511</v>
      </c>
      <c r="L102" s="7">
        <v>-0.007075848051937144</v>
      </c>
      <c r="M102" s="8">
        <f t="shared" si="1"/>
        <v>14207425</v>
      </c>
    </row>
    <row r="103">
      <c r="A103" s="9">
        <v>45657.0</v>
      </c>
      <c r="B103" s="4">
        <v>1286.9</v>
      </c>
      <c r="C103" s="4">
        <v>1289.95</v>
      </c>
      <c r="D103" s="4">
        <v>1280.1</v>
      </c>
      <c r="E103" s="4">
        <v>1294.65</v>
      </c>
      <c r="F103" s="4">
        <v>1281.65</v>
      </c>
      <c r="G103" s="4">
        <v>1282.67</v>
      </c>
      <c r="H103" s="1" t="s">
        <v>6126</v>
      </c>
      <c r="I103" s="1" t="s">
        <v>6127</v>
      </c>
      <c r="J103" s="1" t="s">
        <v>6128</v>
      </c>
      <c r="K103" s="6">
        <f t="shared" si="2"/>
        <v>-0.01004132391</v>
      </c>
      <c r="L103" s="7">
        <v>-4.2292418239105594E-6</v>
      </c>
      <c r="M103" s="8">
        <f t="shared" si="1"/>
        <v>8449607</v>
      </c>
    </row>
    <row r="104">
      <c r="A104" s="3">
        <v>45658.0</v>
      </c>
      <c r="B104" s="4">
        <v>1281.65</v>
      </c>
      <c r="C104" s="4">
        <v>1293.0</v>
      </c>
      <c r="D104" s="4">
        <v>1267.1</v>
      </c>
      <c r="E104" s="4">
        <v>1281.65</v>
      </c>
      <c r="F104" s="4">
        <v>1283.65</v>
      </c>
      <c r="G104" s="4">
        <v>1283.92</v>
      </c>
      <c r="H104" s="1" t="s">
        <v>6133</v>
      </c>
      <c r="I104" s="1" t="s">
        <v>6135</v>
      </c>
      <c r="J104" s="1" t="s">
        <v>6137</v>
      </c>
      <c r="K104" s="6">
        <f t="shared" si="2"/>
        <v>0.001560488433</v>
      </c>
      <c r="L104" s="7">
        <v>0.004148903775883162</v>
      </c>
      <c r="M104" s="8">
        <f t="shared" si="1"/>
        <v>4705399</v>
      </c>
    </row>
    <row r="105">
      <c r="A105" s="3">
        <v>45659.0</v>
      </c>
      <c r="B105" s="4">
        <v>1285.1</v>
      </c>
      <c r="C105" s="4">
        <v>1293.4</v>
      </c>
      <c r="D105" s="4">
        <v>1278.4</v>
      </c>
      <c r="E105" s="4">
        <v>1283.65</v>
      </c>
      <c r="F105" s="4">
        <v>1290.6</v>
      </c>
      <c r="G105" s="4">
        <v>1288.34</v>
      </c>
      <c r="H105" s="1" t="s">
        <v>6141</v>
      </c>
      <c r="I105" s="1" t="s">
        <v>6142</v>
      </c>
      <c r="J105" s="1" t="s">
        <v>6144</v>
      </c>
      <c r="K105" s="6">
        <f t="shared" si="2"/>
        <v>0.005414248432</v>
      </c>
      <c r="L105" s="7">
        <v>0.01877403350054121</v>
      </c>
      <c r="M105" s="8">
        <f t="shared" si="1"/>
        <v>7433222</v>
      </c>
    </row>
    <row r="106">
      <c r="A106" s="3">
        <v>45660.0</v>
      </c>
      <c r="B106" s="4">
        <v>1286.2</v>
      </c>
      <c r="C106" s="4">
        <v>1288.0</v>
      </c>
      <c r="D106" s="4">
        <v>1262.25</v>
      </c>
      <c r="E106" s="4">
        <v>1290.6</v>
      </c>
      <c r="F106" s="4">
        <v>1265.05</v>
      </c>
      <c r="G106" s="4">
        <v>1269.4</v>
      </c>
      <c r="H106" s="1" t="s">
        <v>6146</v>
      </c>
      <c r="I106" s="1" t="s">
        <v>6147</v>
      </c>
      <c r="J106" s="1" t="s">
        <v>6148</v>
      </c>
      <c r="K106" s="6">
        <f t="shared" si="2"/>
        <v>-0.01979699365</v>
      </c>
      <c r="L106" s="7">
        <v>-0.0076027393012839265</v>
      </c>
      <c r="M106" s="8">
        <f t="shared" si="1"/>
        <v>11194997</v>
      </c>
    </row>
    <row r="107">
      <c r="A107" s="3">
        <v>45663.0</v>
      </c>
      <c r="B107" s="4">
        <v>1268.05</v>
      </c>
      <c r="C107" s="4">
        <v>1277.75</v>
      </c>
      <c r="D107" s="4">
        <v>1257.0</v>
      </c>
      <c r="E107" s="4">
        <v>1265.05</v>
      </c>
      <c r="F107" s="4">
        <v>1264.1</v>
      </c>
      <c r="G107" s="4">
        <v>1265.34</v>
      </c>
      <c r="H107" s="1" t="s">
        <v>6153</v>
      </c>
      <c r="I107" s="1" t="s">
        <v>6154</v>
      </c>
      <c r="J107" s="1" t="s">
        <v>6155</v>
      </c>
      <c r="K107" s="6">
        <f t="shared" si="2"/>
        <v>-0.0007509584601</v>
      </c>
      <c r="L107" s="7">
        <v>-0.016192628542267707</v>
      </c>
      <c r="M107" s="8">
        <f t="shared" si="1"/>
        <v>7504047</v>
      </c>
    </row>
    <row r="108">
      <c r="A108" s="3">
        <v>45664.0</v>
      </c>
      <c r="B108" s="4">
        <v>1266.5</v>
      </c>
      <c r="C108" s="4">
        <v>1288.95</v>
      </c>
      <c r="D108" s="4">
        <v>1266.5</v>
      </c>
      <c r="E108" s="4">
        <v>1264.1</v>
      </c>
      <c r="F108" s="4">
        <v>1279.25</v>
      </c>
      <c r="G108" s="4">
        <v>1280.35</v>
      </c>
      <c r="H108" s="1" t="s">
        <v>6156</v>
      </c>
      <c r="I108" s="1" t="s">
        <v>6157</v>
      </c>
      <c r="J108" s="1" t="s">
        <v>6158</v>
      </c>
      <c r="K108" s="6">
        <f t="shared" si="2"/>
        <v>0.01198481133</v>
      </c>
      <c r="L108" s="7">
        <v>0.003889304096155038</v>
      </c>
      <c r="M108" s="8">
        <f t="shared" si="1"/>
        <v>7539758</v>
      </c>
    </row>
    <row r="109">
      <c r="A109" s="3">
        <v>45665.0</v>
      </c>
      <c r="B109" s="4">
        <v>1280.55</v>
      </c>
      <c r="C109" s="4">
        <v>1285.0</v>
      </c>
      <c r="D109" s="4">
        <v>1252.35</v>
      </c>
      <c r="E109" s="4">
        <v>1279.25</v>
      </c>
      <c r="F109" s="4">
        <v>1263.75</v>
      </c>
      <c r="G109" s="4">
        <v>1264.7</v>
      </c>
      <c r="H109" s="1" t="s">
        <v>6162</v>
      </c>
      <c r="I109" s="1" t="s">
        <v>6163</v>
      </c>
      <c r="J109" s="1" t="s">
        <v>6164</v>
      </c>
      <c r="K109" s="6">
        <f t="shared" si="2"/>
        <v>-0.0121164745</v>
      </c>
      <c r="L109" s="7">
        <v>-7.993116218644725E-4</v>
      </c>
      <c r="M109" s="8">
        <f t="shared" si="1"/>
        <v>7566309</v>
      </c>
    </row>
    <row r="110">
      <c r="A110" s="3">
        <v>45666.0</v>
      </c>
      <c r="B110" s="4">
        <v>1258.0</v>
      </c>
      <c r="C110" s="4">
        <v>1264.75</v>
      </c>
      <c r="D110" s="4">
        <v>1248.1</v>
      </c>
      <c r="E110" s="4">
        <v>1263.75</v>
      </c>
      <c r="F110" s="4">
        <v>1262.4</v>
      </c>
      <c r="G110" s="4">
        <v>1257.24</v>
      </c>
      <c r="H110" s="1" t="s">
        <v>6169</v>
      </c>
      <c r="I110" s="1" t="s">
        <v>6171</v>
      </c>
      <c r="J110" s="1" t="s">
        <v>6173</v>
      </c>
      <c r="K110" s="6">
        <f t="shared" si="2"/>
        <v>-0.001068249258</v>
      </c>
      <c r="L110" s="7">
        <v>-0.006857627712498896</v>
      </c>
      <c r="M110" s="8">
        <f t="shared" si="1"/>
        <v>8684920</v>
      </c>
    </row>
    <row r="111">
      <c r="A111" s="9">
        <v>45667.0</v>
      </c>
      <c r="B111" s="4">
        <v>1259.0</v>
      </c>
      <c r="C111" s="4">
        <v>1264.95</v>
      </c>
      <c r="D111" s="4">
        <v>1243.1</v>
      </c>
      <c r="E111" s="4">
        <v>1262.4</v>
      </c>
      <c r="F111" s="4">
        <v>1249.85</v>
      </c>
      <c r="G111" s="4">
        <v>1250.93</v>
      </c>
      <c r="H111" s="1" t="s">
        <v>6177</v>
      </c>
      <c r="I111" s="1" t="s">
        <v>6178</v>
      </c>
      <c r="J111" s="1" t="s">
        <v>6180</v>
      </c>
      <c r="K111" s="6">
        <f t="shared" si="2"/>
        <v>-0.009941381496</v>
      </c>
      <c r="L111" s="7">
        <v>-0.00403799970246318</v>
      </c>
      <c r="M111" s="8">
        <f t="shared" si="1"/>
        <v>7854524</v>
      </c>
    </row>
    <row r="112">
      <c r="A112" s="9">
        <v>45670.0</v>
      </c>
      <c r="B112" s="4">
        <v>1234.9</v>
      </c>
      <c r="C112" s="4">
        <v>1243.95</v>
      </c>
      <c r="D112" s="4">
        <v>1224.9</v>
      </c>
      <c r="E112" s="4">
        <v>1249.85</v>
      </c>
      <c r="F112" s="4">
        <v>1229.75</v>
      </c>
      <c r="G112" s="4">
        <v>1232.97</v>
      </c>
      <c r="H112" s="1" t="s">
        <v>6185</v>
      </c>
      <c r="I112" s="1" t="s">
        <v>6186</v>
      </c>
      <c r="J112" s="1" t="s">
        <v>6188</v>
      </c>
      <c r="K112" s="6">
        <f t="shared" si="2"/>
        <v>-0.01608192983</v>
      </c>
      <c r="L112" s="7">
        <v>-0.014747241960608552</v>
      </c>
      <c r="M112" s="8">
        <f t="shared" si="1"/>
        <v>9669336</v>
      </c>
    </row>
    <row r="113">
      <c r="A113" s="9">
        <v>45671.0</v>
      </c>
      <c r="B113" s="4">
        <v>1233.35</v>
      </c>
      <c r="C113" s="4">
        <v>1244.85</v>
      </c>
      <c r="D113" s="4">
        <v>1227.45</v>
      </c>
      <c r="E113" s="4">
        <v>1229.75</v>
      </c>
      <c r="F113" s="4">
        <v>1240.3</v>
      </c>
      <c r="G113" s="4">
        <v>1236.06</v>
      </c>
      <c r="H113" s="1" t="s">
        <v>6191</v>
      </c>
      <c r="I113" s="1" t="s">
        <v>6192</v>
      </c>
      <c r="J113" s="1" t="s">
        <v>6193</v>
      </c>
      <c r="K113" s="6">
        <f t="shared" si="2"/>
        <v>0.008578979467</v>
      </c>
      <c r="L113" s="7">
        <v>0.0039028066854514777</v>
      </c>
      <c r="M113" s="8">
        <f t="shared" si="1"/>
        <v>10342698</v>
      </c>
    </row>
    <row r="114">
      <c r="A114" s="9">
        <v>45672.0</v>
      </c>
      <c r="B114" s="4">
        <v>1234.0</v>
      </c>
      <c r="C114" s="4">
        <v>1244.4</v>
      </c>
      <c r="D114" s="4">
        <v>1230.0</v>
      </c>
      <c r="E114" s="4">
        <v>1240.3</v>
      </c>
      <c r="F114" s="4">
        <v>1238.25</v>
      </c>
      <c r="G114" s="4">
        <v>1237.19</v>
      </c>
      <c r="H114" s="1" t="s">
        <v>6200</v>
      </c>
      <c r="I114" s="1" t="s">
        <v>6201</v>
      </c>
      <c r="J114" s="1" t="s">
        <v>6202</v>
      </c>
      <c r="K114" s="6">
        <f t="shared" si="2"/>
        <v>-0.001652825929</v>
      </c>
      <c r="L114" s="7">
        <v>0.0016029478707545702</v>
      </c>
      <c r="M114" s="8">
        <f t="shared" si="1"/>
        <v>5355382</v>
      </c>
    </row>
    <row r="115">
      <c r="A115" s="9">
        <v>45673.0</v>
      </c>
      <c r="B115" s="4">
        <v>1245.1</v>
      </c>
      <c r="C115" s="4">
        <v>1255.5</v>
      </c>
      <c r="D115" s="4">
        <v>1239.65</v>
      </c>
      <c r="E115" s="4">
        <v>1238.25</v>
      </c>
      <c r="F115" s="4">
        <v>1249.1</v>
      </c>
      <c r="G115" s="4">
        <v>1247.22</v>
      </c>
      <c r="H115" s="1" t="s">
        <v>6208</v>
      </c>
      <c r="I115" s="1" t="s">
        <v>6209</v>
      </c>
      <c r="J115" s="1" t="s">
        <v>6210</v>
      </c>
      <c r="K115" s="6">
        <f t="shared" si="2"/>
        <v>0.008762366243</v>
      </c>
      <c r="L115" s="7">
        <v>0.004247583271586793</v>
      </c>
      <c r="M115" s="8">
        <f t="shared" si="1"/>
        <v>11895924</v>
      </c>
    </row>
    <row r="116">
      <c r="A116" s="9">
        <v>45674.0</v>
      </c>
      <c r="B116" s="4">
        <v>1243.35</v>
      </c>
      <c r="C116" s="4">
        <v>1249.0</v>
      </c>
      <c r="D116" s="4">
        <v>1218.0</v>
      </c>
      <c r="E116" s="4">
        <v>1249.1</v>
      </c>
      <c r="F116" s="4">
        <v>1225.45</v>
      </c>
      <c r="G116" s="4">
        <v>1226.59</v>
      </c>
      <c r="H116" s="1" t="s">
        <v>6217</v>
      </c>
      <c r="I116" s="1" t="s">
        <v>6218</v>
      </c>
      <c r="J116" s="1" t="s">
        <v>6219</v>
      </c>
      <c r="K116" s="6">
        <f t="shared" si="2"/>
        <v>-0.01893363222</v>
      </c>
      <c r="L116" s="7">
        <v>-0.0046585849226571325</v>
      </c>
      <c r="M116" s="8">
        <f t="shared" si="1"/>
        <v>9790533</v>
      </c>
    </row>
    <row r="117">
      <c r="A117" s="9">
        <v>45677.0</v>
      </c>
      <c r="B117" s="4">
        <v>1223.9</v>
      </c>
      <c r="C117" s="4">
        <v>1241.75</v>
      </c>
      <c r="D117" s="4">
        <v>1215.25</v>
      </c>
      <c r="E117" s="4">
        <v>1225.45</v>
      </c>
      <c r="F117" s="4">
        <v>1232.95</v>
      </c>
      <c r="G117" s="4">
        <v>1229.43</v>
      </c>
      <c r="H117" s="1" t="s">
        <v>6222</v>
      </c>
      <c r="I117" s="1" t="s">
        <v>6224</v>
      </c>
      <c r="J117" s="1" t="s">
        <v>6226</v>
      </c>
      <c r="K117" s="6">
        <f t="shared" si="2"/>
        <v>0.006120200743</v>
      </c>
      <c r="L117" s="7">
        <v>0.006100451661839715</v>
      </c>
      <c r="M117" s="8">
        <f t="shared" si="1"/>
        <v>7676418</v>
      </c>
    </row>
    <row r="118">
      <c r="A118" s="9">
        <v>45678.0</v>
      </c>
      <c r="B118" s="4">
        <v>1236.95</v>
      </c>
      <c r="C118" s="4">
        <v>1238.95</v>
      </c>
      <c r="D118" s="4">
        <v>1192.7</v>
      </c>
      <c r="E118" s="4">
        <v>1232.95</v>
      </c>
      <c r="F118" s="4">
        <v>1196.15</v>
      </c>
      <c r="G118" s="4">
        <v>1207.07</v>
      </c>
      <c r="H118" s="1" t="s">
        <v>6231</v>
      </c>
      <c r="I118" s="1" t="s">
        <v>6232</v>
      </c>
      <c r="J118" s="1" t="s">
        <v>6233</v>
      </c>
      <c r="K118" s="6">
        <f t="shared" si="2"/>
        <v>-0.02984711464</v>
      </c>
      <c r="L118" s="7">
        <v>-0.013711862410177815</v>
      </c>
      <c r="M118" s="8">
        <f t="shared" si="1"/>
        <v>20520898</v>
      </c>
    </row>
    <row r="119">
      <c r="A119" s="9">
        <v>45679.0</v>
      </c>
      <c r="B119" s="4">
        <v>1201.0</v>
      </c>
      <c r="C119" s="4">
        <v>1207.5</v>
      </c>
      <c r="D119" s="4">
        <v>1191.8</v>
      </c>
      <c r="E119" s="4">
        <v>1196.15</v>
      </c>
      <c r="F119" s="4">
        <v>1200.45</v>
      </c>
      <c r="G119" s="4">
        <v>1199.65</v>
      </c>
      <c r="H119" s="1" t="s">
        <v>6240</v>
      </c>
      <c r="I119" s="1" t="s">
        <v>6241</v>
      </c>
      <c r="J119" s="1" t="s">
        <v>6242</v>
      </c>
      <c r="K119" s="6">
        <f t="shared" si="2"/>
        <v>0.003594866865</v>
      </c>
      <c r="L119" s="7">
        <v>0.005676524941747088</v>
      </c>
      <c r="M119" s="8">
        <f t="shared" si="1"/>
        <v>10377123</v>
      </c>
    </row>
    <row r="120">
      <c r="A120" s="9">
        <v>45680.0</v>
      </c>
      <c r="B120" s="4">
        <v>1197.25</v>
      </c>
      <c r="C120" s="4">
        <v>1207.9</v>
      </c>
      <c r="D120" s="4">
        <v>1186.0</v>
      </c>
      <c r="E120" s="4">
        <v>1200.45</v>
      </c>
      <c r="F120" s="4">
        <v>1201.75</v>
      </c>
      <c r="G120" s="4">
        <v>1201.27</v>
      </c>
      <c r="H120" s="1" t="s">
        <v>6249</v>
      </c>
      <c r="I120" s="1" t="s">
        <v>6250</v>
      </c>
      <c r="J120" s="1" t="s">
        <v>6251</v>
      </c>
      <c r="K120" s="6">
        <f t="shared" si="2"/>
        <v>0.001082927236</v>
      </c>
      <c r="L120" s="7">
        <v>0.0021593281898135853</v>
      </c>
      <c r="M120" s="8">
        <f t="shared" si="1"/>
        <v>8770650</v>
      </c>
    </row>
    <row r="121">
      <c r="A121" s="9">
        <v>45681.0</v>
      </c>
      <c r="B121" s="4">
        <v>1203.1</v>
      </c>
      <c r="C121" s="4">
        <v>1218.0</v>
      </c>
      <c r="D121" s="4">
        <v>1202.0</v>
      </c>
      <c r="E121" s="4">
        <v>1201.75</v>
      </c>
      <c r="F121" s="4">
        <v>1209.2</v>
      </c>
      <c r="G121" s="4">
        <v>1209.19</v>
      </c>
      <c r="H121" s="1" t="s">
        <v>6258</v>
      </c>
      <c r="I121" s="1" t="s">
        <v>6259</v>
      </c>
      <c r="J121" s="1" t="s">
        <v>6260</v>
      </c>
      <c r="K121" s="6">
        <f t="shared" si="2"/>
        <v>0.006199292698</v>
      </c>
      <c r="L121" s="7">
        <v>-0.004876030742910485</v>
      </c>
      <c r="M121" s="8">
        <f t="shared" si="1"/>
        <v>9216792</v>
      </c>
    </row>
    <row r="122">
      <c r="A122" s="9">
        <v>45684.0</v>
      </c>
      <c r="B122" s="4">
        <v>1195.0</v>
      </c>
      <c r="C122" s="4">
        <v>1234.65</v>
      </c>
      <c r="D122" s="4">
        <v>1193.1</v>
      </c>
      <c r="E122" s="4">
        <v>1209.2</v>
      </c>
      <c r="F122" s="4">
        <v>1227.95</v>
      </c>
      <c r="G122" s="4">
        <v>1224.23</v>
      </c>
      <c r="H122" s="1" t="s">
        <v>6270</v>
      </c>
      <c r="I122" s="1" t="s">
        <v>6271</v>
      </c>
      <c r="J122" s="1" t="s">
        <v>6272</v>
      </c>
      <c r="K122" s="6">
        <f t="shared" si="2"/>
        <v>0.01550611975</v>
      </c>
      <c r="L122" s="7">
        <v>-0.011391292297832136</v>
      </c>
      <c r="M122" s="8">
        <f t="shared" si="1"/>
        <v>16164687</v>
      </c>
    </row>
    <row r="123">
      <c r="A123" s="9">
        <v>45685.0</v>
      </c>
      <c r="B123" s="4">
        <v>1247.35</v>
      </c>
      <c r="C123" s="4">
        <v>1264.0</v>
      </c>
      <c r="D123" s="4">
        <v>1236.0</v>
      </c>
      <c r="E123" s="4">
        <v>1227.95</v>
      </c>
      <c r="F123" s="4">
        <v>1246.9</v>
      </c>
      <c r="G123" s="4">
        <v>1252.87</v>
      </c>
      <c r="H123" s="1" t="s">
        <v>6278</v>
      </c>
      <c r="I123" s="1" t="s">
        <v>6279</v>
      </c>
      <c r="J123" s="1" t="s">
        <v>6280</v>
      </c>
      <c r="K123" s="6">
        <f t="shared" si="2"/>
        <v>0.01543222444</v>
      </c>
      <c r="L123" s="7">
        <v>0.005611247024089751</v>
      </c>
      <c r="M123" s="8">
        <f t="shared" si="1"/>
        <v>18066499</v>
      </c>
    </row>
    <row r="124">
      <c r="A124" s="9">
        <v>45686.0</v>
      </c>
      <c r="B124" s="4">
        <v>1252.0</v>
      </c>
      <c r="C124" s="4">
        <v>1255.8</v>
      </c>
      <c r="D124" s="4">
        <v>1243.05</v>
      </c>
      <c r="E124" s="4">
        <v>1246.9</v>
      </c>
      <c r="F124" s="4">
        <v>1251.65</v>
      </c>
      <c r="G124" s="4">
        <v>1249.62</v>
      </c>
      <c r="H124" s="1" t="s">
        <v>6282</v>
      </c>
      <c r="I124" s="1" t="s">
        <v>6284</v>
      </c>
      <c r="J124" s="1" t="s">
        <v>6286</v>
      </c>
      <c r="K124" s="6">
        <f t="shared" si="2"/>
        <v>0.00380944743</v>
      </c>
      <c r="L124" s="7">
        <v>0.008966666303673067</v>
      </c>
      <c r="M124" s="8">
        <f t="shared" si="1"/>
        <v>7666777</v>
      </c>
    </row>
    <row r="125">
      <c r="A125" s="9">
        <v>45687.0</v>
      </c>
      <c r="B125" s="4">
        <v>1250.0</v>
      </c>
      <c r="C125" s="4">
        <v>1259.85</v>
      </c>
      <c r="D125" s="4">
        <v>1239.5</v>
      </c>
      <c r="E125" s="4">
        <v>1251.65</v>
      </c>
      <c r="F125" s="4">
        <v>1255.6</v>
      </c>
      <c r="G125" s="4">
        <v>1250.26</v>
      </c>
      <c r="H125" s="1" t="s">
        <v>6288</v>
      </c>
      <c r="I125" s="1" t="s">
        <v>6289</v>
      </c>
      <c r="J125" s="1" t="s">
        <v>6290</v>
      </c>
      <c r="K125" s="6">
        <f t="shared" si="2"/>
        <v>0.003155834299</v>
      </c>
      <c r="L125" s="7">
        <v>0.00373007067275112</v>
      </c>
      <c r="M125" s="8">
        <f t="shared" si="1"/>
        <v>11921041</v>
      </c>
    </row>
    <row r="126">
      <c r="A126" s="9">
        <v>45688.0</v>
      </c>
      <c r="B126" s="4">
        <v>1254.5</v>
      </c>
      <c r="C126" s="4">
        <v>1256.0</v>
      </c>
      <c r="D126" s="4">
        <v>1239.1</v>
      </c>
      <c r="E126" s="4">
        <v>1255.6</v>
      </c>
      <c r="F126" s="4">
        <v>1252.8</v>
      </c>
      <c r="G126" s="4">
        <v>1247.43</v>
      </c>
      <c r="H126" s="1" t="s">
        <v>6296</v>
      </c>
      <c r="I126" s="1" t="s">
        <v>6297</v>
      </c>
      <c r="J126" s="1" t="s">
        <v>6298</v>
      </c>
      <c r="K126" s="6">
        <f t="shared" si="2"/>
        <v>-0.002230009557</v>
      </c>
      <c r="L126" s="7">
        <v>0.011135723348889286</v>
      </c>
      <c r="M126" s="8">
        <f t="shared" si="1"/>
        <v>10195417</v>
      </c>
    </row>
    <row r="127">
      <c r="A127" s="3">
        <v>45689.0</v>
      </c>
      <c r="B127" s="4">
        <v>1251.15</v>
      </c>
      <c r="C127" s="4">
        <v>1261.35</v>
      </c>
      <c r="D127" s="4">
        <v>1233.8</v>
      </c>
      <c r="E127" s="4">
        <v>1252.8</v>
      </c>
      <c r="F127" s="4">
        <v>1255.55</v>
      </c>
      <c r="G127" s="4">
        <v>1250.34</v>
      </c>
      <c r="H127" s="1" t="s">
        <v>6305</v>
      </c>
      <c r="I127" s="1" t="s">
        <v>6306</v>
      </c>
      <c r="J127" s="11">
        <v>91971.0</v>
      </c>
      <c r="K127" s="6">
        <f t="shared" si="2"/>
        <v>0.002195083014</v>
      </c>
      <c r="L127" s="7">
        <v>-0.0011166221435742116</v>
      </c>
      <c r="M127" s="8">
        <f t="shared" si="1"/>
        <v>3011914</v>
      </c>
    </row>
    <row r="128">
      <c r="A128" s="3">
        <v>45691.0</v>
      </c>
      <c r="B128" s="4">
        <v>1246.85</v>
      </c>
      <c r="C128" s="4">
        <v>1260.0</v>
      </c>
      <c r="D128" s="4">
        <v>1237.8</v>
      </c>
      <c r="E128" s="4">
        <v>1255.55</v>
      </c>
      <c r="F128" s="4">
        <v>1253.0</v>
      </c>
      <c r="G128" s="4">
        <v>1250.06</v>
      </c>
      <c r="H128" s="1" t="s">
        <v>6316</v>
      </c>
      <c r="I128" s="1" t="s">
        <v>6317</v>
      </c>
      <c r="J128" s="1" t="s">
        <v>6318</v>
      </c>
      <c r="K128" s="6">
        <f t="shared" si="2"/>
        <v>-0.002030982438</v>
      </c>
      <c r="L128" s="7">
        <v>-0.005157108697457523</v>
      </c>
      <c r="M128" s="8">
        <f t="shared" si="1"/>
        <v>6176831</v>
      </c>
    </row>
    <row r="129">
      <c r="A129" s="3">
        <v>45692.0</v>
      </c>
      <c r="B129" s="4">
        <v>1262.8</v>
      </c>
      <c r="C129" s="4">
        <v>1280.5</v>
      </c>
      <c r="D129" s="4">
        <v>1260.0</v>
      </c>
      <c r="E129" s="4">
        <v>1253.0</v>
      </c>
      <c r="F129" s="4">
        <v>1268.2</v>
      </c>
      <c r="G129" s="4">
        <v>1270.45</v>
      </c>
      <c r="H129" s="1" t="s">
        <v>6328</v>
      </c>
      <c r="I129" s="1" t="s">
        <v>6331</v>
      </c>
      <c r="J129" s="1" t="s">
        <v>6333</v>
      </c>
      <c r="K129" s="6">
        <f t="shared" si="2"/>
        <v>0.01213088587</v>
      </c>
      <c r="L129" s="7">
        <v>0.016189340804458736</v>
      </c>
      <c r="M129" s="8">
        <f t="shared" si="1"/>
        <v>14839077</v>
      </c>
    </row>
    <row r="130">
      <c r="A130" s="3">
        <v>45693.0</v>
      </c>
      <c r="B130" s="4">
        <v>1270.2</v>
      </c>
      <c r="C130" s="4">
        <v>1277.75</v>
      </c>
      <c r="D130" s="4">
        <v>1265.15</v>
      </c>
      <c r="E130" s="4">
        <v>1268.2</v>
      </c>
      <c r="F130" s="4">
        <v>1267.7</v>
      </c>
      <c r="G130" s="4">
        <v>1270.65</v>
      </c>
      <c r="H130" s="1" t="s">
        <v>6340</v>
      </c>
      <c r="I130" s="1" t="s">
        <v>6343</v>
      </c>
      <c r="J130" s="1" t="s">
        <v>6345</v>
      </c>
      <c r="K130" s="6">
        <f t="shared" si="2"/>
        <v>-0.0003942595805</v>
      </c>
      <c r="L130" s="7">
        <v>-0.0018092399717767296</v>
      </c>
      <c r="M130" s="8">
        <f t="shared" si="1"/>
        <v>6840709</v>
      </c>
    </row>
    <row r="131">
      <c r="A131" s="3">
        <v>45694.0</v>
      </c>
      <c r="B131" s="4">
        <v>1275.0</v>
      </c>
      <c r="C131" s="4">
        <v>1279.0</v>
      </c>
      <c r="D131" s="4">
        <v>1263.2</v>
      </c>
      <c r="E131" s="4">
        <v>1267.7</v>
      </c>
      <c r="F131" s="4">
        <v>1272.4</v>
      </c>
      <c r="G131" s="4">
        <v>1270.57</v>
      </c>
      <c r="H131" s="1" t="s">
        <v>6349</v>
      </c>
      <c r="I131" s="1" t="s">
        <v>6350</v>
      </c>
      <c r="J131" s="1" t="s">
        <v>6351</v>
      </c>
      <c r="K131" s="6">
        <f t="shared" si="2"/>
        <v>0.003707501775</v>
      </c>
      <c r="L131" s="7">
        <v>-0.0039225533100104544</v>
      </c>
      <c r="M131" s="8">
        <f t="shared" si="1"/>
        <v>8396554</v>
      </c>
    </row>
    <row r="132">
      <c r="A132" s="3">
        <v>45695.0</v>
      </c>
      <c r="B132" s="4">
        <v>1272.0</v>
      </c>
      <c r="C132" s="4">
        <v>1275.0</v>
      </c>
      <c r="D132" s="4">
        <v>1249.55</v>
      </c>
      <c r="E132" s="4">
        <v>1272.4</v>
      </c>
      <c r="F132" s="4">
        <v>1256.9</v>
      </c>
      <c r="G132" s="4">
        <v>1258.99</v>
      </c>
      <c r="H132" s="1" t="s">
        <v>6361</v>
      </c>
      <c r="I132" s="1" t="s">
        <v>6362</v>
      </c>
      <c r="J132" s="1" t="s">
        <v>6363</v>
      </c>
      <c r="K132" s="6">
        <f t="shared" si="2"/>
        <v>-0.01218170387</v>
      </c>
      <c r="L132" s="7">
        <v>-0.0018387220458112013</v>
      </c>
      <c r="M132" s="8">
        <f t="shared" si="1"/>
        <v>7382039</v>
      </c>
    </row>
    <row r="133">
      <c r="A133" s="9">
        <v>45698.0</v>
      </c>
      <c r="B133" s="4">
        <v>1257.2</v>
      </c>
      <c r="C133" s="4">
        <v>1265.0</v>
      </c>
      <c r="D133" s="4">
        <v>1249.35</v>
      </c>
      <c r="E133" s="4">
        <v>1256.9</v>
      </c>
      <c r="F133" s="4">
        <v>1262.6</v>
      </c>
      <c r="G133" s="4">
        <v>1257.56</v>
      </c>
      <c r="H133" s="1" t="s">
        <v>6372</v>
      </c>
      <c r="I133" s="1" t="s">
        <v>6374</v>
      </c>
      <c r="J133" s="1" t="s">
        <v>6375</v>
      </c>
      <c r="K133" s="6">
        <f t="shared" si="2"/>
        <v>0.004534966982</v>
      </c>
      <c r="L133" s="7">
        <v>-0.00757005002132866</v>
      </c>
      <c r="M133" s="8">
        <f t="shared" si="1"/>
        <v>5740361</v>
      </c>
    </row>
    <row r="134">
      <c r="A134" s="9">
        <v>45699.0</v>
      </c>
      <c r="B134" s="4">
        <v>1255.85</v>
      </c>
      <c r="C134" s="4">
        <v>1261.85</v>
      </c>
      <c r="D134" s="4">
        <v>1248.4</v>
      </c>
      <c r="E134" s="4">
        <v>1262.6</v>
      </c>
      <c r="F134" s="4">
        <v>1252.75</v>
      </c>
      <c r="G134" s="4">
        <v>1254.67</v>
      </c>
      <c r="H134" s="1" t="s">
        <v>6382</v>
      </c>
      <c r="I134" s="1" t="s">
        <v>6383</v>
      </c>
      <c r="J134" s="1" t="s">
        <v>6384</v>
      </c>
      <c r="K134" s="6">
        <f t="shared" si="2"/>
        <v>-0.007801362268</v>
      </c>
      <c r="L134" s="7">
        <v>-0.013249734834228593</v>
      </c>
      <c r="M134" s="8">
        <f t="shared" si="1"/>
        <v>6586627</v>
      </c>
    </row>
    <row r="135">
      <c r="A135" s="9">
        <v>45700.0</v>
      </c>
      <c r="B135" s="4">
        <v>1257.2</v>
      </c>
      <c r="C135" s="4">
        <v>1269.75</v>
      </c>
      <c r="D135" s="4">
        <v>1244.65</v>
      </c>
      <c r="E135" s="4">
        <v>1252.75</v>
      </c>
      <c r="F135" s="4">
        <v>1251.8</v>
      </c>
      <c r="G135" s="4">
        <v>1252.33</v>
      </c>
      <c r="H135" s="1" t="s">
        <v>6390</v>
      </c>
      <c r="I135" s="1" t="s">
        <v>6392</v>
      </c>
      <c r="J135" s="1" t="s">
        <v>6393</v>
      </c>
      <c r="K135" s="6">
        <f t="shared" si="2"/>
        <v>-0.0007583316703</v>
      </c>
      <c r="L135" s="7">
        <v>-0.001150755467713801</v>
      </c>
      <c r="M135" s="8">
        <f t="shared" si="1"/>
        <v>8809352</v>
      </c>
    </row>
    <row r="136">
      <c r="A136" s="9">
        <v>45701.0</v>
      </c>
      <c r="B136" s="4">
        <v>1252.55</v>
      </c>
      <c r="C136" s="4">
        <v>1266.0</v>
      </c>
      <c r="D136" s="4">
        <v>1245.9</v>
      </c>
      <c r="E136" s="4">
        <v>1251.8</v>
      </c>
      <c r="F136" s="4">
        <v>1248.9</v>
      </c>
      <c r="G136" s="4">
        <v>1254.61</v>
      </c>
      <c r="H136" s="1" t="s">
        <v>6397</v>
      </c>
      <c r="I136" s="1" t="s">
        <v>6398</v>
      </c>
      <c r="J136" s="1" t="s">
        <v>6399</v>
      </c>
      <c r="K136" s="6">
        <f t="shared" si="2"/>
        <v>-0.002316664004</v>
      </c>
      <c r="L136" s="7">
        <v>-6.009915275381497E-4</v>
      </c>
      <c r="M136" s="8">
        <f t="shared" si="1"/>
        <v>7263785</v>
      </c>
    </row>
    <row r="137">
      <c r="A137" s="9">
        <v>45702.0</v>
      </c>
      <c r="B137" s="4">
        <v>1252.1</v>
      </c>
      <c r="C137" s="4">
        <v>1263.5</v>
      </c>
      <c r="D137" s="4">
        <v>1244.45</v>
      </c>
      <c r="E137" s="4">
        <v>1248.9</v>
      </c>
      <c r="F137" s="4">
        <v>1260.1</v>
      </c>
      <c r="G137" s="4">
        <v>1254.48</v>
      </c>
      <c r="H137" s="1" t="s">
        <v>6404</v>
      </c>
      <c r="I137" s="1" t="s">
        <v>6406</v>
      </c>
      <c r="J137" s="1" t="s">
        <v>6408</v>
      </c>
      <c r="K137" s="6">
        <f t="shared" si="2"/>
        <v>0.008967891745</v>
      </c>
      <c r="L137" s="7">
        <v>-0.004435249268390173</v>
      </c>
      <c r="M137" s="8">
        <f t="shared" si="1"/>
        <v>10368438</v>
      </c>
    </row>
    <row r="138">
      <c r="A138" s="9">
        <v>45705.0</v>
      </c>
      <c r="B138" s="4">
        <v>1251.15</v>
      </c>
      <c r="C138" s="4">
        <v>1258.15</v>
      </c>
      <c r="D138" s="4">
        <v>1233.25</v>
      </c>
      <c r="E138" s="4">
        <v>1260.1</v>
      </c>
      <c r="F138" s="4">
        <v>1251.15</v>
      </c>
      <c r="G138" s="4">
        <v>1244.89</v>
      </c>
      <c r="H138" s="1" t="s">
        <v>6414</v>
      </c>
      <c r="I138" s="1" t="s">
        <v>6415</v>
      </c>
      <c r="J138" s="1" t="s">
        <v>6417</v>
      </c>
      <c r="K138" s="6">
        <f t="shared" si="2"/>
        <v>-0.007102610904</v>
      </c>
      <c r="L138" s="7">
        <v>0.001319275597762683</v>
      </c>
      <c r="M138" s="8">
        <f t="shared" si="1"/>
        <v>8386151</v>
      </c>
    </row>
    <row r="139">
      <c r="A139" s="9">
        <v>45706.0</v>
      </c>
      <c r="B139" s="4">
        <v>1252.9</v>
      </c>
      <c r="C139" s="4">
        <v>1257.6</v>
      </c>
      <c r="D139" s="4">
        <v>1237.05</v>
      </c>
      <c r="E139" s="4">
        <v>1251.15</v>
      </c>
      <c r="F139" s="4">
        <v>1243.05</v>
      </c>
      <c r="G139" s="4">
        <v>1242.37</v>
      </c>
      <c r="H139" s="1" t="s">
        <v>6422</v>
      </c>
      <c r="I139" s="1" t="s">
        <v>6423</v>
      </c>
      <c r="J139" s="1" t="s">
        <v>6424</v>
      </c>
      <c r="K139" s="6">
        <f t="shared" si="2"/>
        <v>-0.00647404388</v>
      </c>
      <c r="L139" s="7">
        <v>-6.184803676038558E-4</v>
      </c>
      <c r="M139" s="8">
        <f t="shared" si="1"/>
        <v>8135042</v>
      </c>
    </row>
    <row r="140">
      <c r="A140" s="9">
        <v>45707.0</v>
      </c>
      <c r="B140" s="4">
        <v>1234.85</v>
      </c>
      <c r="C140" s="4">
        <v>1264.45</v>
      </c>
      <c r="D140" s="4">
        <v>1230.25</v>
      </c>
      <c r="E140" s="4">
        <v>1243.05</v>
      </c>
      <c r="F140" s="4">
        <v>1261.65</v>
      </c>
      <c r="G140" s="4">
        <v>1253.91</v>
      </c>
      <c r="H140" s="1" t="s">
        <v>6430</v>
      </c>
      <c r="I140" s="1" t="s">
        <v>6431</v>
      </c>
      <c r="J140" s="1" t="s">
        <v>6432</v>
      </c>
      <c r="K140" s="6">
        <f t="shared" si="2"/>
        <v>0.01496319537</v>
      </c>
      <c r="L140" s="7">
        <v>-5.404156842576832E-4</v>
      </c>
      <c r="M140" s="8">
        <f t="shared" si="1"/>
        <v>10683412</v>
      </c>
    </row>
    <row r="141">
      <c r="A141" s="9">
        <v>45708.0</v>
      </c>
      <c r="B141" s="4">
        <v>1255.35</v>
      </c>
      <c r="C141" s="4">
        <v>1264.0</v>
      </c>
      <c r="D141" s="4">
        <v>1246.75</v>
      </c>
      <c r="E141" s="4">
        <v>1261.65</v>
      </c>
      <c r="F141" s="4">
        <v>1249.95</v>
      </c>
      <c r="G141" s="4">
        <v>1252.3</v>
      </c>
      <c r="H141" s="1" t="s">
        <v>6438</v>
      </c>
      <c r="I141" s="1" t="s">
        <v>6440</v>
      </c>
      <c r="J141" s="1" t="s">
        <v>6441</v>
      </c>
      <c r="K141" s="6">
        <f t="shared" si="2"/>
        <v>-0.009273570325</v>
      </c>
      <c r="L141" s="7">
        <v>-8.612081332932162E-4</v>
      </c>
      <c r="M141" s="8">
        <f t="shared" si="1"/>
        <v>8398849</v>
      </c>
    </row>
    <row r="142">
      <c r="A142" s="9">
        <v>45709.0</v>
      </c>
      <c r="B142" s="4">
        <v>1241.1</v>
      </c>
      <c r="C142" s="4">
        <v>1244.7</v>
      </c>
      <c r="D142" s="4">
        <v>1224.55</v>
      </c>
      <c r="E142" s="4">
        <v>1249.95</v>
      </c>
      <c r="F142" s="4">
        <v>1232.95</v>
      </c>
      <c r="G142" s="4">
        <v>1233.19</v>
      </c>
      <c r="H142" s="1" t="s">
        <v>6445</v>
      </c>
      <c r="I142" s="1" t="s">
        <v>6446</v>
      </c>
      <c r="J142" s="1" t="s">
        <v>6448</v>
      </c>
      <c r="K142" s="6">
        <f t="shared" si="2"/>
        <v>-0.01360054402</v>
      </c>
      <c r="L142" s="7">
        <v>-0.005117148886119979</v>
      </c>
      <c r="M142" s="8">
        <f t="shared" si="1"/>
        <v>7786428</v>
      </c>
    </row>
    <row r="143">
      <c r="A143" s="9">
        <v>45712.0</v>
      </c>
      <c r="B143" s="4">
        <v>1226.7</v>
      </c>
      <c r="C143" s="4">
        <v>1231.9</v>
      </c>
      <c r="D143" s="4">
        <v>1210.25</v>
      </c>
      <c r="E143" s="4">
        <v>1232.95</v>
      </c>
      <c r="F143" s="4">
        <v>1218.35</v>
      </c>
      <c r="G143" s="4">
        <v>1217.57</v>
      </c>
      <c r="H143" s="1" t="s">
        <v>6454</v>
      </c>
      <c r="I143" s="1" t="s">
        <v>6455</v>
      </c>
      <c r="J143" s="1" t="s">
        <v>6456</v>
      </c>
      <c r="K143" s="6">
        <f t="shared" si="2"/>
        <v>-0.01184151831</v>
      </c>
      <c r="L143" s="7">
        <v>-0.010640071240881163</v>
      </c>
      <c r="M143" s="8">
        <f t="shared" si="1"/>
        <v>11522480</v>
      </c>
    </row>
    <row r="144">
      <c r="A144" s="9">
        <v>45713.0</v>
      </c>
      <c r="B144" s="4">
        <v>1226.6</v>
      </c>
      <c r="C144" s="4">
        <v>1231.65</v>
      </c>
      <c r="D144" s="4">
        <v>1221.0</v>
      </c>
      <c r="E144" s="4">
        <v>1218.35</v>
      </c>
      <c r="F144" s="4">
        <v>1224.15</v>
      </c>
      <c r="G144" s="4">
        <v>1225.0</v>
      </c>
      <c r="H144" s="1" t="s">
        <v>6463</v>
      </c>
      <c r="I144" s="1" t="s">
        <v>6464</v>
      </c>
      <c r="J144" s="1" t="s">
        <v>6465</v>
      </c>
      <c r="K144" s="6">
        <f t="shared" si="2"/>
        <v>0.004760536792</v>
      </c>
      <c r="L144" s="7">
        <v>-2.571680038663557E-4</v>
      </c>
      <c r="M144" s="8">
        <f t="shared" si="1"/>
        <v>11059417</v>
      </c>
    </row>
    <row r="145">
      <c r="A145" s="9">
        <v>45715.0</v>
      </c>
      <c r="B145" s="4">
        <v>1225.15</v>
      </c>
      <c r="C145" s="4">
        <v>1234.85</v>
      </c>
      <c r="D145" s="4">
        <v>1218.45</v>
      </c>
      <c r="E145" s="4">
        <v>1224.15</v>
      </c>
      <c r="F145" s="4">
        <v>1222.45</v>
      </c>
      <c r="G145" s="4">
        <v>1226.56</v>
      </c>
      <c r="H145" s="1" t="s">
        <v>6477</v>
      </c>
      <c r="I145" s="1" t="s">
        <v>6478</v>
      </c>
      <c r="J145" s="1" t="s">
        <v>6479</v>
      </c>
      <c r="K145" s="6">
        <f t="shared" si="2"/>
        <v>-0.001388718703</v>
      </c>
      <c r="L145" s="7">
        <v>-1.1087679149175853E-4</v>
      </c>
      <c r="M145" s="8">
        <f t="shared" si="1"/>
        <v>12008162</v>
      </c>
    </row>
    <row r="146">
      <c r="A146" s="9">
        <v>45716.0</v>
      </c>
      <c r="B146" s="4">
        <v>1216.0</v>
      </c>
      <c r="C146" s="4">
        <v>1225.0</v>
      </c>
      <c r="D146" s="4">
        <v>1200.1</v>
      </c>
      <c r="E146" s="4">
        <v>1222.45</v>
      </c>
      <c r="F146" s="4">
        <v>1204.1</v>
      </c>
      <c r="G146" s="4">
        <v>1208.91</v>
      </c>
      <c r="H146" s="1" t="s">
        <v>6485</v>
      </c>
      <c r="I146" s="1" t="s">
        <v>6486</v>
      </c>
      <c r="J146" s="1" t="s">
        <v>6487</v>
      </c>
      <c r="K146" s="6">
        <f t="shared" si="2"/>
        <v>-0.01501083889</v>
      </c>
      <c r="L146" s="7">
        <v>-0.018644891007116797</v>
      </c>
      <c r="M146" s="8">
        <f t="shared" si="1"/>
        <v>20215075</v>
      </c>
    </row>
    <row r="147">
      <c r="A147" s="3">
        <v>45719.0</v>
      </c>
      <c r="B147" s="4">
        <v>1210.5</v>
      </c>
      <c r="C147" s="4">
        <v>1217.0</v>
      </c>
      <c r="D147" s="4">
        <v>1204.15</v>
      </c>
      <c r="E147" s="4">
        <v>1204.1</v>
      </c>
      <c r="F147" s="4">
        <v>1206.2</v>
      </c>
      <c r="G147" s="4">
        <v>1209.49</v>
      </c>
      <c r="H147" s="1" t="s">
        <v>6494</v>
      </c>
      <c r="I147" s="1" t="s">
        <v>6495</v>
      </c>
      <c r="J147" s="1" t="s">
        <v>6496</v>
      </c>
      <c r="K147" s="6">
        <f t="shared" si="2"/>
        <v>0.001744041193</v>
      </c>
      <c r="L147" s="7">
        <v>-2.4407110604896133E-4</v>
      </c>
      <c r="M147" s="8">
        <f t="shared" si="1"/>
        <v>8158881</v>
      </c>
    </row>
    <row r="148">
      <c r="A148" s="3">
        <v>45720.0</v>
      </c>
      <c r="B148" s="4">
        <v>1207.15</v>
      </c>
      <c r="C148" s="4">
        <v>1216.65</v>
      </c>
      <c r="D148" s="4">
        <v>1206.25</v>
      </c>
      <c r="E148" s="4">
        <v>1206.2</v>
      </c>
      <c r="F148" s="4">
        <v>1210.4</v>
      </c>
      <c r="G148" s="4">
        <v>1210.78</v>
      </c>
      <c r="H148" s="1" t="s">
        <v>6503</v>
      </c>
      <c r="I148" s="1" t="s">
        <v>6504</v>
      </c>
      <c r="J148" s="1" t="s">
        <v>6505</v>
      </c>
      <c r="K148" s="6">
        <f t="shared" si="2"/>
        <v>0.003482009617</v>
      </c>
      <c r="L148" s="7">
        <v>-0.001656924043708337</v>
      </c>
      <c r="M148" s="8">
        <f t="shared" si="1"/>
        <v>9574490</v>
      </c>
    </row>
    <row r="149">
      <c r="A149" s="3">
        <v>45721.0</v>
      </c>
      <c r="B149" s="4">
        <v>1217.0</v>
      </c>
      <c r="C149" s="4">
        <v>1225.95</v>
      </c>
      <c r="D149" s="4">
        <v>1211.3</v>
      </c>
      <c r="E149" s="4">
        <v>1210.4</v>
      </c>
      <c r="F149" s="4">
        <v>1215.7</v>
      </c>
      <c r="G149" s="4">
        <v>1216.73</v>
      </c>
      <c r="H149" s="1" t="s">
        <v>6509</v>
      </c>
      <c r="I149" s="1" t="s">
        <v>6510</v>
      </c>
      <c r="J149" s="1" t="s">
        <v>6511</v>
      </c>
      <c r="K149" s="6">
        <f t="shared" si="2"/>
        <v>0.004378717779</v>
      </c>
      <c r="L149" s="7">
        <v>0.011531677583985519</v>
      </c>
      <c r="M149" s="8">
        <f t="shared" si="1"/>
        <v>9052846</v>
      </c>
    </row>
    <row r="150">
      <c r="A150" s="3">
        <v>45722.0</v>
      </c>
      <c r="B150" s="4">
        <v>1227.95</v>
      </c>
      <c r="C150" s="4">
        <v>1227.95</v>
      </c>
      <c r="D150" s="4">
        <v>1209.0</v>
      </c>
      <c r="E150" s="4">
        <v>1215.7</v>
      </c>
      <c r="F150" s="4">
        <v>1218.05</v>
      </c>
      <c r="G150" s="4">
        <v>1217.04</v>
      </c>
      <c r="H150" s="1" t="s">
        <v>6515</v>
      </c>
      <c r="I150" s="1" t="s">
        <v>6516</v>
      </c>
      <c r="J150" s="1" t="s">
        <v>6517</v>
      </c>
      <c r="K150" s="6">
        <f t="shared" si="2"/>
        <v>0.001933042691</v>
      </c>
      <c r="L150" s="7">
        <v>0.009284918051868466</v>
      </c>
      <c r="M150" s="8">
        <f t="shared" si="1"/>
        <v>11949475</v>
      </c>
    </row>
    <row r="151">
      <c r="A151" s="3">
        <v>45723.0</v>
      </c>
      <c r="B151" s="4">
        <v>1211.1</v>
      </c>
      <c r="C151" s="4">
        <v>1217.85</v>
      </c>
      <c r="D151" s="4">
        <v>1206.3</v>
      </c>
      <c r="E151" s="4">
        <v>1218.05</v>
      </c>
      <c r="F151" s="4">
        <v>1214.55</v>
      </c>
      <c r="G151" s="4">
        <v>1213.63</v>
      </c>
      <c r="H151" s="1" t="s">
        <v>6521</v>
      </c>
      <c r="I151" s="1" t="s">
        <v>6522</v>
      </c>
      <c r="J151" s="1" t="s">
        <v>6523</v>
      </c>
      <c r="K151" s="6">
        <f t="shared" si="2"/>
        <v>-0.002873445261</v>
      </c>
      <c r="L151" s="7">
        <v>3.459793210820846E-4</v>
      </c>
      <c r="M151" s="8">
        <f t="shared" si="1"/>
        <v>6620284</v>
      </c>
    </row>
    <row r="152">
      <c r="A152" s="9">
        <v>45726.0</v>
      </c>
      <c r="B152" s="4">
        <v>1208.0</v>
      </c>
      <c r="C152" s="4">
        <v>1225.8</v>
      </c>
      <c r="D152" s="4">
        <v>1208.0</v>
      </c>
      <c r="E152" s="4">
        <v>1214.55</v>
      </c>
      <c r="F152" s="4">
        <v>1214.85</v>
      </c>
      <c r="G152" s="4">
        <v>1218.5</v>
      </c>
      <c r="H152" s="1" t="s">
        <v>6526</v>
      </c>
      <c r="I152" s="1" t="s">
        <v>6528</v>
      </c>
      <c r="J152" s="1" t="s">
        <v>6529</v>
      </c>
      <c r="K152" s="6">
        <f t="shared" si="2"/>
        <v>0.0002470050636</v>
      </c>
      <c r="L152" s="7">
        <v>-0.004088238554484014</v>
      </c>
      <c r="M152" s="8">
        <f t="shared" si="1"/>
        <v>7363437</v>
      </c>
    </row>
    <row r="153">
      <c r="A153" s="9">
        <v>45727.0</v>
      </c>
      <c r="B153" s="4">
        <v>1217.2</v>
      </c>
      <c r="C153" s="4">
        <v>1248.0</v>
      </c>
      <c r="D153" s="4">
        <v>1217.2</v>
      </c>
      <c r="E153" s="4">
        <v>1214.85</v>
      </c>
      <c r="F153" s="4">
        <v>1245.4</v>
      </c>
      <c r="G153" s="4">
        <v>1238.81</v>
      </c>
      <c r="H153" s="1" t="s">
        <v>6531</v>
      </c>
      <c r="I153" s="1" t="s">
        <v>6534</v>
      </c>
      <c r="J153" s="1" t="s">
        <v>6535</v>
      </c>
      <c r="K153" s="6">
        <f t="shared" si="2"/>
        <v>0.02514713751</v>
      </c>
      <c r="L153" s="7">
        <v>0.0016740649056335927</v>
      </c>
      <c r="M153" s="8">
        <f t="shared" si="1"/>
        <v>10927950</v>
      </c>
    </row>
    <row r="154">
      <c r="A154" s="9">
        <v>45728.0</v>
      </c>
      <c r="B154" s="4">
        <v>1246.95</v>
      </c>
      <c r="C154" s="4">
        <v>1251.95</v>
      </c>
      <c r="D154" s="4">
        <v>1235.3</v>
      </c>
      <c r="E154" s="4">
        <v>1245.4</v>
      </c>
      <c r="F154" s="4">
        <v>1243.95</v>
      </c>
      <c r="G154" s="4">
        <v>1243.37</v>
      </c>
      <c r="H154" s="1" t="s">
        <v>6539</v>
      </c>
      <c r="I154" s="1" t="s">
        <v>6540</v>
      </c>
      <c r="J154" s="1" t="s">
        <v>6541</v>
      </c>
      <c r="K154" s="6">
        <f t="shared" si="2"/>
        <v>-0.001164284567</v>
      </c>
      <c r="L154" s="7">
        <v>-0.0012178914476462894</v>
      </c>
      <c r="M154" s="8">
        <f t="shared" si="1"/>
        <v>11548372</v>
      </c>
    </row>
    <row r="155">
      <c r="A155" s="9">
        <v>45729.0</v>
      </c>
      <c r="B155" s="4">
        <v>1251.05</v>
      </c>
      <c r="C155" s="4">
        <v>1255.6</v>
      </c>
      <c r="D155" s="4">
        <v>1245.3</v>
      </c>
      <c r="E155" s="4">
        <v>1243.95</v>
      </c>
      <c r="F155" s="4">
        <v>1250.05</v>
      </c>
      <c r="G155" s="4">
        <v>1250.96</v>
      </c>
      <c r="H155" s="1" t="s">
        <v>6545</v>
      </c>
      <c r="I155" s="1" t="s">
        <v>6546</v>
      </c>
      <c r="J155" s="1" t="s">
        <v>6547</v>
      </c>
      <c r="K155" s="6">
        <f t="shared" si="2"/>
        <v>0.004903734073</v>
      </c>
      <c r="L155" s="7">
        <v>-0.003262054693932012</v>
      </c>
      <c r="M155" s="8">
        <f t="shared" si="1"/>
        <v>8132940</v>
      </c>
    </row>
    <row r="156">
      <c r="A156" s="9">
        <v>45733.0</v>
      </c>
      <c r="B156" s="4">
        <v>1257.05</v>
      </c>
      <c r="C156" s="4">
        <v>1273.95</v>
      </c>
      <c r="D156" s="4">
        <v>1254.75</v>
      </c>
      <c r="E156" s="4">
        <v>1250.05</v>
      </c>
      <c r="F156" s="4">
        <v>1269.0</v>
      </c>
      <c r="G156" s="4">
        <v>1267.47</v>
      </c>
      <c r="H156" s="1" t="s">
        <v>6551</v>
      </c>
      <c r="I156" s="1" t="s">
        <v>6552</v>
      </c>
      <c r="J156" s="1" t="s">
        <v>6553</v>
      </c>
      <c r="K156" s="6">
        <f t="shared" si="2"/>
        <v>0.01515939362</v>
      </c>
      <c r="L156" s="7">
        <v>0.0049805332809458</v>
      </c>
      <c r="M156" s="8">
        <f t="shared" si="1"/>
        <v>11164882</v>
      </c>
    </row>
    <row r="157">
      <c r="A157" s="9">
        <v>45734.0</v>
      </c>
      <c r="B157" s="4">
        <v>1285.5</v>
      </c>
      <c r="C157" s="4">
        <v>1313.85</v>
      </c>
      <c r="D157" s="4">
        <v>1280.65</v>
      </c>
      <c r="E157" s="4">
        <v>1269.0</v>
      </c>
      <c r="F157" s="4">
        <v>1309.85</v>
      </c>
      <c r="G157" s="4">
        <v>1299.54</v>
      </c>
      <c r="H157" s="1" t="s">
        <v>6555</v>
      </c>
      <c r="I157" s="1" t="s">
        <v>6557</v>
      </c>
      <c r="J157" s="1" t="s">
        <v>6559</v>
      </c>
      <c r="K157" s="6">
        <f t="shared" si="2"/>
        <v>0.03219070134</v>
      </c>
      <c r="L157" s="7">
        <v>0.014463264286110925</v>
      </c>
      <c r="M157" s="8">
        <f t="shared" si="1"/>
        <v>15645427</v>
      </c>
    </row>
    <row r="158">
      <c r="A158" s="9">
        <v>45735.0</v>
      </c>
      <c r="B158" s="4">
        <v>1305.6</v>
      </c>
      <c r="C158" s="4">
        <v>1318.3</v>
      </c>
      <c r="D158" s="4">
        <v>1302.15</v>
      </c>
      <c r="E158" s="4">
        <v>1309.85</v>
      </c>
      <c r="F158" s="4">
        <v>1313.1</v>
      </c>
      <c r="G158" s="4">
        <v>1311.61</v>
      </c>
      <c r="H158" s="1" t="s">
        <v>6560</v>
      </c>
      <c r="I158" s="1" t="s">
        <v>6561</v>
      </c>
      <c r="J158" s="1" t="s">
        <v>6562</v>
      </c>
      <c r="K158" s="6">
        <f t="shared" si="2"/>
        <v>0.002481200137</v>
      </c>
      <c r="L158" s="7">
        <v>0.0032100830767748203</v>
      </c>
      <c r="M158" s="8">
        <f t="shared" si="1"/>
        <v>11278014</v>
      </c>
    </row>
    <row r="159">
      <c r="A159" s="9">
        <v>45736.0</v>
      </c>
      <c r="B159" s="4">
        <v>1320.0</v>
      </c>
      <c r="C159" s="4">
        <v>1324.25</v>
      </c>
      <c r="D159" s="4">
        <v>1311.05</v>
      </c>
      <c r="E159" s="4">
        <v>1313.1</v>
      </c>
      <c r="F159" s="4">
        <v>1321.7</v>
      </c>
      <c r="G159" s="4">
        <v>1319.08</v>
      </c>
      <c r="H159" s="1" t="s">
        <v>6565</v>
      </c>
      <c r="I159" s="1" t="s">
        <v>6567</v>
      </c>
      <c r="J159" s="1" t="s">
        <v>6568</v>
      </c>
      <c r="K159" s="6">
        <f t="shared" si="2"/>
        <v>0.006549386947</v>
      </c>
      <c r="L159" s="7">
        <v>0.0123561612739878</v>
      </c>
      <c r="M159" s="8">
        <f t="shared" si="1"/>
        <v>10886735</v>
      </c>
    </row>
    <row r="160">
      <c r="A160" s="9">
        <v>45737.0</v>
      </c>
      <c r="B160" s="4">
        <v>1316.0</v>
      </c>
      <c r="C160" s="4">
        <v>1349.0</v>
      </c>
      <c r="D160" s="4">
        <v>1311.6</v>
      </c>
      <c r="E160" s="4">
        <v>1321.7</v>
      </c>
      <c r="F160" s="4">
        <v>1343.1</v>
      </c>
      <c r="G160" s="4">
        <v>1341.59</v>
      </c>
      <c r="H160" s="1" t="s">
        <v>6571</v>
      </c>
      <c r="I160" s="1" t="s">
        <v>6573</v>
      </c>
      <c r="J160" s="1" t="s">
        <v>6574</v>
      </c>
      <c r="K160" s="6">
        <f t="shared" si="2"/>
        <v>0.01619126882</v>
      </c>
      <c r="L160" s="7">
        <v>0.0068885520673202345</v>
      </c>
      <c r="M160" s="8">
        <f t="shared" si="1"/>
        <v>60494318</v>
      </c>
    </row>
    <row r="161">
      <c r="A161" s="9">
        <v>45740.0</v>
      </c>
      <c r="B161" s="4">
        <v>1355.95</v>
      </c>
      <c r="C161" s="4">
        <v>1373.0</v>
      </c>
      <c r="D161" s="4">
        <v>1345.05</v>
      </c>
      <c r="E161" s="4">
        <v>1343.1</v>
      </c>
      <c r="F161" s="4">
        <v>1358.15</v>
      </c>
      <c r="G161" s="4">
        <v>1358.95</v>
      </c>
      <c r="H161" s="1" t="s">
        <v>6575</v>
      </c>
      <c r="I161" s="1" t="s">
        <v>6576</v>
      </c>
      <c r="J161" s="1" t="s">
        <v>6577</v>
      </c>
      <c r="K161" s="6">
        <f t="shared" si="2"/>
        <v>0.0112054203</v>
      </c>
      <c r="L161" s="7">
        <v>0.013188210908592447</v>
      </c>
      <c r="M161" s="8">
        <f t="shared" si="1"/>
        <v>9352280</v>
      </c>
    </row>
    <row r="162">
      <c r="A162" s="9">
        <v>45741.0</v>
      </c>
      <c r="B162" s="4">
        <v>1359.0</v>
      </c>
      <c r="C162" s="4">
        <v>1363.8</v>
      </c>
      <c r="D162" s="4">
        <v>1330.05</v>
      </c>
      <c r="E162" s="4">
        <v>1358.15</v>
      </c>
      <c r="F162" s="4">
        <v>1343.7</v>
      </c>
      <c r="G162" s="4">
        <v>1345.81</v>
      </c>
      <c r="H162" s="1" t="s">
        <v>6581</v>
      </c>
      <c r="I162" s="1" t="s">
        <v>6582</v>
      </c>
      <c r="J162" s="1" t="s">
        <v>6583</v>
      </c>
      <c r="K162" s="6">
        <f t="shared" si="2"/>
        <v>-0.01063947281</v>
      </c>
      <c r="L162" s="7">
        <v>4.353642582852528E-4</v>
      </c>
      <c r="M162" s="8">
        <f t="shared" si="1"/>
        <v>16419207</v>
      </c>
    </row>
    <row r="163">
      <c r="A163" s="9">
        <v>45742.0</v>
      </c>
      <c r="B163" s="4">
        <v>1344.05</v>
      </c>
      <c r="C163" s="4">
        <v>1358.0</v>
      </c>
      <c r="D163" s="4">
        <v>1331.5</v>
      </c>
      <c r="E163" s="4">
        <v>1343.7</v>
      </c>
      <c r="F163" s="4">
        <v>1335.9</v>
      </c>
      <c r="G163" s="4">
        <v>1341.51</v>
      </c>
      <c r="H163" s="1" t="s">
        <v>6587</v>
      </c>
      <c r="I163" s="1" t="s">
        <v>6588</v>
      </c>
      <c r="J163" s="1" t="s">
        <v>6589</v>
      </c>
      <c r="K163" s="6">
        <f t="shared" si="2"/>
        <v>-0.005804867158</v>
      </c>
      <c r="L163" s="7">
        <v>-0.007681046447516141</v>
      </c>
      <c r="M163" s="8">
        <f t="shared" si="1"/>
        <v>10859639</v>
      </c>
    </row>
    <row r="164">
      <c r="A164" s="9">
        <v>45743.0</v>
      </c>
      <c r="B164" s="4">
        <v>1333.15</v>
      </c>
      <c r="C164" s="4">
        <v>1351.5</v>
      </c>
      <c r="D164" s="4">
        <v>1333.15</v>
      </c>
      <c r="E164" s="4">
        <v>1335.9</v>
      </c>
      <c r="F164" s="4">
        <v>1336.65</v>
      </c>
      <c r="G164" s="4">
        <v>1340.7</v>
      </c>
      <c r="H164" s="1" t="s">
        <v>6592</v>
      </c>
      <c r="I164" s="1" t="s">
        <v>6593</v>
      </c>
      <c r="J164" s="1" t="s">
        <v>6594</v>
      </c>
      <c r="K164" s="6">
        <f t="shared" si="2"/>
        <v>0.0005614192679</v>
      </c>
      <c r="L164" s="7">
        <v>0.004474844434226054</v>
      </c>
      <c r="M164" s="8">
        <f t="shared" si="1"/>
        <v>15109614</v>
      </c>
    </row>
    <row r="165">
      <c r="A165" s="9">
        <v>45744.0</v>
      </c>
      <c r="B165" s="4">
        <v>1336.0</v>
      </c>
      <c r="C165" s="4">
        <v>1357.95</v>
      </c>
      <c r="D165" s="4">
        <v>1327.2</v>
      </c>
      <c r="E165" s="4">
        <v>1336.65</v>
      </c>
      <c r="F165" s="4">
        <v>1348.35</v>
      </c>
      <c r="G165" s="4">
        <v>1345.9</v>
      </c>
      <c r="H165" s="1" t="s">
        <v>6598</v>
      </c>
      <c r="I165" s="1" t="s">
        <v>6599</v>
      </c>
      <c r="J165" s="1" t="s">
        <v>6600</v>
      </c>
      <c r="K165" s="6">
        <f t="shared" si="2"/>
        <v>0.008753226349</v>
      </c>
      <c r="L165" s="7">
        <v>-0.003077320865803894</v>
      </c>
      <c r="M165" s="8">
        <f t="shared" si="1"/>
        <v>8266544</v>
      </c>
    </row>
    <row r="166">
      <c r="A166" s="3">
        <v>45748.0</v>
      </c>
      <c r="B166" s="4">
        <v>1340.0</v>
      </c>
      <c r="C166" s="4">
        <v>1352.35</v>
      </c>
      <c r="D166" s="4">
        <v>1315.4</v>
      </c>
      <c r="E166" s="4">
        <v>1348.35</v>
      </c>
      <c r="F166" s="4">
        <v>1318.45</v>
      </c>
      <c r="G166" s="4">
        <v>1326.83</v>
      </c>
      <c r="H166" s="1" t="s">
        <v>6604</v>
      </c>
      <c r="I166" s="1" t="s">
        <v>6605</v>
      </c>
      <c r="J166" s="1" t="s">
        <v>6606</v>
      </c>
      <c r="K166" s="6">
        <f t="shared" si="2"/>
        <v>-0.02217525123</v>
      </c>
      <c r="L166" s="7">
        <v>-0.015036555006834706</v>
      </c>
      <c r="M166" s="8">
        <f t="shared" si="1"/>
        <v>14288024</v>
      </c>
    </row>
    <row r="167">
      <c r="A167" s="3">
        <v>45749.0</v>
      </c>
      <c r="B167" s="4">
        <v>1322.15</v>
      </c>
      <c r="C167" s="4">
        <v>1337.95</v>
      </c>
      <c r="D167" s="4">
        <v>1322.15</v>
      </c>
      <c r="E167" s="4">
        <v>1318.45</v>
      </c>
      <c r="F167" s="4">
        <v>1331.25</v>
      </c>
      <c r="G167" s="4">
        <v>1330.74</v>
      </c>
      <c r="H167" s="1" t="s">
        <v>6610</v>
      </c>
      <c r="I167" s="1" t="s">
        <v>6611</v>
      </c>
      <c r="J167" s="1" t="s">
        <v>6612</v>
      </c>
      <c r="K167" s="6">
        <f t="shared" si="2"/>
        <v>0.009708369677</v>
      </c>
      <c r="L167" s="7">
        <v>0.007193825353863592</v>
      </c>
      <c r="M167" s="8">
        <f t="shared" si="1"/>
        <v>8042214</v>
      </c>
    </row>
    <row r="168">
      <c r="A168" s="3">
        <v>45750.0</v>
      </c>
      <c r="B168" s="4">
        <v>1321.95</v>
      </c>
      <c r="C168" s="4">
        <v>1333.0</v>
      </c>
      <c r="D168" s="4">
        <v>1321.25</v>
      </c>
      <c r="E168" s="4">
        <v>1331.25</v>
      </c>
      <c r="F168" s="4">
        <v>1329.55</v>
      </c>
      <c r="G168" s="4">
        <v>1328.6</v>
      </c>
      <c r="H168" s="1" t="s">
        <v>6616</v>
      </c>
      <c r="I168" s="1" t="s">
        <v>6617</v>
      </c>
      <c r="J168" s="1" t="s">
        <v>6618</v>
      </c>
      <c r="K168" s="6">
        <f t="shared" si="2"/>
        <v>-0.001276995305</v>
      </c>
      <c r="L168" s="7">
        <v>-0.0035251485598321647</v>
      </c>
      <c r="M168" s="8">
        <f t="shared" si="1"/>
        <v>4591008</v>
      </c>
    </row>
    <row r="169">
      <c r="A169" s="3">
        <v>45751.0</v>
      </c>
      <c r="B169" s="4">
        <v>1329.55</v>
      </c>
      <c r="C169" s="4">
        <v>1338.55</v>
      </c>
      <c r="D169" s="4">
        <v>1322.1</v>
      </c>
      <c r="E169" s="4">
        <v>1329.55</v>
      </c>
      <c r="F169" s="4">
        <v>1335.3</v>
      </c>
      <c r="G169" s="4">
        <v>1331.6</v>
      </c>
      <c r="H169" s="1" t="s">
        <v>6622</v>
      </c>
      <c r="I169" s="1" t="s">
        <v>6623</v>
      </c>
      <c r="J169" s="1" t="s">
        <v>6624</v>
      </c>
      <c r="K169" s="6">
        <f t="shared" si="2"/>
        <v>0.004324771539</v>
      </c>
      <c r="L169" s="7">
        <v>-0.014866602724289265</v>
      </c>
      <c r="M169" s="8">
        <f t="shared" si="1"/>
        <v>8648542</v>
      </c>
    </row>
    <row r="170">
      <c r="A170" s="3">
        <v>45754.0</v>
      </c>
      <c r="B170" s="4">
        <v>1295.25</v>
      </c>
      <c r="C170" s="4">
        <v>1325.0</v>
      </c>
      <c r="D170" s="4">
        <v>1265.0</v>
      </c>
      <c r="E170" s="4">
        <v>1335.3</v>
      </c>
      <c r="F170" s="4">
        <v>1287.55</v>
      </c>
      <c r="G170" s="4">
        <v>1290.47</v>
      </c>
      <c r="H170" s="1" t="s">
        <v>6627</v>
      </c>
      <c r="I170" s="1" t="s">
        <v>6629</v>
      </c>
      <c r="J170" s="1" t="s">
        <v>6630</v>
      </c>
      <c r="K170" s="6">
        <f t="shared" si="2"/>
        <v>-0.03575975436</v>
      </c>
      <c r="L170" s="7">
        <v>-0.03243256223135688</v>
      </c>
      <c r="M170" s="8">
        <f t="shared" si="1"/>
        <v>19185012</v>
      </c>
    </row>
    <row r="171">
      <c r="A171" s="3">
        <v>45755.0</v>
      </c>
      <c r="B171" s="4">
        <v>1299.85</v>
      </c>
      <c r="C171" s="4">
        <v>1310.05</v>
      </c>
      <c r="D171" s="4">
        <v>1287.35</v>
      </c>
      <c r="E171" s="4">
        <v>1287.55</v>
      </c>
      <c r="F171" s="4">
        <v>1299.9</v>
      </c>
      <c r="G171" s="4">
        <v>1298.35</v>
      </c>
      <c r="H171" s="1" t="s">
        <v>6632</v>
      </c>
      <c r="I171" s="1" t="s">
        <v>6634</v>
      </c>
      <c r="J171" s="1" t="s">
        <v>6636</v>
      </c>
      <c r="K171" s="6">
        <f t="shared" si="2"/>
        <v>0.00959186051</v>
      </c>
      <c r="L171" s="7">
        <v>0.016887318605154862</v>
      </c>
      <c r="M171" s="8">
        <f t="shared" si="1"/>
        <v>13085762</v>
      </c>
    </row>
    <row r="172">
      <c r="A172" s="3">
        <v>45756.0</v>
      </c>
      <c r="B172" s="4">
        <v>1304.95</v>
      </c>
      <c r="C172" s="4">
        <v>1305.1</v>
      </c>
      <c r="D172" s="4">
        <v>1284.5</v>
      </c>
      <c r="E172" s="4">
        <v>1299.9</v>
      </c>
      <c r="F172" s="4">
        <v>1300.8</v>
      </c>
      <c r="G172" s="4">
        <v>1296.12</v>
      </c>
      <c r="H172" s="1" t="s">
        <v>6638</v>
      </c>
      <c r="I172" s="1" t="s">
        <v>6640</v>
      </c>
      <c r="J172" s="1" t="s">
        <v>6642</v>
      </c>
      <c r="K172" s="6">
        <f t="shared" si="2"/>
        <v>0.0006923609508</v>
      </c>
      <c r="L172" s="7">
        <v>-0.00606589056991403</v>
      </c>
      <c r="M172" s="8">
        <f t="shared" si="1"/>
        <v>13005622</v>
      </c>
    </row>
    <row r="173">
      <c r="A173" s="9">
        <v>45758.0</v>
      </c>
      <c r="B173" s="4">
        <v>1305.1</v>
      </c>
      <c r="C173" s="4">
        <v>1325.0</v>
      </c>
      <c r="D173" s="4">
        <v>1305.1</v>
      </c>
      <c r="E173" s="4">
        <v>1300.8</v>
      </c>
      <c r="F173" s="4">
        <v>1311.65</v>
      </c>
      <c r="G173" s="4">
        <v>1314.61</v>
      </c>
      <c r="H173" s="1" t="s">
        <v>6643</v>
      </c>
      <c r="I173" s="1" t="s">
        <v>6644</v>
      </c>
      <c r="J173" s="1" t="s">
        <v>6647</v>
      </c>
      <c r="K173" s="6">
        <f t="shared" si="2"/>
        <v>0.00834102091</v>
      </c>
      <c r="L173" s="7">
        <v>0.019170370304230196</v>
      </c>
      <c r="M173" s="8">
        <f t="shared" si="1"/>
        <v>13064247</v>
      </c>
    </row>
    <row r="174">
      <c r="A174" s="9">
        <v>45762.0</v>
      </c>
      <c r="B174" s="4">
        <v>1351.0</v>
      </c>
      <c r="C174" s="4">
        <v>1354.3</v>
      </c>
      <c r="D174" s="4">
        <v>1336.2</v>
      </c>
      <c r="E174" s="4">
        <v>1311.65</v>
      </c>
      <c r="F174" s="4">
        <v>1350.2</v>
      </c>
      <c r="G174" s="4">
        <v>1347.7</v>
      </c>
      <c r="H174" s="1" t="s">
        <v>6649</v>
      </c>
      <c r="I174" s="1" t="s">
        <v>6650</v>
      </c>
      <c r="J174" s="1" t="s">
        <v>6651</v>
      </c>
      <c r="K174" s="6">
        <f t="shared" si="2"/>
        <v>0.02939046239</v>
      </c>
      <c r="L174" s="7">
        <v>0.021902398531663203</v>
      </c>
      <c r="M174" s="8">
        <f t="shared" si="1"/>
        <v>15202603</v>
      </c>
    </row>
    <row r="175">
      <c r="A175" s="9">
        <v>45763.0</v>
      </c>
      <c r="B175" s="4">
        <v>1357.0</v>
      </c>
      <c r="C175" s="4">
        <v>1359.7</v>
      </c>
      <c r="D175" s="4">
        <v>1342.9</v>
      </c>
      <c r="E175" s="4">
        <v>1350.2</v>
      </c>
      <c r="F175" s="4">
        <v>1356.4</v>
      </c>
      <c r="G175" s="4">
        <v>1350.44</v>
      </c>
      <c r="H175" s="1" t="s">
        <v>6655</v>
      </c>
      <c r="I175" s="1" t="s">
        <v>6656</v>
      </c>
      <c r="J175" s="1" t="s">
        <v>6657</v>
      </c>
      <c r="K175" s="6">
        <f t="shared" si="2"/>
        <v>0.004591912309</v>
      </c>
      <c r="L175" s="7">
        <v>0.0046573833350123115</v>
      </c>
      <c r="M175" s="8">
        <f t="shared" si="1"/>
        <v>14039073</v>
      </c>
    </row>
    <row r="176">
      <c r="A176" s="9">
        <v>45764.0</v>
      </c>
      <c r="B176" s="4">
        <v>1362.0</v>
      </c>
      <c r="C176" s="4">
        <v>1408.9</v>
      </c>
      <c r="D176" s="4">
        <v>1360.1</v>
      </c>
      <c r="E176" s="4">
        <v>1356.4</v>
      </c>
      <c r="F176" s="4">
        <v>1406.7</v>
      </c>
      <c r="G176" s="4">
        <v>1391.92</v>
      </c>
      <c r="H176" s="1" t="s">
        <v>6661</v>
      </c>
      <c r="I176" s="1" t="s">
        <v>6662</v>
      </c>
      <c r="J176" s="1" t="s">
        <v>6663</v>
      </c>
      <c r="K176" s="6">
        <f t="shared" si="2"/>
        <v>0.03708345621</v>
      </c>
      <c r="L176" s="7">
        <v>0.017683426347857283</v>
      </c>
      <c r="M176" s="8">
        <f t="shared" si="1"/>
        <v>17490424</v>
      </c>
    </row>
    <row r="177">
      <c r="A177" s="9">
        <v>45768.0</v>
      </c>
      <c r="B177" s="4">
        <v>1436.0</v>
      </c>
      <c r="C177" s="4">
        <v>1436.0</v>
      </c>
      <c r="D177" s="4">
        <v>1404.7</v>
      </c>
      <c r="E177" s="4">
        <v>1406.7</v>
      </c>
      <c r="F177" s="4">
        <v>1409.8</v>
      </c>
      <c r="G177" s="4">
        <v>1416.7</v>
      </c>
      <c r="H177" s="1" t="s">
        <v>6666</v>
      </c>
      <c r="I177" s="1" t="s">
        <v>6668</v>
      </c>
      <c r="J177" s="1" t="s">
        <v>6669</v>
      </c>
      <c r="K177" s="6">
        <f t="shared" si="2"/>
        <v>0.002203739248</v>
      </c>
      <c r="L177" s="7">
        <v>0.011483482274811085</v>
      </c>
      <c r="M177" s="8">
        <f t="shared" si="1"/>
        <v>16882426</v>
      </c>
    </row>
    <row r="178">
      <c r="A178" s="9">
        <v>45769.0</v>
      </c>
      <c r="B178" s="4">
        <v>1412.8</v>
      </c>
      <c r="C178" s="4">
        <v>1418.8</v>
      </c>
      <c r="D178" s="4">
        <v>1398.9</v>
      </c>
      <c r="E178" s="4">
        <v>1409.8</v>
      </c>
      <c r="F178" s="4">
        <v>1416.5</v>
      </c>
      <c r="G178" s="4">
        <v>1410.65</v>
      </c>
      <c r="H178" s="1" t="s">
        <v>6670</v>
      </c>
      <c r="I178" s="1" t="s">
        <v>6671</v>
      </c>
      <c r="J178" s="1" t="s">
        <v>6672</v>
      </c>
      <c r="K178" s="6">
        <f t="shared" si="2"/>
        <v>0.004752447156</v>
      </c>
      <c r="L178" s="7">
        <v>0.0017284580040662588</v>
      </c>
      <c r="M178" s="8">
        <f t="shared" si="1"/>
        <v>16135274</v>
      </c>
    </row>
    <row r="179">
      <c r="A179" s="9">
        <v>45770.0</v>
      </c>
      <c r="B179" s="4">
        <v>1429.0</v>
      </c>
      <c r="C179" s="4">
        <v>1429.9</v>
      </c>
      <c r="D179" s="4">
        <v>1411.3</v>
      </c>
      <c r="E179" s="4">
        <v>1416.5</v>
      </c>
      <c r="F179" s="4">
        <v>1424.4</v>
      </c>
      <c r="G179" s="4">
        <v>1421.06</v>
      </c>
      <c r="H179" s="1" t="s">
        <v>6676</v>
      </c>
      <c r="I179" s="1" t="s">
        <v>6677</v>
      </c>
      <c r="J179" s="1" t="s">
        <v>6678</v>
      </c>
      <c r="K179" s="6">
        <f t="shared" si="2"/>
        <v>0.005577126721</v>
      </c>
      <c r="L179" s="7">
        <v>0.006690872978928125</v>
      </c>
      <c r="M179" s="8">
        <f t="shared" si="1"/>
        <v>13990764</v>
      </c>
    </row>
    <row r="180">
      <c r="A180" s="9">
        <v>45771.0</v>
      </c>
      <c r="B180" s="4">
        <v>1416.3</v>
      </c>
      <c r="C180" s="4">
        <v>1421.2</v>
      </c>
      <c r="D180" s="4">
        <v>1398.8</v>
      </c>
      <c r="E180" s="4">
        <v>1424.4</v>
      </c>
      <c r="F180" s="4">
        <v>1402.7</v>
      </c>
      <c r="G180" s="4">
        <v>1407.84</v>
      </c>
      <c r="H180" s="1" t="s">
        <v>6682</v>
      </c>
      <c r="I180" s="1" t="s">
        <v>6683</v>
      </c>
      <c r="J180" s="1" t="s">
        <v>6684</v>
      </c>
      <c r="K180" s="6">
        <f t="shared" si="2"/>
        <v>-0.0152344847</v>
      </c>
      <c r="L180" s="7">
        <v>-0.0033807459836943227</v>
      </c>
      <c r="M180" s="8">
        <f t="shared" si="1"/>
        <v>15678099</v>
      </c>
    </row>
    <row r="181">
      <c r="A181" s="9">
        <v>45772.0</v>
      </c>
      <c r="B181" s="4">
        <v>1410.0</v>
      </c>
      <c r="C181" s="4">
        <v>1414.8</v>
      </c>
      <c r="D181" s="4">
        <v>1388.4</v>
      </c>
      <c r="E181" s="4">
        <v>1402.7</v>
      </c>
      <c r="F181" s="4">
        <v>1404.8</v>
      </c>
      <c r="G181" s="4">
        <v>1400.91</v>
      </c>
      <c r="H181" s="1" t="s">
        <v>6688</v>
      </c>
      <c r="I181" s="1" t="s">
        <v>6689</v>
      </c>
      <c r="J181" s="1" t="s">
        <v>6690</v>
      </c>
      <c r="K181" s="6">
        <f t="shared" si="2"/>
        <v>0.001497112711</v>
      </c>
      <c r="L181" s="7">
        <v>-0.008551679197581616</v>
      </c>
      <c r="M181" s="8">
        <f t="shared" si="1"/>
        <v>11705093</v>
      </c>
    </row>
    <row r="182">
      <c r="A182" s="9">
        <v>45775.0</v>
      </c>
      <c r="B182" s="4">
        <v>1405.6</v>
      </c>
      <c r="C182" s="4">
        <v>1435.0</v>
      </c>
      <c r="D182" s="4">
        <v>1403.8</v>
      </c>
      <c r="E182" s="4">
        <v>1404.8</v>
      </c>
      <c r="F182" s="4">
        <v>1428.8</v>
      </c>
      <c r="G182" s="4">
        <v>1427.33</v>
      </c>
      <c r="H182" s="1" t="s">
        <v>6691</v>
      </c>
      <c r="I182" s="1" t="s">
        <v>6692</v>
      </c>
      <c r="J182" s="1" t="s">
        <v>6693</v>
      </c>
      <c r="K182" s="6">
        <f t="shared" si="2"/>
        <v>0.01708428246</v>
      </c>
      <c r="L182" s="7">
        <v>0.012028195437896677</v>
      </c>
      <c r="M182" s="8">
        <f t="shared" si="1"/>
        <v>10948561</v>
      </c>
    </row>
    <row r="183">
      <c r="A183" s="9">
        <v>45776.0</v>
      </c>
      <c r="B183" s="4">
        <v>1428.8</v>
      </c>
      <c r="C183" s="4">
        <v>1438.3</v>
      </c>
      <c r="D183" s="4">
        <v>1422.6</v>
      </c>
      <c r="E183" s="4">
        <v>1428.8</v>
      </c>
      <c r="F183" s="4">
        <v>1429.8</v>
      </c>
      <c r="G183" s="4">
        <v>1428.52</v>
      </c>
      <c r="H183" s="1" t="s">
        <v>6697</v>
      </c>
      <c r="I183" s="1" t="s">
        <v>6698</v>
      </c>
      <c r="J183" s="1" t="s">
        <v>6699</v>
      </c>
      <c r="K183" s="6">
        <f t="shared" si="2"/>
        <v>0.0006998880179</v>
      </c>
      <c r="L183" s="7">
        <v>3.062252091169093E-4</v>
      </c>
      <c r="M183" s="8">
        <f t="shared" si="1"/>
        <v>10786910</v>
      </c>
    </row>
    <row r="184">
      <c r="A184" s="9">
        <v>45777.0</v>
      </c>
      <c r="B184" s="4">
        <v>1433.0</v>
      </c>
      <c r="C184" s="4">
        <v>1433.7</v>
      </c>
      <c r="D184" s="4">
        <v>1400.0</v>
      </c>
      <c r="E184" s="4">
        <v>1429.8</v>
      </c>
      <c r="F184" s="4">
        <v>1427.0</v>
      </c>
      <c r="G184" s="4">
        <v>1427.91</v>
      </c>
      <c r="H184" s="1" t="s">
        <v>6703</v>
      </c>
      <c r="I184" s="1" t="s">
        <v>6704</v>
      </c>
      <c r="J184" s="1" t="s">
        <v>6705</v>
      </c>
      <c r="K184" s="6">
        <f t="shared" si="2"/>
        <v>-0.001958315848</v>
      </c>
      <c r="L184" s="7">
        <v>-7.191007542339626E-5</v>
      </c>
      <c r="M184" s="8">
        <f t="shared" si="1"/>
        <v>14192027</v>
      </c>
    </row>
    <row r="185">
      <c r="A185" s="12">
        <v>45779.0</v>
      </c>
      <c r="B185" s="4">
        <v>1426.9</v>
      </c>
      <c r="C185" s="4">
        <v>1446.6</v>
      </c>
      <c r="D185" s="4">
        <v>1424.6</v>
      </c>
      <c r="E185" s="4">
        <v>1427.0</v>
      </c>
      <c r="F185" s="4">
        <v>1432.4</v>
      </c>
      <c r="G185" s="4">
        <v>1436.51</v>
      </c>
      <c r="H185" s="1" t="s">
        <v>6709</v>
      </c>
      <c r="I185" s="1" t="s">
        <v>6710</v>
      </c>
      <c r="J185" s="1" t="s">
        <v>6711</v>
      </c>
      <c r="K185" s="6">
        <f t="shared" si="2"/>
        <v>0.003784162579</v>
      </c>
      <c r="L185" s="7">
        <v>5.136803346730116E-4</v>
      </c>
      <c r="M185" s="8">
        <f t="shared" si="1"/>
        <v>10763492</v>
      </c>
    </row>
    <row r="186">
      <c r="A186" s="12">
        <v>45782.0</v>
      </c>
      <c r="B186" s="4">
        <v>1440.0</v>
      </c>
      <c r="C186" s="4">
        <v>1446.8</v>
      </c>
      <c r="D186" s="4">
        <v>1426.0</v>
      </c>
      <c r="E186" s="4">
        <v>1432.4</v>
      </c>
      <c r="F186" s="4">
        <v>1429.4</v>
      </c>
      <c r="G186" s="4">
        <v>1432.29</v>
      </c>
      <c r="H186" s="1" t="s">
        <v>6715</v>
      </c>
      <c r="I186" s="1" t="s">
        <v>6716</v>
      </c>
      <c r="J186" s="1" t="s">
        <v>6717</v>
      </c>
      <c r="K186" s="6">
        <f t="shared" si="2"/>
        <v>-0.002094387043</v>
      </c>
      <c r="L186" s="7">
        <v>0.004700842413961675</v>
      </c>
      <c r="M186" s="8">
        <f t="shared" si="1"/>
        <v>4565705</v>
      </c>
    </row>
    <row r="187">
      <c r="A187" s="12">
        <v>45783.0</v>
      </c>
      <c r="B187" s="4">
        <v>1429.0</v>
      </c>
      <c r="C187" s="4">
        <v>1433.7</v>
      </c>
      <c r="D187" s="4">
        <v>1420.4</v>
      </c>
      <c r="E187" s="4">
        <v>1429.4</v>
      </c>
      <c r="F187" s="4">
        <v>1431.6</v>
      </c>
      <c r="G187" s="4">
        <v>1428.23</v>
      </c>
      <c r="H187" s="1" t="s">
        <v>6720</v>
      </c>
      <c r="I187" s="1" t="s">
        <v>6722</v>
      </c>
      <c r="J187" s="1" t="s">
        <v>6723</v>
      </c>
      <c r="K187" s="6">
        <f t="shared" si="2"/>
        <v>0.001539107318</v>
      </c>
      <c r="L187" s="7">
        <v>-0.003333857974788712</v>
      </c>
      <c r="M187" s="8">
        <f t="shared" si="1"/>
        <v>6301690</v>
      </c>
    </row>
    <row r="188">
      <c r="A188" s="12">
        <v>45784.0</v>
      </c>
      <c r="B188" s="4">
        <v>1425.0</v>
      </c>
      <c r="C188" s="4">
        <v>1442.0</v>
      </c>
      <c r="D188" s="4">
        <v>1421.0</v>
      </c>
      <c r="E188" s="4">
        <v>1431.6</v>
      </c>
      <c r="F188" s="4">
        <v>1435.4</v>
      </c>
      <c r="G188" s="4">
        <v>1431.25</v>
      </c>
      <c r="H188" s="1" t="s">
        <v>6724</v>
      </c>
      <c r="I188" s="1" t="s">
        <v>6725</v>
      </c>
      <c r="J188" s="1" t="s">
        <v>6727</v>
      </c>
      <c r="K188" s="6">
        <f t="shared" si="2"/>
        <v>0.00265437273</v>
      </c>
      <c r="L188" s="7">
        <v>0.0014274229273656218</v>
      </c>
      <c r="M188" s="8">
        <f t="shared" si="1"/>
        <v>10480453</v>
      </c>
    </row>
    <row r="189">
      <c r="A189" s="12">
        <v>45785.0</v>
      </c>
      <c r="B189" s="4">
        <v>1438.6</v>
      </c>
      <c r="C189" s="4">
        <v>1448.9</v>
      </c>
      <c r="D189" s="4">
        <v>1426.1</v>
      </c>
      <c r="E189" s="4">
        <v>1435.4</v>
      </c>
      <c r="F189" s="4">
        <v>1435.5</v>
      </c>
      <c r="G189" s="4">
        <v>1439.49</v>
      </c>
      <c r="H189" s="1" t="s">
        <v>6735</v>
      </c>
      <c r="I189" s="1" t="s">
        <v>6736</v>
      </c>
      <c r="J189" s="1" t="s">
        <v>6737</v>
      </c>
      <c r="K189" s="6">
        <f t="shared" si="2"/>
        <v>0.00006966699178</v>
      </c>
      <c r="L189" s="7">
        <v>-0.005758896389016407</v>
      </c>
      <c r="M189" s="8">
        <f t="shared" si="1"/>
        <v>15306490</v>
      </c>
    </row>
    <row r="190">
      <c r="A190" s="12">
        <v>45786.0</v>
      </c>
      <c r="B190" s="4">
        <v>1415.2</v>
      </c>
      <c r="C190" s="4">
        <v>1419.9</v>
      </c>
      <c r="D190" s="4">
        <v>1387.0</v>
      </c>
      <c r="E190" s="4">
        <v>1435.5</v>
      </c>
      <c r="F190" s="4">
        <v>1388.9</v>
      </c>
      <c r="G190" s="4">
        <v>1394.54</v>
      </c>
      <c r="H190" s="1" t="s">
        <v>6741</v>
      </c>
      <c r="I190" s="1" t="s">
        <v>6742</v>
      </c>
      <c r="J190" s="1" t="s">
        <v>6743</v>
      </c>
      <c r="K190" s="6">
        <f t="shared" si="2"/>
        <v>-0.0324625566</v>
      </c>
      <c r="L190" s="7">
        <v>-0.01095007786172743</v>
      </c>
      <c r="M190" s="8">
        <f t="shared" si="1"/>
        <v>13491197</v>
      </c>
    </row>
    <row r="191">
      <c r="A191" s="13">
        <v>45789.0</v>
      </c>
      <c r="B191" s="4">
        <v>1409.4</v>
      </c>
      <c r="C191" s="4">
        <v>1453.0</v>
      </c>
      <c r="D191" s="4">
        <v>1404.0</v>
      </c>
      <c r="E191" s="4">
        <v>1388.9</v>
      </c>
      <c r="F191" s="4">
        <v>1448.5</v>
      </c>
      <c r="G191" s="4">
        <v>1436.69</v>
      </c>
      <c r="H191" s="1" t="s">
        <v>6747</v>
      </c>
      <c r="I191" s="1" t="s">
        <v>6748</v>
      </c>
      <c r="J191" s="1" t="s">
        <v>6749</v>
      </c>
      <c r="K191" s="6">
        <f t="shared" si="2"/>
        <v>0.04291165671</v>
      </c>
      <c r="L191" s="7">
        <v>0.03818310563145621</v>
      </c>
      <c r="M191" s="8">
        <f t="shared" si="1"/>
        <v>9925445</v>
      </c>
    </row>
    <row r="192">
      <c r="A192" s="13">
        <v>45790.0</v>
      </c>
      <c r="B192" s="4">
        <v>1440.1</v>
      </c>
      <c r="C192" s="4">
        <v>1447.9</v>
      </c>
      <c r="D192" s="4">
        <v>1427.4</v>
      </c>
      <c r="E192" s="4">
        <v>1448.5</v>
      </c>
      <c r="F192" s="4">
        <v>1430.6</v>
      </c>
      <c r="G192" s="4">
        <v>1432.31</v>
      </c>
      <c r="H192" s="1" t="s">
        <v>6753</v>
      </c>
      <c r="I192" s="1" t="s">
        <v>6754</v>
      </c>
      <c r="J192" s="1" t="s">
        <v>6755</v>
      </c>
      <c r="K192" s="6">
        <f t="shared" si="2"/>
        <v>-0.01235761132</v>
      </c>
      <c r="L192" s="7">
        <v>-0.01389585431319142</v>
      </c>
      <c r="M192" s="8">
        <f t="shared" si="1"/>
        <v>12475424</v>
      </c>
    </row>
    <row r="193">
      <c r="A193" s="13">
        <v>45791.0</v>
      </c>
      <c r="B193" s="4">
        <v>1429.9</v>
      </c>
      <c r="C193" s="4">
        <v>1440.7</v>
      </c>
      <c r="D193" s="4">
        <v>1417.3</v>
      </c>
      <c r="E193" s="4">
        <v>1430.6</v>
      </c>
      <c r="F193" s="4">
        <v>1426.2</v>
      </c>
      <c r="G193" s="4">
        <v>1427.87</v>
      </c>
      <c r="H193" s="1" t="s">
        <v>6759</v>
      </c>
      <c r="I193" s="1" t="s">
        <v>6760</v>
      </c>
      <c r="J193" s="1" t="s">
        <v>6761</v>
      </c>
      <c r="K193" s="6">
        <f t="shared" si="2"/>
        <v>-0.003075632602</v>
      </c>
      <c r="L193" s="7">
        <v>0.0036027642213575326</v>
      </c>
      <c r="M193" s="8">
        <f t="shared" si="1"/>
        <v>8026837</v>
      </c>
    </row>
    <row r="194">
      <c r="A194" s="13">
        <v>45792.0</v>
      </c>
      <c r="B194" s="4">
        <v>1425.9</v>
      </c>
      <c r="C194" s="4">
        <v>1456.5</v>
      </c>
      <c r="D194" s="4">
        <v>1415.5</v>
      </c>
      <c r="E194" s="4">
        <v>1426.2</v>
      </c>
      <c r="F194" s="4">
        <v>1450.8</v>
      </c>
      <c r="G194" s="4">
        <v>1438.96</v>
      </c>
      <c r="H194" s="1" t="s">
        <v>6765</v>
      </c>
      <c r="I194" s="1" t="s">
        <v>6766</v>
      </c>
      <c r="J194" s="1" t="s">
        <v>6767</v>
      </c>
      <c r="K194" s="6">
        <f t="shared" si="2"/>
        <v>0.01724863273</v>
      </c>
      <c r="L194" s="7">
        <v>0.01602147006717492</v>
      </c>
      <c r="M194" s="8">
        <f t="shared" si="1"/>
        <v>18209264</v>
      </c>
    </row>
    <row r="195">
      <c r="A195" s="13">
        <v>45793.0</v>
      </c>
      <c r="B195" s="4">
        <v>1453.3</v>
      </c>
      <c r="C195" s="4">
        <v>1458.7</v>
      </c>
      <c r="D195" s="4">
        <v>1447.0</v>
      </c>
      <c r="E195" s="4">
        <v>1450.8</v>
      </c>
      <c r="F195" s="4">
        <v>1454.0</v>
      </c>
      <c r="G195" s="4">
        <v>1454.25</v>
      </c>
      <c r="H195" s="1" t="s">
        <v>6771</v>
      </c>
      <c r="I195" s="1" t="s">
        <v>6772</v>
      </c>
      <c r="J195" s="1" t="s">
        <v>6773</v>
      </c>
      <c r="K195" s="6">
        <f t="shared" si="2"/>
        <v>0.002205679625</v>
      </c>
      <c r="L195" s="7">
        <v>-0.0016878074862042396</v>
      </c>
      <c r="M195" s="8">
        <f t="shared" si="1"/>
        <v>6439208</v>
      </c>
    </row>
    <row r="196">
      <c r="A196" s="13">
        <v>45796.0</v>
      </c>
      <c r="B196" s="4">
        <v>1446.5</v>
      </c>
      <c r="C196" s="4">
        <v>1459.7</v>
      </c>
      <c r="D196" s="4">
        <v>1443.8</v>
      </c>
      <c r="E196" s="4">
        <v>1454.0</v>
      </c>
      <c r="F196" s="4">
        <v>1449.0</v>
      </c>
      <c r="G196" s="4">
        <v>1451.29</v>
      </c>
      <c r="H196" s="1" t="s">
        <v>6777</v>
      </c>
      <c r="I196" s="1" t="s">
        <v>6778</v>
      </c>
      <c r="J196" s="1" t="s">
        <v>6779</v>
      </c>
      <c r="K196" s="6">
        <f t="shared" si="2"/>
        <v>-0.003438789546</v>
      </c>
      <c r="L196" s="7">
        <v>-0.0029716464560067845</v>
      </c>
      <c r="M196" s="8">
        <f t="shared" si="1"/>
        <v>6005334</v>
      </c>
    </row>
    <row r="197">
      <c r="A197" s="13">
        <v>45797.0</v>
      </c>
      <c r="B197" s="4">
        <v>1450.2</v>
      </c>
      <c r="C197" s="4">
        <v>1459.0</v>
      </c>
      <c r="D197" s="4">
        <v>1435.5</v>
      </c>
      <c r="E197" s="4">
        <v>1449.0</v>
      </c>
      <c r="F197" s="4">
        <v>1438.2</v>
      </c>
      <c r="G197" s="4">
        <v>1440.54</v>
      </c>
      <c r="H197" s="1" t="s">
        <v>6783</v>
      </c>
      <c r="I197" s="1" t="s">
        <v>6784</v>
      </c>
      <c r="J197" s="1" t="s">
        <v>6785</v>
      </c>
      <c r="K197" s="6">
        <f t="shared" si="2"/>
        <v>-0.007453416149</v>
      </c>
      <c r="L197" s="7">
        <v>-0.01048487800380427</v>
      </c>
      <c r="M197" s="8">
        <f t="shared" si="1"/>
        <v>11352383</v>
      </c>
    </row>
    <row r="198">
      <c r="A198" s="13">
        <v>45798.0</v>
      </c>
      <c r="B198" s="4">
        <v>1442.9</v>
      </c>
      <c r="C198" s="4">
        <v>1451.3</v>
      </c>
      <c r="D198" s="4">
        <v>1438.5</v>
      </c>
      <c r="E198" s="4">
        <v>1438.2</v>
      </c>
      <c r="F198" s="4">
        <v>1444.7</v>
      </c>
      <c r="G198" s="4">
        <v>1445.11</v>
      </c>
      <c r="H198" s="1" t="s">
        <v>6789</v>
      </c>
      <c r="I198" s="1" t="s">
        <v>6790</v>
      </c>
      <c r="J198" s="1" t="s">
        <v>6791</v>
      </c>
      <c r="K198" s="6">
        <f t="shared" si="2"/>
        <v>0.004519538312</v>
      </c>
      <c r="L198" s="7">
        <v>0.0052483602672186835</v>
      </c>
      <c r="M198" s="8">
        <f t="shared" si="1"/>
        <v>5510460</v>
      </c>
    </row>
    <row r="199">
      <c r="A199" s="13">
        <v>45799.0</v>
      </c>
      <c r="B199" s="4">
        <v>1441.1</v>
      </c>
      <c r="C199" s="4">
        <v>1445.3</v>
      </c>
      <c r="D199" s="4">
        <v>1427.8</v>
      </c>
      <c r="E199" s="4">
        <v>1444.7</v>
      </c>
      <c r="F199" s="4">
        <v>1442.1</v>
      </c>
      <c r="G199" s="4">
        <v>1435.62</v>
      </c>
      <c r="H199" s="1" t="s">
        <v>6795</v>
      </c>
      <c r="I199" s="1" t="s">
        <v>6796</v>
      </c>
      <c r="J199" s="1" t="s">
        <v>6797</v>
      </c>
      <c r="K199" s="6">
        <f t="shared" si="2"/>
        <v>-0.001799681595</v>
      </c>
      <c r="L199" s="7">
        <v>-0.00821127251551074</v>
      </c>
      <c r="M199" s="8">
        <f t="shared" si="1"/>
        <v>7245933</v>
      </c>
    </row>
    <row r="200">
      <c r="A200" s="13">
        <v>45800.0</v>
      </c>
      <c r="B200" s="4">
        <v>1442.2</v>
      </c>
      <c r="C200" s="4">
        <v>1451.8</v>
      </c>
      <c r="D200" s="4">
        <v>1434.4</v>
      </c>
      <c r="E200" s="4">
        <v>1442.1</v>
      </c>
      <c r="F200" s="4">
        <v>1449.8</v>
      </c>
      <c r="G200" s="4">
        <v>1446.83</v>
      </c>
      <c r="H200" s="1" t="s">
        <v>6801</v>
      </c>
      <c r="I200" s="1" t="s">
        <v>6802</v>
      </c>
      <c r="J200" s="1" t="s">
        <v>6803</v>
      </c>
      <c r="K200" s="6">
        <f t="shared" si="2"/>
        <v>0.005339435545</v>
      </c>
      <c r="L200" s="7">
        <v>0.009892440785543941</v>
      </c>
      <c r="M200" s="8">
        <f t="shared" si="1"/>
        <v>5203706</v>
      </c>
    </row>
    <row r="201">
      <c r="A201" s="13">
        <v>45803.0</v>
      </c>
      <c r="B201" s="4">
        <v>1458.0</v>
      </c>
      <c r="C201" s="4">
        <v>1471.6</v>
      </c>
      <c r="D201" s="4">
        <v>1455.0</v>
      </c>
      <c r="E201" s="4">
        <v>1449.8</v>
      </c>
      <c r="F201" s="4">
        <v>1460.6</v>
      </c>
      <c r="G201" s="4">
        <v>1460.94</v>
      </c>
      <c r="H201" s="1" t="s">
        <v>6807</v>
      </c>
      <c r="I201" s="1" t="s">
        <v>6808</v>
      </c>
      <c r="J201" s="1" t="s">
        <v>6809</v>
      </c>
      <c r="K201" s="6">
        <f t="shared" si="2"/>
        <v>0.007449303352</v>
      </c>
      <c r="L201" s="7">
        <v>0.005954979549875971</v>
      </c>
      <c r="M201" s="8">
        <f t="shared" si="1"/>
        <v>5608725</v>
      </c>
    </row>
    <row r="202">
      <c r="A202" s="13">
        <v>45804.0</v>
      </c>
      <c r="B202" s="4">
        <v>1452.5</v>
      </c>
      <c r="C202" s="4">
        <v>1463.0</v>
      </c>
      <c r="D202" s="4">
        <v>1435.7</v>
      </c>
      <c r="E202" s="4">
        <v>1460.6</v>
      </c>
      <c r="F202" s="4">
        <v>1446.4</v>
      </c>
      <c r="G202" s="4">
        <v>1445.59</v>
      </c>
      <c r="H202" s="1" t="s">
        <v>6813</v>
      </c>
      <c r="I202" s="1" t="s">
        <v>6814</v>
      </c>
      <c r="J202" s="1" t="s">
        <v>6815</v>
      </c>
      <c r="K202" s="6">
        <f t="shared" si="2"/>
        <v>-0.009722032042</v>
      </c>
      <c r="L202" s="7">
        <v>-0.0069976781068071155</v>
      </c>
      <c r="M202" s="8">
        <f t="shared" si="1"/>
        <v>14842959</v>
      </c>
    </row>
    <row r="203">
      <c r="A203" s="13">
        <v>45805.0</v>
      </c>
      <c r="B203" s="4">
        <v>1447.6</v>
      </c>
      <c r="C203" s="4">
        <v>1458.0</v>
      </c>
      <c r="D203" s="4">
        <v>1442.5</v>
      </c>
      <c r="E203" s="4">
        <v>1446.4</v>
      </c>
      <c r="F203" s="4">
        <v>1453.8</v>
      </c>
      <c r="G203" s="4">
        <v>1452.83</v>
      </c>
      <c r="H203" s="1" t="s">
        <v>6818</v>
      </c>
      <c r="I203" s="1" t="s">
        <v>6820</v>
      </c>
      <c r="J203" s="1" t="s">
        <v>6821</v>
      </c>
      <c r="K203" s="6">
        <f t="shared" si="2"/>
        <v>0.005116150442</v>
      </c>
      <c r="L203" s="7">
        <v>-0.0029706519725129095</v>
      </c>
      <c r="M203" s="8">
        <f t="shared" si="1"/>
        <v>8618343</v>
      </c>
    </row>
    <row r="204">
      <c r="A204" s="13">
        <v>45806.0</v>
      </c>
      <c r="B204" s="4">
        <v>1456.6</v>
      </c>
      <c r="C204" s="4">
        <v>1462.9</v>
      </c>
      <c r="D204" s="4">
        <v>1445.0</v>
      </c>
      <c r="E204" s="4">
        <v>1453.8</v>
      </c>
      <c r="F204" s="4">
        <v>1456.5</v>
      </c>
      <c r="G204" s="4">
        <v>1452.26</v>
      </c>
      <c r="H204" s="1" t="s">
        <v>6823</v>
      </c>
      <c r="I204" s="1" t="s">
        <v>6825</v>
      </c>
      <c r="J204" s="1" t="s">
        <v>6827</v>
      </c>
      <c r="K204" s="6">
        <f t="shared" si="2"/>
        <v>0.001857201816</v>
      </c>
      <c r="L204" s="7">
        <v>0.0032784633440325226</v>
      </c>
      <c r="M204" s="8">
        <f t="shared" si="1"/>
        <v>15545514</v>
      </c>
    </row>
    <row r="205">
      <c r="A205" s="13">
        <v>45807.0</v>
      </c>
      <c r="B205" s="4">
        <v>1459.9</v>
      </c>
      <c r="C205" s="4">
        <v>1460.9</v>
      </c>
      <c r="D205" s="4">
        <v>1444.3</v>
      </c>
      <c r="E205" s="4">
        <v>1456.5</v>
      </c>
      <c r="F205" s="4">
        <v>1445.8</v>
      </c>
      <c r="G205" s="4">
        <v>1449.04</v>
      </c>
      <c r="H205" s="1" t="s">
        <v>6828</v>
      </c>
      <c r="I205" s="1" t="s">
        <v>6829</v>
      </c>
      <c r="J205" s="1" t="s">
        <v>6831</v>
      </c>
      <c r="K205" s="6">
        <f t="shared" si="2"/>
        <v>-0.007346378304</v>
      </c>
      <c r="L205" s="7">
        <v>-0.0033382191869079725</v>
      </c>
      <c r="M205" s="8">
        <f t="shared" si="1"/>
        <v>11803975</v>
      </c>
    </row>
    <row r="206">
      <c r="A206" s="3">
        <v>45810.0</v>
      </c>
      <c r="B206" s="4">
        <v>1442.0</v>
      </c>
      <c r="C206" s="4">
        <v>1460.0</v>
      </c>
      <c r="D206" s="4">
        <v>1432.8</v>
      </c>
      <c r="E206" s="4">
        <v>1445.8</v>
      </c>
      <c r="F206" s="4">
        <v>1450.5</v>
      </c>
      <c r="G206" s="4">
        <v>1442.4</v>
      </c>
      <c r="H206" s="1" t="s">
        <v>6834</v>
      </c>
      <c r="I206" s="1" t="s">
        <v>6835</v>
      </c>
      <c r="J206" s="1" t="s">
        <v>6836</v>
      </c>
      <c r="K206" s="6">
        <f t="shared" si="2"/>
        <v>0.003250795407</v>
      </c>
      <c r="L206" s="7">
        <v>-0.0013777388114276437</v>
      </c>
      <c r="M206" s="8">
        <f t="shared" si="1"/>
        <v>9458990</v>
      </c>
    </row>
    <row r="207">
      <c r="A207" s="3">
        <v>45811.0</v>
      </c>
      <c r="B207" s="4">
        <v>1454.9</v>
      </c>
      <c r="C207" s="4">
        <v>1455.0</v>
      </c>
      <c r="D207" s="4">
        <v>1432.0</v>
      </c>
      <c r="E207" s="4">
        <v>1450.5</v>
      </c>
      <c r="F207" s="4">
        <v>1437.9</v>
      </c>
      <c r="G207" s="4">
        <v>1438.02</v>
      </c>
      <c r="H207" s="1" t="s">
        <v>6840</v>
      </c>
      <c r="I207" s="1" t="s">
        <v>6841</v>
      </c>
      <c r="J207" s="1" t="s">
        <v>6842</v>
      </c>
      <c r="K207" s="6">
        <f t="shared" si="2"/>
        <v>-0.008686659772</v>
      </c>
      <c r="L207" s="7">
        <v>-0.007043849073092519</v>
      </c>
      <c r="M207" s="8">
        <f t="shared" si="1"/>
        <v>11167345</v>
      </c>
    </row>
    <row r="208">
      <c r="A208" s="3">
        <v>45812.0</v>
      </c>
      <c r="B208" s="4">
        <v>1437.4</v>
      </c>
      <c r="C208" s="4">
        <v>1440.1</v>
      </c>
      <c r="D208" s="4">
        <v>1426.4</v>
      </c>
      <c r="E208" s="4">
        <v>1437.9</v>
      </c>
      <c r="F208" s="4">
        <v>1431.0</v>
      </c>
      <c r="G208" s="4">
        <v>1430.63</v>
      </c>
      <c r="H208" s="1" t="s">
        <v>6846</v>
      </c>
      <c r="I208" s="1" t="s">
        <v>6847</v>
      </c>
      <c r="J208" s="1" t="s">
        <v>6848</v>
      </c>
      <c r="K208" s="6">
        <f t="shared" si="2"/>
        <v>-0.004798664719</v>
      </c>
      <c r="L208" s="7">
        <v>0.003165936640521574</v>
      </c>
      <c r="M208" s="8">
        <f t="shared" si="1"/>
        <v>8025388</v>
      </c>
    </row>
    <row r="209">
      <c r="A209" s="3">
        <v>45813.0</v>
      </c>
      <c r="B209" s="4">
        <v>1430.9</v>
      </c>
      <c r="C209" s="4">
        <v>1459.0</v>
      </c>
      <c r="D209" s="4">
        <v>1427.3</v>
      </c>
      <c r="E209" s="4">
        <v>1431.0</v>
      </c>
      <c r="F209" s="4">
        <v>1454.8</v>
      </c>
      <c r="G209" s="4">
        <v>1448.79</v>
      </c>
      <c r="H209" s="1" t="s">
        <v>6852</v>
      </c>
      <c r="I209" s="1" t="s">
        <v>6853</v>
      </c>
      <c r="J209" s="1" t="s">
        <v>6854</v>
      </c>
      <c r="K209" s="6">
        <f t="shared" si="2"/>
        <v>0.01663172607</v>
      </c>
      <c r="L209" s="7">
        <v>0.005308648995540277</v>
      </c>
      <c r="M209" s="8">
        <f t="shared" si="1"/>
        <v>11385668</v>
      </c>
    </row>
    <row r="210">
      <c r="A210" s="3">
        <v>45814.0</v>
      </c>
      <c r="B210" s="4">
        <v>1448.6</v>
      </c>
      <c r="C210" s="4">
        <v>1461.4</v>
      </c>
      <c r="D210" s="4">
        <v>1442.1</v>
      </c>
      <c r="E210" s="4">
        <v>1454.8</v>
      </c>
      <c r="F210" s="4">
        <v>1459.7</v>
      </c>
      <c r="G210" s="4">
        <v>1455.63</v>
      </c>
      <c r="H210" s="1" t="s">
        <v>6858</v>
      </c>
      <c r="I210" s="1" t="s">
        <v>6859</v>
      </c>
      <c r="J210" s="1" t="s">
        <v>6860</v>
      </c>
      <c r="K210" s="6">
        <f t="shared" si="2"/>
        <v>0.003368160572</v>
      </c>
      <c r="L210" s="7">
        <v>0.010187508333030225</v>
      </c>
      <c r="M210" s="8">
        <f t="shared" si="1"/>
        <v>11580994</v>
      </c>
    </row>
    <row r="211">
      <c r="A211" s="3">
        <v>45817.0</v>
      </c>
      <c r="B211" s="4">
        <v>1465.0</v>
      </c>
      <c r="C211" s="4">
        <v>1466.8</v>
      </c>
      <c r="D211" s="4">
        <v>1433.4</v>
      </c>
      <c r="E211" s="4">
        <v>1459.7</v>
      </c>
      <c r="F211" s="4">
        <v>1434.8</v>
      </c>
      <c r="G211" s="4">
        <v>1441.92</v>
      </c>
      <c r="H211" s="1" t="s">
        <v>6864</v>
      </c>
      <c r="I211" s="1" t="s">
        <v>6865</v>
      </c>
      <c r="J211" s="1" t="s">
        <v>6866</v>
      </c>
      <c r="K211" s="6">
        <f t="shared" si="2"/>
        <v>-0.01705829965</v>
      </c>
      <c r="L211" s="7">
        <v>0.004005511327618089</v>
      </c>
      <c r="M211" s="8">
        <f t="shared" si="1"/>
        <v>11022031</v>
      </c>
    </row>
    <row r="212">
      <c r="A212" s="9">
        <v>45818.0</v>
      </c>
      <c r="B212" s="4">
        <v>1439.0</v>
      </c>
      <c r="C212" s="4">
        <v>1441.7</v>
      </c>
      <c r="D212" s="4">
        <v>1416.5</v>
      </c>
      <c r="E212" s="4">
        <v>1434.8</v>
      </c>
      <c r="F212" s="4">
        <v>1422.9</v>
      </c>
      <c r="G212" s="4">
        <v>1422.89</v>
      </c>
      <c r="H212" s="1" t="s">
        <v>6872</v>
      </c>
      <c r="I212" s="1" t="s">
        <v>6873</v>
      </c>
      <c r="J212" s="1" t="s">
        <v>6874</v>
      </c>
      <c r="K212" s="6">
        <f t="shared" si="2"/>
        <v>-0.008293838863</v>
      </c>
      <c r="L212" s="7">
        <v>4.1827336753851E-5</v>
      </c>
      <c r="M212" s="8">
        <f t="shared" si="1"/>
        <v>12905272</v>
      </c>
    </row>
    <row r="213">
      <c r="A213" s="9">
        <v>45819.0</v>
      </c>
      <c r="B213" s="4">
        <v>1421.8</v>
      </c>
      <c r="C213" s="4">
        <v>1434.5</v>
      </c>
      <c r="D213" s="4">
        <v>1418.6</v>
      </c>
      <c r="E213" s="4">
        <v>1422.9</v>
      </c>
      <c r="F213" s="4">
        <v>1431.0</v>
      </c>
      <c r="G213" s="4">
        <v>1430.07</v>
      </c>
      <c r="H213" s="1" t="s">
        <v>6877</v>
      </c>
      <c r="I213" s="1" t="s">
        <v>6878</v>
      </c>
      <c r="J213" s="1" t="s">
        <v>6879</v>
      </c>
      <c r="K213" s="6">
        <f t="shared" si="2"/>
        <v>0.00569259962</v>
      </c>
      <c r="L213" s="7">
        <v>0.001479829112600514</v>
      </c>
      <c r="M213" s="8">
        <f t="shared" si="1"/>
        <v>7136877</v>
      </c>
    </row>
    <row r="214">
      <c r="A214" s="9">
        <v>45820.0</v>
      </c>
      <c r="B214" s="4">
        <v>1430.5</v>
      </c>
      <c r="C214" s="4">
        <v>1436.5</v>
      </c>
      <c r="D214" s="4">
        <v>1420.0</v>
      </c>
      <c r="E214" s="4">
        <v>1431.0</v>
      </c>
      <c r="F214" s="4">
        <v>1425.2</v>
      </c>
      <c r="G214" s="4">
        <v>1425.62</v>
      </c>
      <c r="H214" s="1" t="s">
        <v>6885</v>
      </c>
      <c r="I214" s="1" t="s">
        <v>6887</v>
      </c>
      <c r="J214" s="1" t="s">
        <v>6889</v>
      </c>
      <c r="K214" s="6">
        <f t="shared" si="2"/>
        <v>-0.004053109713</v>
      </c>
      <c r="L214" s="7">
        <v>-0.010071038207896168</v>
      </c>
      <c r="M214" s="8">
        <f t="shared" si="1"/>
        <v>7953247</v>
      </c>
    </row>
    <row r="215">
      <c r="A215" s="9">
        <v>45821.0</v>
      </c>
      <c r="B215" s="4">
        <v>1403.6</v>
      </c>
      <c r="C215" s="4">
        <v>1421.5</v>
      </c>
      <c r="D215" s="4">
        <v>1403.6</v>
      </c>
      <c r="E215" s="4">
        <v>1425.2</v>
      </c>
      <c r="F215" s="4">
        <v>1416.1</v>
      </c>
      <c r="G215" s="4">
        <v>1413.67</v>
      </c>
      <c r="H215" s="1" t="s">
        <v>6890</v>
      </c>
      <c r="I215" s="1" t="s">
        <v>6892</v>
      </c>
      <c r="J215" s="1" t="s">
        <v>6894</v>
      </c>
      <c r="K215" s="6">
        <f t="shared" si="2"/>
        <v>-0.006385068762</v>
      </c>
      <c r="L215" s="7">
        <v>-0.00681447432920027</v>
      </c>
      <c r="M215" s="8">
        <f t="shared" si="1"/>
        <v>7573103</v>
      </c>
    </row>
    <row r="216">
      <c r="A216" s="9">
        <v>45824.0</v>
      </c>
      <c r="B216" s="4">
        <v>1416.6</v>
      </c>
      <c r="C216" s="4">
        <v>1429.0</v>
      </c>
      <c r="D216" s="4">
        <v>1414.2</v>
      </c>
      <c r="E216" s="4">
        <v>1416.1</v>
      </c>
      <c r="F216" s="4">
        <v>1426.9</v>
      </c>
      <c r="G216" s="4">
        <v>1423.44</v>
      </c>
      <c r="H216" s="1" t="s">
        <v>6896</v>
      </c>
      <c r="I216" s="1" t="s">
        <v>6897</v>
      </c>
      <c r="J216" s="11">
        <v>89237.0</v>
      </c>
      <c r="K216" s="6">
        <f t="shared" si="2"/>
        <v>0.007626580044</v>
      </c>
      <c r="L216" s="7">
        <v>0.00921977781913221</v>
      </c>
      <c r="M216" s="8">
        <f t="shared" si="1"/>
        <v>5451137</v>
      </c>
    </row>
    <row r="217">
      <c r="A217" s="9">
        <v>45825.0</v>
      </c>
      <c r="B217" s="4">
        <v>1426.9</v>
      </c>
      <c r="C217" s="4">
        <v>1429.8</v>
      </c>
      <c r="D217" s="4">
        <v>1417.8</v>
      </c>
      <c r="E217" s="4">
        <v>1426.9</v>
      </c>
      <c r="F217" s="4">
        <v>1423.2</v>
      </c>
      <c r="G217" s="4">
        <v>1423.27</v>
      </c>
      <c r="H217" s="1" t="s">
        <v>6902</v>
      </c>
      <c r="I217" s="1" t="s">
        <v>6903</v>
      </c>
      <c r="J217" s="1" t="s">
        <v>6904</v>
      </c>
      <c r="K217" s="6">
        <f t="shared" si="2"/>
        <v>-0.00259303385</v>
      </c>
      <c r="L217" s="7">
        <v>-0.0037319864510050927</v>
      </c>
      <c r="M217" s="8">
        <f t="shared" si="1"/>
        <v>6970098</v>
      </c>
    </row>
    <row r="218">
      <c r="A218" s="9">
        <v>45826.0</v>
      </c>
      <c r="B218" s="4">
        <v>1417.0</v>
      </c>
      <c r="C218" s="4">
        <v>1432.0</v>
      </c>
      <c r="D218" s="4">
        <v>1410.2</v>
      </c>
      <c r="E218" s="4">
        <v>1423.2</v>
      </c>
      <c r="F218" s="4">
        <v>1412.6</v>
      </c>
      <c r="G218" s="4">
        <v>1415.55</v>
      </c>
      <c r="H218" s="1" t="s">
        <v>6908</v>
      </c>
      <c r="I218" s="1" t="s">
        <v>6909</v>
      </c>
      <c r="J218" s="1" t="s">
        <v>6910</v>
      </c>
      <c r="K218" s="6">
        <f t="shared" si="2"/>
        <v>-0.007448004497</v>
      </c>
      <c r="L218" s="7">
        <v>-0.0016637562667482992</v>
      </c>
      <c r="M218" s="8">
        <f t="shared" si="1"/>
        <v>6751745</v>
      </c>
    </row>
    <row r="219">
      <c r="A219" s="9">
        <v>45827.0</v>
      </c>
      <c r="B219" s="4">
        <v>1408.0</v>
      </c>
      <c r="C219" s="4">
        <v>1414.7</v>
      </c>
      <c r="D219" s="4">
        <v>1404.7</v>
      </c>
      <c r="E219" s="4">
        <v>1412.6</v>
      </c>
      <c r="F219" s="4">
        <v>1411.3</v>
      </c>
      <c r="G219" s="4">
        <v>1409.62</v>
      </c>
      <c r="H219" s="1" t="s">
        <v>6915</v>
      </c>
      <c r="I219" s="1" t="s">
        <v>6916</v>
      </c>
      <c r="J219" s="1" t="s">
        <v>6917</v>
      </c>
      <c r="K219" s="6">
        <f t="shared" si="2"/>
        <v>-0.0009202888291</v>
      </c>
      <c r="L219" s="7">
        <v>-7.576963612438018E-4</v>
      </c>
      <c r="M219" s="8">
        <f t="shared" si="1"/>
        <v>8849883</v>
      </c>
    </row>
    <row r="220">
      <c r="A220" s="9">
        <v>45828.0</v>
      </c>
      <c r="B220" s="4">
        <v>1411.3</v>
      </c>
      <c r="C220" s="4">
        <v>1433.3</v>
      </c>
      <c r="D220" s="4">
        <v>1410.2</v>
      </c>
      <c r="E220" s="4">
        <v>1411.3</v>
      </c>
      <c r="F220" s="4">
        <v>1427.1</v>
      </c>
      <c r="G220" s="4">
        <v>1426.55</v>
      </c>
      <c r="H220" s="1" t="s">
        <v>6921</v>
      </c>
      <c r="I220" s="1" t="s">
        <v>6922</v>
      </c>
      <c r="J220" s="1" t="s">
        <v>6923</v>
      </c>
      <c r="K220" s="6">
        <f t="shared" si="2"/>
        <v>0.0111953518</v>
      </c>
      <c r="L220" s="7">
        <v>0.012872455204541618</v>
      </c>
      <c r="M220" s="8">
        <f t="shared" si="1"/>
        <v>12408178</v>
      </c>
    </row>
    <row r="221">
      <c r="A221" s="9">
        <v>45831.0</v>
      </c>
      <c r="B221" s="4">
        <v>1417.0</v>
      </c>
      <c r="C221" s="4">
        <v>1423.2</v>
      </c>
      <c r="D221" s="4">
        <v>1411.9</v>
      </c>
      <c r="E221" s="4">
        <v>1427.1</v>
      </c>
      <c r="F221" s="4">
        <v>1420.1</v>
      </c>
      <c r="G221" s="4">
        <v>1417.98</v>
      </c>
      <c r="H221" s="1" t="s">
        <v>6927</v>
      </c>
      <c r="I221" s="1" t="s">
        <v>6928</v>
      </c>
      <c r="J221" s="1" t="s">
        <v>6929</v>
      </c>
      <c r="K221" s="6">
        <f t="shared" si="2"/>
        <v>-0.004905052204</v>
      </c>
      <c r="L221" s="7">
        <v>-0.005594845574297956</v>
      </c>
      <c r="M221" s="8">
        <f t="shared" si="1"/>
        <v>5514384</v>
      </c>
    </row>
    <row r="222">
      <c r="A222" s="9">
        <v>45832.0</v>
      </c>
      <c r="B222" s="4">
        <v>1427.7</v>
      </c>
      <c r="C222" s="4">
        <v>1435.9</v>
      </c>
      <c r="D222" s="4">
        <v>1416.5</v>
      </c>
      <c r="E222" s="4">
        <v>1420.1</v>
      </c>
      <c r="F222" s="4">
        <v>1424.1</v>
      </c>
      <c r="G222" s="4">
        <v>1425.61</v>
      </c>
      <c r="H222" s="1" t="s">
        <v>6934</v>
      </c>
      <c r="I222" s="1" t="s">
        <v>6935</v>
      </c>
      <c r="J222" s="1" t="s">
        <v>6936</v>
      </c>
      <c r="K222" s="6">
        <f t="shared" si="2"/>
        <v>0.002816703049</v>
      </c>
      <c r="L222" s="7">
        <v>0.0029012610173834224</v>
      </c>
      <c r="M222" s="8">
        <f t="shared" si="1"/>
        <v>11188438</v>
      </c>
    </row>
    <row r="223">
      <c r="A223" s="9">
        <v>45833.0</v>
      </c>
      <c r="B223" s="4">
        <v>1422.0</v>
      </c>
      <c r="C223" s="4">
        <v>1428.9</v>
      </c>
      <c r="D223" s="4">
        <v>1415.3</v>
      </c>
      <c r="E223" s="4">
        <v>1424.1</v>
      </c>
      <c r="F223" s="4">
        <v>1425.8</v>
      </c>
      <c r="G223" s="4">
        <v>1423.08</v>
      </c>
      <c r="H223" s="1" t="s">
        <v>6940</v>
      </c>
      <c r="I223" s="1" t="s">
        <v>6941</v>
      </c>
      <c r="J223" s="1" t="s">
        <v>6942</v>
      </c>
      <c r="K223" s="6">
        <f t="shared" si="2"/>
        <v>0.001193736395</v>
      </c>
      <c r="L223" s="7">
        <v>0.008001804798287895</v>
      </c>
      <c r="M223" s="8">
        <f t="shared" si="1"/>
        <v>7527388</v>
      </c>
    </row>
    <row r="224">
      <c r="A224" s="9">
        <v>45834.0</v>
      </c>
      <c r="B224" s="4">
        <v>1424.8</v>
      </c>
      <c r="C224" s="4">
        <v>1447.5</v>
      </c>
      <c r="D224" s="4">
        <v>1421.7</v>
      </c>
      <c r="E224" s="4">
        <v>1425.8</v>
      </c>
      <c r="F224" s="4">
        <v>1439.1</v>
      </c>
      <c r="G224" s="4">
        <v>1436.85</v>
      </c>
      <c r="H224" s="1" t="s">
        <v>6947</v>
      </c>
      <c r="I224" s="1" t="s">
        <v>6948</v>
      </c>
      <c r="J224" s="1" t="s">
        <v>6949</v>
      </c>
      <c r="K224" s="6">
        <f t="shared" si="2"/>
        <v>0.009328096507</v>
      </c>
      <c r="L224" s="7">
        <v>0.01205201081412967</v>
      </c>
      <c r="M224" s="8">
        <f t="shared" si="1"/>
        <v>13617435</v>
      </c>
    </row>
    <row r="225">
      <c r="A225" s="9">
        <v>45835.0</v>
      </c>
      <c r="B225" s="4">
        <v>1438.9</v>
      </c>
      <c r="C225" s="4">
        <v>1466.0</v>
      </c>
      <c r="D225" s="4">
        <v>1437.1</v>
      </c>
      <c r="E225" s="4">
        <v>1439.1</v>
      </c>
      <c r="F225" s="4">
        <v>1462.2</v>
      </c>
      <c r="G225" s="4">
        <v>1457.56</v>
      </c>
      <c r="H225" s="1" t="s">
        <v>6953</v>
      </c>
      <c r="I225" s="1" t="s">
        <v>6954</v>
      </c>
      <c r="J225" s="1" t="s">
        <v>6955</v>
      </c>
      <c r="K225" s="6">
        <f t="shared" si="2"/>
        <v>0.01605169898</v>
      </c>
      <c r="L225" s="7">
        <v>0.003475674194684695</v>
      </c>
      <c r="M225" s="8">
        <f t="shared" si="1"/>
        <v>22532899</v>
      </c>
    </row>
    <row r="226">
      <c r="A226" s="9">
        <v>45838.0</v>
      </c>
      <c r="B226" s="4">
        <v>1461.8</v>
      </c>
      <c r="C226" s="4">
        <v>1461.9</v>
      </c>
      <c r="D226" s="4">
        <v>1442.3</v>
      </c>
      <c r="E226" s="4">
        <v>1462.2</v>
      </c>
      <c r="F226" s="4">
        <v>1445.8</v>
      </c>
      <c r="G226" s="4">
        <v>1449.97</v>
      </c>
      <c r="H226" s="1" t="s">
        <v>6960</v>
      </c>
      <c r="I226" s="1" t="s">
        <v>6961</v>
      </c>
      <c r="J226" s="1" t="s">
        <v>6962</v>
      </c>
      <c r="K226" s="6">
        <f t="shared" si="2"/>
        <v>-0.01121597593</v>
      </c>
      <c r="L226" s="7">
        <v>-0.004709842498186272</v>
      </c>
      <c r="M226" s="8">
        <f t="shared" si="1"/>
        <v>6325073</v>
      </c>
    </row>
    <row r="227">
      <c r="A227" s="3">
        <v>45839.0</v>
      </c>
      <c r="B227" s="4">
        <v>1445.7</v>
      </c>
      <c r="C227" s="4">
        <v>1447.6</v>
      </c>
      <c r="D227" s="4">
        <v>1429.6</v>
      </c>
      <c r="E227" s="4">
        <v>1445.8</v>
      </c>
      <c r="F227" s="4">
        <v>1432.0</v>
      </c>
      <c r="G227" s="4">
        <v>1435.52</v>
      </c>
      <c r="H227" s="1" t="s">
        <v>6966</v>
      </c>
      <c r="I227" s="1" t="s">
        <v>6967</v>
      </c>
      <c r="J227" s="1" t="s">
        <v>6968</v>
      </c>
      <c r="K227" s="6">
        <f t="shared" si="2"/>
        <v>-0.009544888643</v>
      </c>
      <c r="L227" s="7">
        <v>9.699397069802348E-4</v>
      </c>
      <c r="M227" s="8">
        <f t="shared" si="1"/>
        <v>7761449</v>
      </c>
    </row>
    <row r="228">
      <c r="A228" s="3">
        <v>45840.0</v>
      </c>
      <c r="B228" s="4">
        <v>1432.2</v>
      </c>
      <c r="C228" s="4">
        <v>1451.0</v>
      </c>
      <c r="D228" s="4">
        <v>1422.6</v>
      </c>
      <c r="E228" s="4">
        <v>1432.0</v>
      </c>
      <c r="F228" s="4">
        <v>1427.8</v>
      </c>
      <c r="G228" s="4">
        <v>1430.58</v>
      </c>
      <c r="H228" s="1" t="s">
        <v>6970</v>
      </c>
      <c r="I228" s="1" t="s">
        <v>6972</v>
      </c>
      <c r="J228" s="1" t="s">
        <v>6973</v>
      </c>
      <c r="K228" s="6">
        <f t="shared" si="2"/>
        <v>-0.002932960894</v>
      </c>
      <c r="L228" s="7">
        <v>-0.00346099335207377</v>
      </c>
      <c r="M228" s="8">
        <f t="shared" si="1"/>
        <v>13372280</v>
      </c>
    </row>
    <row r="229">
      <c r="A229" s="3">
        <v>45841.0</v>
      </c>
      <c r="B229" s="4">
        <v>1432.1</v>
      </c>
      <c r="C229" s="4">
        <v>1446.1</v>
      </c>
      <c r="D229" s="4">
        <v>1423.7</v>
      </c>
      <c r="E229" s="4">
        <v>1427.8</v>
      </c>
      <c r="F229" s="4">
        <v>1425.9</v>
      </c>
      <c r="G229" s="4">
        <v>1429.96</v>
      </c>
      <c r="H229" s="1" t="s">
        <v>6976</v>
      </c>
      <c r="I229" s="1" t="s">
        <v>6979</v>
      </c>
      <c r="J229" s="1" t="s">
        <v>6981</v>
      </c>
      <c r="K229" s="6">
        <f t="shared" si="2"/>
        <v>-0.001330718588</v>
      </c>
      <c r="L229" s="7">
        <v>-0.0018897278948982132</v>
      </c>
      <c r="M229" s="8">
        <f t="shared" si="1"/>
        <v>10177738</v>
      </c>
    </row>
    <row r="230">
      <c r="A230" s="3">
        <v>45842.0</v>
      </c>
      <c r="B230" s="4">
        <v>1427.0</v>
      </c>
      <c r="C230" s="4">
        <v>1444.4</v>
      </c>
      <c r="D230" s="4">
        <v>1421.1</v>
      </c>
      <c r="E230" s="4">
        <v>1425.9</v>
      </c>
      <c r="F230" s="4">
        <v>1442.8</v>
      </c>
      <c r="G230" s="4">
        <v>1433.52</v>
      </c>
      <c r="H230" s="1" t="s">
        <v>6984</v>
      </c>
      <c r="I230" s="1" t="s">
        <v>6985</v>
      </c>
      <c r="J230" s="1" t="s">
        <v>6987</v>
      </c>
      <c r="K230" s="6">
        <f t="shared" si="2"/>
        <v>0.01185216355</v>
      </c>
      <c r="L230" s="7">
        <v>0.0021924559048702723</v>
      </c>
      <c r="M230" s="8">
        <f t="shared" si="1"/>
        <v>5066503</v>
      </c>
    </row>
    <row r="231">
      <c r="A231" s="3">
        <v>45845.0</v>
      </c>
      <c r="B231" s="4">
        <v>1437.0</v>
      </c>
      <c r="C231" s="4">
        <v>1440.9</v>
      </c>
      <c r="D231" s="4">
        <v>1429.6</v>
      </c>
      <c r="E231" s="4">
        <v>1442.8</v>
      </c>
      <c r="F231" s="4">
        <v>1435.7</v>
      </c>
      <c r="G231" s="4">
        <v>1433.38</v>
      </c>
      <c r="H231" s="1" t="s">
        <v>6993</v>
      </c>
      <c r="I231" s="1" t="s">
        <v>6994</v>
      </c>
      <c r="J231" s="1" t="s">
        <v>6995</v>
      </c>
      <c r="K231" s="6">
        <f t="shared" si="2"/>
        <v>-0.00492098697</v>
      </c>
      <c r="L231" s="7">
        <v>1.1782726522888827E-5</v>
      </c>
      <c r="M231" s="8">
        <f t="shared" si="1"/>
        <v>5177477</v>
      </c>
    </row>
    <row r="232">
      <c r="A232" s="3">
        <v>45846.0</v>
      </c>
      <c r="B232" s="4">
        <v>1432.0</v>
      </c>
      <c r="C232" s="4">
        <v>1445.0</v>
      </c>
      <c r="D232" s="4">
        <v>1430.0</v>
      </c>
      <c r="E232" s="4">
        <v>1435.7</v>
      </c>
      <c r="F232" s="4">
        <v>1442.0</v>
      </c>
      <c r="G232" s="4">
        <v>1440.56</v>
      </c>
      <c r="H232" s="1" t="s">
        <v>6999</v>
      </c>
      <c r="I232" s="1" t="s">
        <v>7000</v>
      </c>
      <c r="J232" s="1" t="s">
        <v>7001</v>
      </c>
      <c r="K232" s="6">
        <f t="shared" si="2"/>
        <v>0.004388103364</v>
      </c>
      <c r="L232" s="7">
        <v>0.002403647889149444</v>
      </c>
      <c r="M232" s="8">
        <f t="shared" si="1"/>
        <v>5315847</v>
      </c>
    </row>
    <row r="233">
      <c r="A233" s="3">
        <v>45847.0</v>
      </c>
      <c r="B233" s="4">
        <v>1436.2</v>
      </c>
      <c r="C233" s="4">
        <v>1438.7</v>
      </c>
      <c r="D233" s="4">
        <v>1426.6</v>
      </c>
      <c r="E233" s="4">
        <v>1442.0</v>
      </c>
      <c r="F233" s="4">
        <v>1431.9</v>
      </c>
      <c r="G233" s="4">
        <v>1431.91</v>
      </c>
      <c r="H233" s="1" t="s">
        <v>7005</v>
      </c>
      <c r="I233" s="1" t="s">
        <v>7006</v>
      </c>
      <c r="J233" s="1" t="s">
        <v>7008</v>
      </c>
      <c r="K233" s="6">
        <f t="shared" si="2"/>
        <v>-0.007004160888</v>
      </c>
      <c r="L233" s="7">
        <v>-0.0018180037222059538</v>
      </c>
      <c r="M233" s="8">
        <f t="shared" si="1"/>
        <v>8827347</v>
      </c>
    </row>
    <row r="234">
      <c r="A234" s="9">
        <v>45848.0</v>
      </c>
      <c r="B234" s="4">
        <v>1436.8</v>
      </c>
      <c r="C234" s="4">
        <v>1439.0</v>
      </c>
      <c r="D234" s="4">
        <v>1422.1</v>
      </c>
      <c r="E234" s="4">
        <v>1431.9</v>
      </c>
      <c r="F234" s="4">
        <v>1424.1</v>
      </c>
      <c r="G234" s="4">
        <v>1426.47</v>
      </c>
      <c r="H234" s="1" t="s">
        <v>7012</v>
      </c>
      <c r="I234" s="1" t="s">
        <v>7013</v>
      </c>
      <c r="J234" s="1" t="s">
        <v>7015</v>
      </c>
      <c r="K234" s="6">
        <f t="shared" si="2"/>
        <v>-0.005447307773</v>
      </c>
      <c r="L234" s="7">
        <v>-0.004743661706462079</v>
      </c>
      <c r="M234" s="8">
        <f t="shared" si="1"/>
        <v>7795964</v>
      </c>
    </row>
    <row r="235">
      <c r="A235" s="9">
        <v>45849.0</v>
      </c>
      <c r="B235" s="4">
        <v>1422.0</v>
      </c>
      <c r="C235" s="4">
        <v>1428.0</v>
      </c>
      <c r="D235" s="4">
        <v>1414.6</v>
      </c>
      <c r="E235" s="4">
        <v>1424.1</v>
      </c>
      <c r="F235" s="4">
        <v>1421.9</v>
      </c>
      <c r="G235" s="4">
        <v>1420.14</v>
      </c>
      <c r="H235" s="1" t="s">
        <v>7019</v>
      </c>
      <c r="I235" s="1" t="s">
        <v>7021</v>
      </c>
      <c r="J235" s="1" t="s">
        <v>7022</v>
      </c>
      <c r="K235" s="6">
        <f t="shared" si="2"/>
        <v>-0.001544835335</v>
      </c>
      <c r="L235" s="7">
        <v>-0.008100886404196426</v>
      </c>
      <c r="M235" s="8">
        <f t="shared" si="1"/>
        <v>7158015</v>
      </c>
    </row>
    <row r="236">
      <c r="A236" s="9">
        <v>45852.0</v>
      </c>
      <c r="B236" s="4">
        <v>1424.9</v>
      </c>
      <c r="C236" s="4">
        <v>1424.9</v>
      </c>
      <c r="D236" s="4">
        <v>1416.1</v>
      </c>
      <c r="E236" s="4">
        <v>1421.9</v>
      </c>
      <c r="F236" s="4">
        <v>1423.0</v>
      </c>
      <c r="G236" s="4">
        <v>1421.21</v>
      </c>
      <c r="H236" s="1" t="s">
        <v>7023</v>
      </c>
      <c r="I236" s="1" t="s">
        <v>7024</v>
      </c>
      <c r="J236" s="1" t="s">
        <v>7025</v>
      </c>
      <c r="K236" s="6">
        <f t="shared" si="2"/>
        <v>0.0007736127716</v>
      </c>
      <c r="L236" s="7">
        <v>-0.0026859007111374135</v>
      </c>
      <c r="M236" s="8">
        <f t="shared" si="1"/>
        <v>5846154</v>
      </c>
    </row>
    <row r="237">
      <c r="A237" s="9">
        <v>45853.0</v>
      </c>
      <c r="B237" s="4">
        <v>1421.1</v>
      </c>
      <c r="C237" s="4">
        <v>1433.8</v>
      </c>
      <c r="D237" s="4">
        <v>1419.0</v>
      </c>
      <c r="E237" s="4">
        <v>1423.0</v>
      </c>
      <c r="F237" s="4">
        <v>1430.8</v>
      </c>
      <c r="G237" s="4">
        <v>1426.47</v>
      </c>
      <c r="H237" s="1" t="s">
        <v>7027</v>
      </c>
      <c r="I237" s="1" t="s">
        <v>7029</v>
      </c>
      <c r="J237" s="1" t="s">
        <v>7031</v>
      </c>
      <c r="K237" s="6">
        <f t="shared" si="2"/>
        <v>0.005481377372</v>
      </c>
      <c r="L237" s="7">
        <v>0.004525103359739737</v>
      </c>
      <c r="M237" s="8">
        <f t="shared" si="1"/>
        <v>6041457</v>
      </c>
    </row>
    <row r="238">
      <c r="A238" s="9">
        <v>45854.0</v>
      </c>
      <c r="B238" s="4">
        <v>1426.0</v>
      </c>
      <c r="C238" s="4">
        <v>1429.2</v>
      </c>
      <c r="D238" s="4">
        <v>1419.1</v>
      </c>
      <c r="E238" s="4">
        <v>1430.8</v>
      </c>
      <c r="F238" s="4">
        <v>1426.4</v>
      </c>
      <c r="G238" s="4">
        <v>1425.18</v>
      </c>
      <c r="H238" s="1" t="s">
        <v>7035</v>
      </c>
      <c r="I238" s="1" t="s">
        <v>7036</v>
      </c>
      <c r="J238" s="1" t="s">
        <v>7037</v>
      </c>
      <c r="K238" s="6">
        <f t="shared" si="2"/>
        <v>-0.003075202684</v>
      </c>
      <c r="L238" s="7">
        <v>6.449487613014868E-4</v>
      </c>
      <c r="M238" s="8">
        <f t="shared" si="1"/>
        <v>5649093</v>
      </c>
    </row>
    <row r="239">
      <c r="A239" s="9">
        <v>45855.0</v>
      </c>
      <c r="B239" s="4">
        <v>1421.0</v>
      </c>
      <c r="C239" s="4">
        <v>1423.2</v>
      </c>
      <c r="D239" s="4">
        <v>1409.5</v>
      </c>
      <c r="E239" s="4">
        <v>1426.4</v>
      </c>
      <c r="F239" s="4">
        <v>1418.7</v>
      </c>
      <c r="G239" s="4">
        <v>1416.65</v>
      </c>
      <c r="H239" s="1" t="s">
        <v>7041</v>
      </c>
      <c r="I239" s="1" t="s">
        <v>7042</v>
      </c>
      <c r="J239" s="1" t="s">
        <v>7043</v>
      </c>
      <c r="K239" s="6">
        <f t="shared" si="2"/>
        <v>-0.005398205272</v>
      </c>
      <c r="L239" s="7">
        <v>-0.0039901555010401196</v>
      </c>
      <c r="M239" s="8">
        <f t="shared" si="1"/>
        <v>12927394</v>
      </c>
    </row>
    <row r="240">
      <c r="A240" s="9">
        <v>45856.0</v>
      </c>
      <c r="B240" s="4">
        <v>1415.8</v>
      </c>
      <c r="C240" s="4">
        <v>1429.0</v>
      </c>
      <c r="D240" s="4">
        <v>1408.5</v>
      </c>
      <c r="E240" s="4">
        <v>1418.7</v>
      </c>
      <c r="F240" s="4">
        <v>1425.8</v>
      </c>
      <c r="G240" s="4">
        <v>1418.92</v>
      </c>
      <c r="H240" s="1" t="s">
        <v>7044</v>
      </c>
      <c r="I240" s="1" t="s">
        <v>7045</v>
      </c>
      <c r="J240" s="1" t="s">
        <v>7048</v>
      </c>
      <c r="K240" s="6">
        <f t="shared" si="2"/>
        <v>0.005004581659</v>
      </c>
      <c r="L240" s="7">
        <v>-0.00569660453697414</v>
      </c>
      <c r="M240" s="8">
        <f t="shared" si="1"/>
        <v>11297246</v>
      </c>
    </row>
    <row r="241">
      <c r="A241" s="9">
        <v>45859.0</v>
      </c>
      <c r="B241" s="4">
        <v>1448.0</v>
      </c>
      <c r="C241" s="4">
        <v>1467.7</v>
      </c>
      <c r="D241" s="4">
        <v>1437.0</v>
      </c>
      <c r="E241" s="4">
        <v>1425.8</v>
      </c>
      <c r="F241" s="4">
        <v>1465.8</v>
      </c>
      <c r="G241" s="4">
        <v>1457.79</v>
      </c>
      <c r="H241" s="1" t="s">
        <v>7053</v>
      </c>
      <c r="I241" s="1" t="s">
        <v>7054</v>
      </c>
      <c r="J241" s="1" t="s">
        <v>7055</v>
      </c>
      <c r="K241" s="6">
        <f t="shared" si="2"/>
        <v>0.02805442559</v>
      </c>
      <c r="L241" s="7">
        <v>0.00489819131382064</v>
      </c>
      <c r="M241" s="8">
        <f t="shared" si="1"/>
        <v>13867136</v>
      </c>
    </row>
    <row r="242">
      <c r="A242" s="9">
        <v>45860.0</v>
      </c>
      <c r="B242" s="4">
        <v>1474.1</v>
      </c>
      <c r="C242" s="4">
        <v>1482.0</v>
      </c>
      <c r="D242" s="4">
        <v>1469.7</v>
      </c>
      <c r="E242" s="4">
        <v>1465.8</v>
      </c>
      <c r="F242" s="4">
        <v>1473.6</v>
      </c>
      <c r="G242" s="4">
        <v>1474.9</v>
      </c>
      <c r="H242" s="1" t="s">
        <v>7061</v>
      </c>
      <c r="I242" s="1" t="s">
        <v>7062</v>
      </c>
      <c r="J242" s="1" t="s">
        <v>7063</v>
      </c>
      <c r="K242" s="6">
        <f t="shared" si="2"/>
        <v>0.005321326238</v>
      </c>
      <c r="L242" s="7">
        <v>-0.0011876910568457346</v>
      </c>
      <c r="M242" s="8">
        <f t="shared" si="1"/>
        <v>8930165</v>
      </c>
    </row>
    <row r="243">
      <c r="A243" s="9">
        <v>45861.0</v>
      </c>
      <c r="B243" s="4">
        <v>1482.9</v>
      </c>
      <c r="C243" s="4">
        <v>1490.0</v>
      </c>
      <c r="D243" s="4">
        <v>1472.6</v>
      </c>
      <c r="E243" s="4">
        <v>1473.6</v>
      </c>
      <c r="F243" s="4">
        <v>1488.6</v>
      </c>
      <c r="G243" s="4">
        <v>1483.02</v>
      </c>
      <c r="H243" s="1" t="s">
        <v>7067</v>
      </c>
      <c r="I243" s="1" t="s">
        <v>7068</v>
      </c>
      <c r="J243" s="1" t="s">
        <v>7069</v>
      </c>
      <c r="K243" s="6">
        <f t="shared" si="2"/>
        <v>0.01017915309</v>
      </c>
      <c r="L243" s="7">
        <v>0.006344544689137261</v>
      </c>
      <c r="M243" s="8">
        <f t="shared" si="1"/>
        <v>11974174</v>
      </c>
    </row>
    <row r="244">
      <c r="A244" s="9">
        <v>45862.0</v>
      </c>
      <c r="B244" s="4">
        <v>1487.7</v>
      </c>
      <c r="C244" s="4">
        <v>1488.7</v>
      </c>
      <c r="D244" s="4">
        <v>1478.1</v>
      </c>
      <c r="E244" s="4">
        <v>1488.6</v>
      </c>
      <c r="F244" s="4">
        <v>1483.4</v>
      </c>
      <c r="G244" s="4">
        <v>1484.44</v>
      </c>
      <c r="H244" s="1" t="s">
        <v>7072</v>
      </c>
      <c r="I244" s="1" t="s">
        <v>7073</v>
      </c>
      <c r="J244" s="1" t="s">
        <v>7074</v>
      </c>
      <c r="K244" s="6">
        <f t="shared" si="2"/>
        <v>-0.003493215101</v>
      </c>
      <c r="L244" s="7">
        <v>-0.0062569637468825375</v>
      </c>
      <c r="M244" s="8">
        <f t="shared" si="1"/>
        <v>6700578</v>
      </c>
    </row>
    <row r="245">
      <c r="A245" s="9">
        <v>45863.0</v>
      </c>
      <c r="B245" s="4">
        <v>1500.0</v>
      </c>
      <c r="C245" s="4">
        <v>1500.0</v>
      </c>
      <c r="D245" s="4">
        <v>1473.6</v>
      </c>
      <c r="E245" s="4">
        <v>1483.4</v>
      </c>
      <c r="F245" s="4">
        <v>1477.1</v>
      </c>
      <c r="G245" s="4">
        <v>1481.47</v>
      </c>
      <c r="H245" s="1" t="s">
        <v>7078</v>
      </c>
      <c r="I245" s="1" t="s">
        <v>7079</v>
      </c>
      <c r="J245" s="1" t="s">
        <v>7081</v>
      </c>
      <c r="K245" s="6">
        <f t="shared" si="2"/>
        <v>-0.004247000135</v>
      </c>
      <c r="L245" s="7">
        <v>-0.008981689483323367</v>
      </c>
      <c r="M245" s="8">
        <f t="shared" si="1"/>
        <v>8696077</v>
      </c>
    </row>
    <row r="246">
      <c r="A246" s="9">
        <v>45866.0</v>
      </c>
      <c r="B246" s="4">
        <v>1477.1</v>
      </c>
      <c r="C246" s="4">
        <v>1493.8</v>
      </c>
      <c r="D246" s="4">
        <v>1477.1</v>
      </c>
      <c r="E246" s="4">
        <v>1477.1</v>
      </c>
      <c r="F246" s="4">
        <v>1488.4</v>
      </c>
      <c r="G246" s="4">
        <v>1487.05</v>
      </c>
      <c r="H246" s="1" t="s">
        <v>7087</v>
      </c>
      <c r="I246" s="1" t="s">
        <v>7088</v>
      </c>
      <c r="J246" s="1" t="s">
        <v>7089</v>
      </c>
      <c r="K246" s="6">
        <f t="shared" si="2"/>
        <v>0.007650125245</v>
      </c>
      <c r="L246" s="7">
        <v>-0.006284978056931133</v>
      </c>
      <c r="M246" s="8">
        <f t="shared" si="1"/>
        <v>7507479</v>
      </c>
    </row>
    <row r="247">
      <c r="A247" s="9">
        <v>45867.0</v>
      </c>
      <c r="B247" s="4">
        <v>1479.9</v>
      </c>
      <c r="C247" s="4">
        <v>1489.8</v>
      </c>
      <c r="D247" s="4">
        <v>1475.4</v>
      </c>
      <c r="E247" s="4">
        <v>1488.4</v>
      </c>
      <c r="F247" s="4">
        <v>1486.2</v>
      </c>
      <c r="G247" s="4">
        <v>1483.47</v>
      </c>
      <c r="H247" s="1" t="s">
        <v>7090</v>
      </c>
      <c r="I247" s="1" t="s">
        <v>7091</v>
      </c>
      <c r="J247" s="1" t="s">
        <v>7092</v>
      </c>
      <c r="K247" s="6">
        <f t="shared" si="2"/>
        <v>-0.001478097286</v>
      </c>
      <c r="L247" s="7">
        <v>0.005680505978306993</v>
      </c>
      <c r="M247" s="8">
        <f t="shared" si="1"/>
        <v>9776027</v>
      </c>
    </row>
    <row r="248">
      <c r="A248" s="9">
        <v>45868.0</v>
      </c>
      <c r="B248" s="4">
        <v>1487.7</v>
      </c>
      <c r="C248" s="4">
        <v>1488.5</v>
      </c>
      <c r="D248" s="4">
        <v>1477.3</v>
      </c>
      <c r="E248" s="4">
        <v>1486.2</v>
      </c>
      <c r="F248" s="4">
        <v>1482.4</v>
      </c>
      <c r="G248" s="4">
        <v>1483.4</v>
      </c>
      <c r="H248" s="1" t="s">
        <v>7096</v>
      </c>
      <c r="I248" s="1" t="s">
        <v>7097</v>
      </c>
      <c r="J248" s="1" t="s">
        <v>7099</v>
      </c>
      <c r="K248" s="6">
        <f t="shared" si="2"/>
        <v>-0.002556856412</v>
      </c>
      <c r="L248" s="7">
        <v>0.0013677878901418845</v>
      </c>
      <c r="M248" s="8">
        <f t="shared" si="1"/>
        <v>7238625</v>
      </c>
    </row>
    <row r="249">
      <c r="A249" s="9">
        <v>45869.0</v>
      </c>
      <c r="B249" s="4">
        <v>1469.9</v>
      </c>
      <c r="C249" s="4">
        <v>1494.5</v>
      </c>
      <c r="D249" s="4">
        <v>1464.0</v>
      </c>
      <c r="E249" s="4">
        <v>1482.4</v>
      </c>
      <c r="F249" s="4">
        <v>1481.4</v>
      </c>
      <c r="G249" s="4">
        <v>1481.12</v>
      </c>
      <c r="H249" s="1" t="s">
        <v>7103</v>
      </c>
      <c r="I249" s="1" t="s">
        <v>7106</v>
      </c>
      <c r="J249" s="1" t="s">
        <v>7107</v>
      </c>
      <c r="K249" s="6">
        <f t="shared" si="2"/>
        <v>-0.0006745817593</v>
      </c>
      <c r="L249" s="7">
        <v>-0.003488224726966984</v>
      </c>
      <c r="M249" s="8">
        <f t="shared" si="1"/>
        <v>12406146</v>
      </c>
    </row>
    <row r="250">
      <c r="A250" s="3">
        <v>45870.0</v>
      </c>
      <c r="B250" s="4">
        <v>1480.4</v>
      </c>
      <c r="C250" s="4">
        <v>1485.1</v>
      </c>
      <c r="D250" s="4">
        <v>1469.8</v>
      </c>
      <c r="E250" s="4">
        <v>1481.4</v>
      </c>
      <c r="F250" s="4">
        <v>1471.6</v>
      </c>
      <c r="G250" s="4">
        <v>1474.75</v>
      </c>
      <c r="H250" s="1" t="s">
        <v>7111</v>
      </c>
      <c r="I250" s="1" t="s">
        <v>7112</v>
      </c>
      <c r="J250" s="1" t="s">
        <v>7113</v>
      </c>
      <c r="K250" s="6">
        <f t="shared" si="2"/>
        <v>-0.006615363845</v>
      </c>
      <c r="L250" s="7">
        <v>-0.008195943613522903</v>
      </c>
      <c r="M250" s="8">
        <f t="shared" si="1"/>
        <v>4416771</v>
      </c>
    </row>
    <row r="251">
      <c r="A251" s="3">
        <v>45873.0</v>
      </c>
      <c r="B251" s="4">
        <v>1476.8</v>
      </c>
      <c r="C251" s="4">
        <v>1478.8</v>
      </c>
      <c r="D251" s="4">
        <v>1461.3</v>
      </c>
      <c r="E251" s="4">
        <v>1471.6</v>
      </c>
      <c r="F251" s="4">
        <v>1463.2</v>
      </c>
      <c r="G251" s="4">
        <v>1466.67</v>
      </c>
      <c r="H251" s="1" t="s">
        <v>7117</v>
      </c>
      <c r="I251" s="1" t="s">
        <v>7118</v>
      </c>
      <c r="J251" s="1" t="s">
        <v>7119</v>
      </c>
      <c r="K251" s="6">
        <f t="shared" si="2"/>
        <v>-0.005708072846</v>
      </c>
      <c r="L251" s="7">
        <v>0.006407399039704359</v>
      </c>
      <c r="M251" s="8">
        <f t="shared" si="1"/>
        <v>6140054</v>
      </c>
    </row>
    <row r="252">
      <c r="A252" s="3">
        <v>45874.0</v>
      </c>
      <c r="B252" s="4">
        <v>1453.0</v>
      </c>
      <c r="C252" s="4">
        <v>1461.5</v>
      </c>
      <c r="D252" s="4">
        <v>1441.0</v>
      </c>
      <c r="E252" s="4">
        <v>1463.2</v>
      </c>
      <c r="F252" s="4">
        <v>1444.4</v>
      </c>
      <c r="G252" s="4">
        <v>1445.77</v>
      </c>
      <c r="H252" s="1" t="s">
        <v>7123</v>
      </c>
      <c r="I252" s="1" t="s">
        <v>7124</v>
      </c>
      <c r="J252" s="1" t="s">
        <v>7125</v>
      </c>
      <c r="K252" s="6">
        <f t="shared" si="2"/>
        <v>-0.01284855112</v>
      </c>
      <c r="L252" s="7">
        <v>-0.002960835667553194</v>
      </c>
      <c r="M252" s="8">
        <f t="shared" si="1"/>
        <v>14799343</v>
      </c>
    </row>
    <row r="253">
      <c r="A253" s="3">
        <v>45875.0</v>
      </c>
      <c r="B253" s="4">
        <v>1442.3</v>
      </c>
      <c r="C253" s="4">
        <v>1454.0</v>
      </c>
      <c r="D253" s="4">
        <v>1441.6</v>
      </c>
      <c r="E253" s="4">
        <v>1444.4</v>
      </c>
      <c r="F253" s="4">
        <v>1443.6</v>
      </c>
      <c r="G253" s="4">
        <v>1446.52</v>
      </c>
      <c r="H253" s="1" t="s">
        <v>7129</v>
      </c>
      <c r="I253" s="1" t="s">
        <v>7130</v>
      </c>
      <c r="J253" s="1" t="s">
        <v>7131</v>
      </c>
      <c r="K253" s="6">
        <f t="shared" si="2"/>
        <v>-0.0005538631958</v>
      </c>
      <c r="L253" s="7">
        <v>-0.0030568509364267723</v>
      </c>
      <c r="M253" s="8">
        <f t="shared" si="1"/>
        <v>7805252</v>
      </c>
    </row>
    <row r="254">
      <c r="A254" s="3">
        <v>45876.0</v>
      </c>
      <c r="B254" s="4">
        <v>1441.1</v>
      </c>
      <c r="C254" s="4">
        <v>1447.9</v>
      </c>
      <c r="D254" s="4">
        <v>1429.1</v>
      </c>
      <c r="E254" s="4">
        <v>1443.6</v>
      </c>
      <c r="F254" s="4">
        <v>1440.3</v>
      </c>
      <c r="G254" s="4">
        <v>1435.71</v>
      </c>
      <c r="H254" s="1" t="s">
        <v>7134</v>
      </c>
      <c r="I254" s="1" t="s">
        <v>7135</v>
      </c>
      <c r="J254" s="1" t="s">
        <v>7136</v>
      </c>
      <c r="K254" s="6">
        <f t="shared" si="2"/>
        <v>-0.002285951787</v>
      </c>
      <c r="L254" s="7">
        <v>8.932132073475729E-4</v>
      </c>
      <c r="M254" s="8">
        <f t="shared" si="1"/>
        <v>7432535</v>
      </c>
    </row>
    <row r="255">
      <c r="A255" s="3">
        <v>45877.0</v>
      </c>
      <c r="B255" s="4">
        <v>1445.9</v>
      </c>
      <c r="C255" s="4">
        <v>1447.6</v>
      </c>
      <c r="D255" s="4">
        <v>1432.0</v>
      </c>
      <c r="E255" s="4">
        <v>1440.3</v>
      </c>
      <c r="F255" s="4">
        <v>1435.9</v>
      </c>
      <c r="G255" s="4">
        <v>1436.99</v>
      </c>
      <c r="H255" s="1" t="s">
        <v>7139</v>
      </c>
      <c r="I255" s="1" t="s">
        <v>7140</v>
      </c>
      <c r="J255" s="1" t="s">
        <v>7141</v>
      </c>
      <c r="K255" s="6">
        <f t="shared" si="2"/>
        <v>-0.003054919114</v>
      </c>
      <c r="L255" s="7">
        <v>-0.009466928767307167</v>
      </c>
      <c r="M255" s="8">
        <f t="shared" si="1"/>
        <v>5415511</v>
      </c>
    </row>
    <row r="256">
      <c r="A256" s="9">
        <v>45880.0</v>
      </c>
      <c r="B256" s="4">
        <v>1427.9</v>
      </c>
      <c r="C256" s="4">
        <v>1438.4</v>
      </c>
      <c r="D256" s="4">
        <v>1420.4</v>
      </c>
      <c r="E256" s="4">
        <v>1435.9</v>
      </c>
      <c r="F256" s="4">
        <v>1436.6</v>
      </c>
      <c r="G256" s="4">
        <v>1428.92</v>
      </c>
      <c r="H256" s="1" t="s">
        <v>7145</v>
      </c>
      <c r="I256" s="1" t="s">
        <v>7146</v>
      </c>
      <c r="J256" s="1" t="s">
        <v>7147</v>
      </c>
      <c r="K256" s="6">
        <f t="shared" si="2"/>
        <v>0.0004874991295</v>
      </c>
      <c r="L256" s="7">
        <v>0.009101804763722484</v>
      </c>
      <c r="M256" s="8">
        <f t="shared" si="1"/>
        <v>8492484</v>
      </c>
    </row>
    <row r="257">
      <c r="A257" s="9">
        <v>45881.0</v>
      </c>
      <c r="B257" s="4">
        <v>1431.0</v>
      </c>
      <c r="C257" s="4">
        <v>1433.8</v>
      </c>
      <c r="D257" s="4">
        <v>1420.1</v>
      </c>
      <c r="E257" s="4">
        <v>1436.6</v>
      </c>
      <c r="F257" s="4">
        <v>1422.0</v>
      </c>
      <c r="G257" s="4">
        <v>1425.1</v>
      </c>
      <c r="H257" s="1" t="s">
        <v>7151</v>
      </c>
      <c r="I257" s="1" t="s">
        <v>7152</v>
      </c>
      <c r="J257" s="1" t="s">
        <v>7153</v>
      </c>
      <c r="K257" s="6">
        <f t="shared" si="2"/>
        <v>-0.01016288459</v>
      </c>
      <c r="L257" s="7">
        <v>-0.003971926028216246</v>
      </c>
      <c r="M257" s="8">
        <f t="shared" si="1"/>
        <v>5913947</v>
      </c>
    </row>
    <row r="258">
      <c r="A258" s="9">
        <v>45882.0</v>
      </c>
      <c r="B258" s="4">
        <v>1424.6</v>
      </c>
      <c r="C258" s="4">
        <v>1427.7</v>
      </c>
      <c r="D258" s="4">
        <v>1415.2</v>
      </c>
      <c r="E258" s="4">
        <v>1422.0</v>
      </c>
      <c r="F258" s="4">
        <v>1420.8</v>
      </c>
      <c r="G258" s="4">
        <v>1421.23</v>
      </c>
      <c r="H258" s="1" t="s">
        <v>7154</v>
      </c>
      <c r="I258" s="1" t="s">
        <v>7156</v>
      </c>
      <c r="J258" s="1" t="s">
        <v>7158</v>
      </c>
      <c r="K258" s="6">
        <f t="shared" si="2"/>
        <v>-0.0008438818565</v>
      </c>
      <c r="L258" s="7">
        <v>0.005388485506831966</v>
      </c>
      <c r="M258" s="8">
        <f t="shared" si="1"/>
        <v>9009465</v>
      </c>
    </row>
    <row r="259">
      <c r="A259" s="9">
        <v>45883.0</v>
      </c>
      <c r="B259" s="4">
        <v>1412.0</v>
      </c>
      <c r="C259" s="4">
        <v>1431.1</v>
      </c>
      <c r="D259" s="4">
        <v>1412.0</v>
      </c>
      <c r="E259" s="4">
        <v>1420.8</v>
      </c>
      <c r="F259" s="4">
        <v>1427.3</v>
      </c>
      <c r="G259" s="4">
        <v>1426.41</v>
      </c>
      <c r="H259" s="1" t="s">
        <v>7160</v>
      </c>
      <c r="I259" s="1" t="s">
        <v>7161</v>
      </c>
      <c r="J259" s="1" t="s">
        <v>7162</v>
      </c>
      <c r="K259" s="6">
        <f t="shared" si="2"/>
        <v>0.004574887387</v>
      </c>
      <c r="L259" s="7">
        <v>4.853905566150499E-4</v>
      </c>
      <c r="M259" s="8">
        <f t="shared" si="1"/>
        <v>7577793</v>
      </c>
    </row>
    <row r="260">
      <c r="A260" s="9">
        <v>45887.0</v>
      </c>
      <c r="B260" s="4">
        <v>1450.0</v>
      </c>
      <c r="C260" s="4">
        <v>1452.4</v>
      </c>
      <c r="D260" s="4">
        <v>1431.0</v>
      </c>
      <c r="E260" s="4">
        <v>1427.3</v>
      </c>
      <c r="F260" s="4">
        <v>1434.6</v>
      </c>
      <c r="G260" s="4">
        <v>1440.6</v>
      </c>
      <c r="H260" s="1" t="s">
        <v>7166</v>
      </c>
      <c r="I260" s="1" t="s">
        <v>7167</v>
      </c>
      <c r="J260" s="1" t="s">
        <v>7168</v>
      </c>
      <c r="K260" s="6">
        <f t="shared" si="2"/>
        <v>0.005114551951</v>
      </c>
      <c r="L260" s="7">
        <v>0.009973083028504443</v>
      </c>
      <c r="M260" s="8">
        <f t="shared" si="1"/>
        <v>6908844</v>
      </c>
    </row>
    <row r="261">
      <c r="A261" s="9">
        <v>45888.0</v>
      </c>
      <c r="B261" s="4">
        <v>1431.1</v>
      </c>
      <c r="C261" s="4">
        <v>1438.5</v>
      </c>
      <c r="D261" s="4">
        <v>1426.3</v>
      </c>
      <c r="E261" s="4">
        <v>1434.6</v>
      </c>
      <c r="F261" s="4">
        <v>1436.3</v>
      </c>
      <c r="G261" s="4">
        <v>1434.78</v>
      </c>
      <c r="H261" s="1" t="s">
        <v>7171</v>
      </c>
      <c r="I261" s="1" t="s">
        <v>7172</v>
      </c>
      <c r="J261" s="1" t="s">
        <v>7173</v>
      </c>
      <c r="K261" s="6">
        <f t="shared" si="2"/>
        <v>0.001184999303</v>
      </c>
      <c r="L261" s="7">
        <v>0.0041685174428537555</v>
      </c>
      <c r="M261" s="8">
        <f t="shared" si="1"/>
        <v>6709554</v>
      </c>
    </row>
    <row r="262">
      <c r="A262" s="9">
        <v>45889.0</v>
      </c>
      <c r="B262" s="4">
        <v>1432.6</v>
      </c>
      <c r="C262" s="4">
        <v>1435.9</v>
      </c>
      <c r="D262" s="4">
        <v>1423.0</v>
      </c>
      <c r="E262" s="4">
        <v>1436.3</v>
      </c>
      <c r="F262" s="4">
        <v>1430.6</v>
      </c>
      <c r="G262" s="4">
        <v>1429.9</v>
      </c>
      <c r="H262" s="1" t="s">
        <v>7177</v>
      </c>
      <c r="I262" s="1" t="s">
        <v>7178</v>
      </c>
      <c r="J262" s="1" t="s">
        <v>7179</v>
      </c>
      <c r="K262" s="6">
        <f t="shared" si="2"/>
        <v>-0.003968530251</v>
      </c>
      <c r="L262" s="7">
        <v>0.0027981657803138756</v>
      </c>
      <c r="M262" s="8">
        <f t="shared" si="1"/>
        <v>5817858</v>
      </c>
    </row>
    <row r="263">
      <c r="A263" s="9">
        <v>45890.0</v>
      </c>
      <c r="B263" s="4">
        <v>1440.1</v>
      </c>
      <c r="C263" s="4">
        <v>1447.8</v>
      </c>
      <c r="D263" s="4">
        <v>1436.4</v>
      </c>
      <c r="E263" s="4">
        <v>1430.6</v>
      </c>
      <c r="F263" s="4">
        <v>1446.0</v>
      </c>
      <c r="G263" s="4">
        <v>1442.76</v>
      </c>
      <c r="H263" s="1" t="s">
        <v>7183</v>
      </c>
      <c r="I263" s="1" t="s">
        <v>7184</v>
      </c>
      <c r="J263" s="1" t="s">
        <v>7185</v>
      </c>
      <c r="K263" s="6">
        <f t="shared" si="2"/>
        <v>0.01076471411</v>
      </c>
      <c r="L263" s="7">
        <v>0.0013253202025504721</v>
      </c>
      <c r="M263" s="8">
        <f t="shared" si="1"/>
        <v>6238645</v>
      </c>
    </row>
    <row r="264">
      <c r="A264" s="9">
        <v>45891.0</v>
      </c>
      <c r="B264" s="4">
        <v>1444.3</v>
      </c>
      <c r="C264" s="4">
        <v>1446.0</v>
      </c>
      <c r="D264" s="4">
        <v>1429.4</v>
      </c>
      <c r="E264" s="4">
        <v>1446.0</v>
      </c>
      <c r="F264" s="4">
        <v>1436.4</v>
      </c>
      <c r="G264" s="4">
        <v>1436.69</v>
      </c>
      <c r="H264" s="1" t="s">
        <v>7186</v>
      </c>
      <c r="I264" s="1" t="s">
        <v>7188</v>
      </c>
      <c r="J264" s="1" t="s">
        <v>7190</v>
      </c>
      <c r="K264" s="6">
        <f t="shared" si="2"/>
        <v>-0.006639004149</v>
      </c>
      <c r="L264" s="7">
        <v>-0.008517466487267712</v>
      </c>
      <c r="M264" s="8">
        <f t="shared" si="1"/>
        <v>6657207</v>
      </c>
    </row>
    <row r="265">
      <c r="A265" s="9">
        <v>45894.0</v>
      </c>
      <c r="B265" s="4">
        <v>1435.9</v>
      </c>
      <c r="C265" s="4">
        <v>1435.9</v>
      </c>
      <c r="D265" s="4">
        <v>1424.0</v>
      </c>
      <c r="E265" s="4">
        <v>1436.4</v>
      </c>
      <c r="F265" s="4">
        <v>1433.2</v>
      </c>
      <c r="G265" s="4">
        <v>1430.14</v>
      </c>
      <c r="H265" s="1" t="s">
        <v>7194</v>
      </c>
      <c r="I265" s="1" t="s">
        <v>7196</v>
      </c>
      <c r="J265" s="1" t="s">
        <v>7197</v>
      </c>
      <c r="K265" s="6">
        <f t="shared" si="2"/>
        <v>-0.002227791701</v>
      </c>
      <c r="L265" s="7">
        <v>0.003926401582623369</v>
      </c>
      <c r="M265" s="8">
        <f t="shared" si="1"/>
        <v>6738427</v>
      </c>
    </row>
    <row r="266">
      <c r="A266" s="9">
        <v>45895.0</v>
      </c>
      <c r="B266" s="4">
        <v>1427.9</v>
      </c>
      <c r="C266" s="4">
        <v>1427.9</v>
      </c>
      <c r="D266" s="4">
        <v>1413.1</v>
      </c>
      <c r="E266" s="4">
        <v>1433.2</v>
      </c>
      <c r="F266" s="4">
        <v>1416.6</v>
      </c>
      <c r="G266" s="4">
        <v>1417.47</v>
      </c>
      <c r="H266" s="1" t="s">
        <v>7201</v>
      </c>
      <c r="I266" s="1" t="s">
        <v>7202</v>
      </c>
      <c r="J266" s="1" t="s">
        <v>7203</v>
      </c>
      <c r="K266" s="6">
        <f t="shared" si="2"/>
        <v>-0.01158247279</v>
      </c>
      <c r="L266" s="7">
        <v>-0.010241211162399524</v>
      </c>
      <c r="M266" s="8">
        <f t="shared" si="1"/>
        <v>8720155</v>
      </c>
    </row>
    <row r="267">
      <c r="A267" s="9">
        <v>45897.0</v>
      </c>
      <c r="B267" s="4">
        <v>1408.0</v>
      </c>
      <c r="C267" s="4">
        <v>1411.8</v>
      </c>
      <c r="D267" s="4">
        <v>1396.3</v>
      </c>
      <c r="E267" s="4">
        <v>1416.6</v>
      </c>
      <c r="F267" s="4">
        <v>1399.1</v>
      </c>
      <c r="G267" s="4">
        <v>1403.02</v>
      </c>
      <c r="H267" s="1" t="s">
        <v>7204</v>
      </c>
      <c r="I267" s="1" t="s">
        <v>7205</v>
      </c>
      <c r="J267" s="1" t="s">
        <v>7206</v>
      </c>
      <c r="K267" s="6">
        <f t="shared" si="2"/>
        <v>-0.01235352252</v>
      </c>
      <c r="L267" s="7">
        <v>-0.008544414566982416</v>
      </c>
      <c r="M267" s="8">
        <f t="shared" si="1"/>
        <v>12990789</v>
      </c>
    </row>
    <row r="268">
      <c r="A268" s="9">
        <v>45898.0</v>
      </c>
      <c r="B268" s="4">
        <v>1392.1</v>
      </c>
      <c r="C268" s="4">
        <v>1405.0</v>
      </c>
      <c r="D268" s="4">
        <v>1392.1</v>
      </c>
      <c r="E268" s="4">
        <v>1399.1</v>
      </c>
      <c r="F268" s="4">
        <v>1397.8</v>
      </c>
      <c r="G268" s="4">
        <v>1399.82</v>
      </c>
      <c r="H268" s="1" t="s">
        <v>7210</v>
      </c>
      <c r="I268" s="1" t="s">
        <v>7211</v>
      </c>
      <c r="J268" s="1" t="s">
        <v>7212</v>
      </c>
      <c r="K268" s="6">
        <f t="shared" si="2"/>
        <v>-0.0009291687513</v>
      </c>
      <c r="L268" s="7">
        <v>-0.0030223379549323866</v>
      </c>
      <c r="M268" s="8">
        <f t="shared" si="1"/>
        <v>8519507</v>
      </c>
    </row>
    <row r="269">
      <c r="A269" s="3">
        <v>45901.0</v>
      </c>
      <c r="B269" s="4">
        <v>1398.1</v>
      </c>
      <c r="C269" s="4">
        <v>1412.4</v>
      </c>
      <c r="D269" s="4">
        <v>1398.1</v>
      </c>
      <c r="E269" s="4">
        <v>1397.8</v>
      </c>
      <c r="F269" s="4">
        <v>1411.0</v>
      </c>
      <c r="G269" s="4">
        <v>1406.76</v>
      </c>
      <c r="H269" s="1" t="s">
        <v>7216</v>
      </c>
      <c r="I269" s="1" t="s">
        <v>7217</v>
      </c>
      <c r="J269" s="1" t="s">
        <v>7218</v>
      </c>
      <c r="K269" s="6">
        <f t="shared" si="2"/>
        <v>0.009443411075</v>
      </c>
      <c r="L269" s="7">
        <v>0.008114022069976306</v>
      </c>
      <c r="M269" s="8">
        <f t="shared" si="1"/>
        <v>4927348</v>
      </c>
    </row>
    <row r="270">
      <c r="A270" s="3">
        <v>45902.0</v>
      </c>
      <c r="B270" s="4">
        <v>1413.9</v>
      </c>
      <c r="C270" s="4">
        <v>1413.9</v>
      </c>
      <c r="D270" s="4">
        <v>1390.0</v>
      </c>
      <c r="E270" s="4">
        <v>1411.0</v>
      </c>
      <c r="F270" s="4">
        <v>1394.2</v>
      </c>
      <c r="G270" s="4">
        <v>1401.96</v>
      </c>
      <c r="H270" s="1" t="s">
        <v>7219</v>
      </c>
      <c r="I270" s="1" t="s">
        <v>7220</v>
      </c>
      <c r="J270" s="1" t="s">
        <v>7221</v>
      </c>
      <c r="K270" s="6">
        <f t="shared" si="2"/>
        <v>-0.01190644933</v>
      </c>
      <c r="L270" s="7">
        <v>-0.001845681531611133</v>
      </c>
      <c r="M270" s="8">
        <f t="shared" si="1"/>
        <v>7163073</v>
      </c>
    </row>
    <row r="271">
      <c r="A271" s="3">
        <v>45903.0</v>
      </c>
      <c r="B271" s="4">
        <v>1389.0</v>
      </c>
      <c r="C271" s="4">
        <v>1400.0</v>
      </c>
      <c r="D271" s="4">
        <v>1384.2</v>
      </c>
      <c r="E271" s="4">
        <v>1394.2</v>
      </c>
      <c r="F271" s="4">
        <v>1397.0</v>
      </c>
      <c r="G271" s="4">
        <v>1392.24</v>
      </c>
      <c r="H271" s="1" t="s">
        <v>7223</v>
      </c>
      <c r="I271" s="1" t="s">
        <v>7225</v>
      </c>
      <c r="J271" s="1" t="s">
        <v>7227</v>
      </c>
      <c r="K271" s="6">
        <f t="shared" si="2"/>
        <v>0.002008320184</v>
      </c>
      <c r="L271" s="7">
        <v>0.005510667382707641</v>
      </c>
      <c r="M271" s="8">
        <f t="shared" si="1"/>
        <v>9813382</v>
      </c>
    </row>
    <row r="272">
      <c r="A272" s="3">
        <v>45904.0</v>
      </c>
      <c r="B272" s="4">
        <v>1409.9</v>
      </c>
      <c r="C272" s="4">
        <v>1415.1</v>
      </c>
      <c r="D272" s="4">
        <v>1401.9</v>
      </c>
      <c r="E272" s="4">
        <v>1397.0</v>
      </c>
      <c r="F272" s="4">
        <v>1405.5</v>
      </c>
      <c r="G272" s="4">
        <v>1408.38</v>
      </c>
      <c r="H272" s="1" t="s">
        <v>7228</v>
      </c>
      <c r="I272" s="1" t="s">
        <v>7229</v>
      </c>
      <c r="J272" s="1" t="s">
        <v>7231</v>
      </c>
      <c r="K272" s="6">
        <f t="shared" si="2"/>
        <v>0.006084466714</v>
      </c>
      <c r="L272" s="7">
        <v>7.788776474253542E-4</v>
      </c>
      <c r="M272" s="8">
        <f t="shared" si="1"/>
        <v>10564859</v>
      </c>
    </row>
    <row r="273">
      <c r="A273" s="3">
        <v>45905.0</v>
      </c>
      <c r="B273" s="4">
        <v>1411.0</v>
      </c>
      <c r="C273" s="4">
        <v>1411.5</v>
      </c>
      <c r="D273" s="4">
        <v>1387.7</v>
      </c>
      <c r="E273" s="4">
        <v>1405.5</v>
      </c>
      <c r="F273" s="4">
        <v>1402.8</v>
      </c>
      <c r="G273" s="4">
        <v>1397.54</v>
      </c>
      <c r="H273" s="1" t="s">
        <v>7233</v>
      </c>
      <c r="I273" s="1" t="s">
        <v>7234</v>
      </c>
      <c r="J273" s="1" t="s">
        <v>1022</v>
      </c>
      <c r="K273" s="6">
        <f t="shared" si="2"/>
        <v>-0.001921024546</v>
      </c>
      <c r="L273" s="7">
        <v>2.708789009594259E-4</v>
      </c>
      <c r="M273" s="8">
        <f t="shared" si="1"/>
        <v>6621077</v>
      </c>
    </row>
    <row r="274">
      <c r="A274" s="3">
        <v>45908.0</v>
      </c>
      <c r="B274" s="4">
        <v>1402.2</v>
      </c>
      <c r="C274" s="4">
        <v>1410.6</v>
      </c>
      <c r="D274" s="4">
        <v>1397.6</v>
      </c>
      <c r="E274" s="4">
        <v>1402.8</v>
      </c>
      <c r="F274" s="4">
        <v>1402.7</v>
      </c>
      <c r="G274" s="4">
        <v>1404.56</v>
      </c>
      <c r="H274" s="1" t="s">
        <v>7238</v>
      </c>
      <c r="I274" s="1" t="s">
        <v>7239</v>
      </c>
      <c r="J274" s="1" t="s">
        <v>7240</v>
      </c>
      <c r="K274" s="6">
        <f t="shared" si="2"/>
        <v>-0.00007128599943</v>
      </c>
      <c r="L274" s="7">
        <v>0.0012994624307829698</v>
      </c>
      <c r="M274" s="8">
        <f t="shared" si="1"/>
        <v>5880943</v>
      </c>
    </row>
    <row r="275">
      <c r="A275" s="3">
        <v>45909.0</v>
      </c>
      <c r="B275" s="4">
        <v>1399.0</v>
      </c>
      <c r="C275" s="4">
        <v>1407.5</v>
      </c>
      <c r="D275" s="4">
        <v>1395.2</v>
      </c>
      <c r="E275" s="4">
        <v>1402.7</v>
      </c>
      <c r="F275" s="4">
        <v>1403.7</v>
      </c>
      <c r="G275" s="4">
        <v>1401.81</v>
      </c>
      <c r="H275" s="1" t="s">
        <v>7244</v>
      </c>
      <c r="I275" s="1" t="s">
        <v>7245</v>
      </c>
      <c r="J275" s="1" t="s">
        <v>7246</v>
      </c>
      <c r="K275" s="6">
        <f t="shared" si="2"/>
        <v>0.0007129108149</v>
      </c>
      <c r="L275" s="7">
        <v>0.0038529617751475722</v>
      </c>
      <c r="M275" s="8">
        <f t="shared" si="1"/>
        <v>6470679</v>
      </c>
    </row>
    <row r="276">
      <c r="A276" s="9">
        <v>45910.0</v>
      </c>
      <c r="B276" s="4">
        <v>1410.0</v>
      </c>
      <c r="C276" s="4">
        <v>1413.7</v>
      </c>
      <c r="D276" s="4">
        <v>1402.1</v>
      </c>
      <c r="E276" s="4">
        <v>1403.7</v>
      </c>
      <c r="F276" s="4">
        <v>1403.9</v>
      </c>
      <c r="G276" s="4">
        <v>1407.17</v>
      </c>
      <c r="H276" s="1" t="s">
        <v>7250</v>
      </c>
      <c r="I276" s="1" t="s">
        <v>7251</v>
      </c>
      <c r="J276" s="1" t="s">
        <v>4728</v>
      </c>
      <c r="K276" s="6">
        <f t="shared" si="2"/>
        <v>0.000142480587</v>
      </c>
      <c r="L276" s="7">
        <v>0.004202086164882623</v>
      </c>
      <c r="M276" s="8">
        <f t="shared" si="1"/>
        <v>7452347</v>
      </c>
    </row>
    <row r="277">
      <c r="A277" s="9">
        <v>45911.0</v>
      </c>
      <c r="B277" s="4">
        <v>1398.0</v>
      </c>
      <c r="C277" s="4">
        <v>1408.0</v>
      </c>
      <c r="D277" s="4">
        <v>1396.0</v>
      </c>
      <c r="E277" s="4">
        <v>1403.9</v>
      </c>
      <c r="F277" s="4">
        <v>1401.6</v>
      </c>
      <c r="G277" s="4">
        <v>1403.25</v>
      </c>
      <c r="H277" s="1" t="s">
        <v>7261</v>
      </c>
      <c r="I277" s="1" t="s">
        <v>7262</v>
      </c>
      <c r="J277" s="1" t="s">
        <v>7263</v>
      </c>
      <c r="K277" s="6">
        <f t="shared" si="2"/>
        <v>-0.001638293326</v>
      </c>
      <c r="L277" s="7">
        <v>0.0012973959980940074</v>
      </c>
      <c r="M277" s="8">
        <f t="shared" si="1"/>
        <v>10192026</v>
      </c>
    </row>
    <row r="278">
      <c r="A278" s="9">
        <v>45912.0</v>
      </c>
      <c r="B278" s="4">
        <v>1405.1</v>
      </c>
      <c r="C278" s="4">
        <v>1419.7</v>
      </c>
      <c r="D278" s="4">
        <v>1400.1</v>
      </c>
      <c r="E278" s="4">
        <v>1401.6</v>
      </c>
      <c r="F278" s="4">
        <v>1417.7</v>
      </c>
      <c r="G278" s="4">
        <v>1412.86</v>
      </c>
      <c r="H278" s="1" t="s">
        <v>7267</v>
      </c>
      <c r="I278" s="1" t="s">
        <v>7268</v>
      </c>
      <c r="J278" s="1" t="s">
        <v>7269</v>
      </c>
      <c r="K278" s="6">
        <f t="shared" si="2"/>
        <v>0.01148687215</v>
      </c>
      <c r="L278" s="7">
        <v>0.0043390454100097975</v>
      </c>
      <c r="M278" s="8">
        <f t="shared" si="1"/>
        <v>7770038</v>
      </c>
    </row>
    <row r="279">
      <c r="A279" s="9">
        <v>45915.0</v>
      </c>
      <c r="B279" s="4">
        <v>1422.0</v>
      </c>
      <c r="C279" s="4">
        <v>1426.8</v>
      </c>
      <c r="D279" s="4">
        <v>1416.3</v>
      </c>
      <c r="E279" s="4">
        <v>1417.7</v>
      </c>
      <c r="F279" s="4">
        <v>1419.4</v>
      </c>
      <c r="G279" s="4">
        <v>1421.99</v>
      </c>
      <c r="H279" s="1" t="s">
        <v>7273</v>
      </c>
      <c r="I279" s="1" t="s">
        <v>7274</v>
      </c>
      <c r="J279" s="1" t="s">
        <v>7275</v>
      </c>
      <c r="K279" s="6">
        <f t="shared" si="2"/>
        <v>0.001199125344</v>
      </c>
      <c r="L279" s="7">
        <v>-0.0017838655729871494</v>
      </c>
      <c r="M279" s="8">
        <f t="shared" si="1"/>
        <v>5845637</v>
      </c>
    </row>
    <row r="280">
      <c r="A280" s="9">
        <v>45916.0</v>
      </c>
      <c r="B280" s="4">
        <v>1414.0</v>
      </c>
      <c r="C280" s="4">
        <v>1424.9</v>
      </c>
      <c r="D280" s="4">
        <v>1413.7</v>
      </c>
      <c r="E280" s="4">
        <v>1419.4</v>
      </c>
      <c r="F280" s="4">
        <v>1421.6</v>
      </c>
      <c r="G280" s="4">
        <v>1420.63</v>
      </c>
      <c r="H280" s="1" t="s">
        <v>7278</v>
      </c>
      <c r="I280" s="1" t="s">
        <v>7279</v>
      </c>
      <c r="J280" s="1" t="s">
        <v>7280</v>
      </c>
      <c r="K280" s="6">
        <f t="shared" si="2"/>
        <v>0.001549950683</v>
      </c>
      <c r="L280" s="7">
        <v>0.006777240598024581</v>
      </c>
      <c r="M280" s="8">
        <f t="shared" si="1"/>
        <v>8213151</v>
      </c>
    </row>
    <row r="281">
      <c r="A281" s="9">
        <v>45917.0</v>
      </c>
      <c r="B281" s="4">
        <v>1420.1</v>
      </c>
      <c r="C281" s="4">
        <v>1426.1</v>
      </c>
      <c r="D281" s="4">
        <v>1416.4</v>
      </c>
      <c r="E281" s="4">
        <v>1421.6</v>
      </c>
      <c r="F281" s="4">
        <v>1419.2</v>
      </c>
      <c r="G281" s="4">
        <v>1420.85</v>
      </c>
      <c r="H281" s="1" t="s">
        <v>7284</v>
      </c>
      <c r="I281" s="1" t="s">
        <v>7285</v>
      </c>
      <c r="J281" s="1" t="s">
        <v>7286</v>
      </c>
      <c r="K281" s="6">
        <f t="shared" si="2"/>
        <v>-0.001688238604</v>
      </c>
      <c r="L281" s="7">
        <v>0.0036114599965926465</v>
      </c>
      <c r="M281" s="8">
        <f t="shared" si="1"/>
        <v>7484283</v>
      </c>
    </row>
    <row r="282">
      <c r="A282" s="9">
        <v>45918.0</v>
      </c>
      <c r="B282" s="4">
        <v>1431.1</v>
      </c>
      <c r="C282" s="4">
        <v>1432.8</v>
      </c>
      <c r="D282" s="4">
        <v>1415.3</v>
      </c>
      <c r="E282" s="4">
        <v>1419.2</v>
      </c>
      <c r="F282" s="4">
        <v>1421.7</v>
      </c>
      <c r="G282" s="4">
        <v>1422.48</v>
      </c>
      <c r="H282" s="1" t="s">
        <v>7289</v>
      </c>
      <c r="I282" s="1" t="s">
        <v>7290</v>
      </c>
      <c r="J282" s="1" t="s">
        <v>7291</v>
      </c>
      <c r="K282" s="6">
        <f t="shared" si="2"/>
        <v>0.001761555806</v>
      </c>
      <c r="L282" s="7">
        <v>0.003685316962919772</v>
      </c>
      <c r="M282" s="8">
        <f t="shared" si="1"/>
        <v>8130537</v>
      </c>
    </row>
    <row r="283">
      <c r="A283" s="9">
        <v>45919.0</v>
      </c>
      <c r="B283" s="4">
        <v>1416.1</v>
      </c>
      <c r="C283" s="4">
        <v>1418.0</v>
      </c>
      <c r="D283" s="4">
        <v>1400.2</v>
      </c>
      <c r="E283" s="4">
        <v>1421.7</v>
      </c>
      <c r="F283" s="4">
        <v>1402.2</v>
      </c>
      <c r="G283" s="4">
        <v>1404.18</v>
      </c>
      <c r="H283" s="1" t="s">
        <v>7295</v>
      </c>
      <c r="I283" s="1" t="s">
        <v>7296</v>
      </c>
      <c r="J283" s="1" t="s">
        <v>7297</v>
      </c>
      <c r="K283" s="6">
        <f t="shared" si="2"/>
        <v>-0.01371597383</v>
      </c>
      <c r="L283" s="7">
        <v>-0.0037976525747730173</v>
      </c>
      <c r="M283" s="8">
        <f t="shared" si="1"/>
        <v>13457344</v>
      </c>
    </row>
    <row r="284">
      <c r="A284" s="9">
        <v>45922.0</v>
      </c>
      <c r="B284" s="4">
        <v>1403.9</v>
      </c>
      <c r="C284" s="4">
        <v>1409.9</v>
      </c>
      <c r="D284" s="4">
        <v>1397.2</v>
      </c>
      <c r="E284" s="4">
        <v>1402.2</v>
      </c>
      <c r="F284" s="4">
        <v>1401.5</v>
      </c>
      <c r="G284" s="4">
        <v>1403.29</v>
      </c>
      <c r="H284" s="1" t="s">
        <v>7301</v>
      </c>
      <c r="I284" s="1" t="s">
        <v>7302</v>
      </c>
      <c r="J284" s="1" t="s">
        <v>7303</v>
      </c>
      <c r="K284" s="6">
        <f t="shared" si="2"/>
        <v>-0.0004992155185</v>
      </c>
      <c r="L284" s="7">
        <v>-0.004923589600841816</v>
      </c>
      <c r="M284" s="8">
        <f t="shared" si="1"/>
        <v>8847948</v>
      </c>
    </row>
    <row r="285">
      <c r="A285" s="9">
        <v>45923.0</v>
      </c>
      <c r="B285" s="4">
        <v>1391.0</v>
      </c>
      <c r="C285" s="4">
        <v>1403.3</v>
      </c>
      <c r="D285" s="4">
        <v>1391.0</v>
      </c>
      <c r="E285" s="4">
        <v>1401.5</v>
      </c>
      <c r="F285" s="4">
        <v>1394.3</v>
      </c>
      <c r="G285" s="4">
        <v>1396.75</v>
      </c>
      <c r="H285" s="1" t="s">
        <v>7307</v>
      </c>
      <c r="I285" s="1" t="s">
        <v>7308</v>
      </c>
      <c r="J285" s="1" t="s">
        <v>7309</v>
      </c>
      <c r="K285" s="6">
        <f t="shared" si="2"/>
        <v>-0.005137352836</v>
      </c>
      <c r="L285" s="7">
        <v>-0.0013034498766979488</v>
      </c>
      <c r="M285" s="8">
        <f t="shared" si="1"/>
        <v>12827524</v>
      </c>
    </row>
    <row r="286">
      <c r="A286" s="9">
        <v>45924.0</v>
      </c>
      <c r="B286" s="4">
        <v>1386.4</v>
      </c>
      <c r="C286" s="4">
        <v>1390.9</v>
      </c>
      <c r="D286" s="4">
        <v>1376.5</v>
      </c>
      <c r="E286" s="4">
        <v>1394.3</v>
      </c>
      <c r="F286" s="4">
        <v>1382.7</v>
      </c>
      <c r="G286" s="4">
        <v>1382.2</v>
      </c>
      <c r="H286" s="1" t="s">
        <v>7313</v>
      </c>
      <c r="I286" s="1" t="s">
        <v>7314</v>
      </c>
      <c r="J286" s="1" t="s">
        <v>7315</v>
      </c>
      <c r="K286" s="6">
        <f t="shared" si="2"/>
        <v>-0.008319586889</v>
      </c>
      <c r="L286" s="7">
        <v>-0.004473668527384276</v>
      </c>
      <c r="M286" s="8">
        <f t="shared" si="1"/>
        <v>9735678</v>
      </c>
    </row>
    <row r="287">
      <c r="A287" s="9">
        <v>45925.0</v>
      </c>
      <c r="B287" s="4">
        <v>1377.0</v>
      </c>
      <c r="C287" s="4">
        <v>1391.5</v>
      </c>
      <c r="D287" s="4">
        <v>1371.8</v>
      </c>
      <c r="E287" s="4">
        <v>1382.7</v>
      </c>
      <c r="F287" s="4">
        <v>1375.8</v>
      </c>
      <c r="G287" s="4">
        <v>1378.32</v>
      </c>
      <c r="H287" s="1" t="s">
        <v>7318</v>
      </c>
      <c r="I287" s="1" t="s">
        <v>7319</v>
      </c>
      <c r="J287" s="1" t="s">
        <v>7320</v>
      </c>
      <c r="K287" s="6">
        <f t="shared" si="2"/>
        <v>-0.004990236494</v>
      </c>
      <c r="L287" s="7">
        <v>-0.006626917136597221</v>
      </c>
      <c r="M287" s="8">
        <f t="shared" si="1"/>
        <v>21613389</v>
      </c>
    </row>
    <row r="288">
      <c r="A288" s="9">
        <v>45926.0</v>
      </c>
      <c r="B288" s="4">
        <v>1368.0</v>
      </c>
      <c r="C288" s="4">
        <v>1372.7</v>
      </c>
      <c r="D288" s="4">
        <v>1357.0</v>
      </c>
      <c r="E288" s="4">
        <v>1375.8</v>
      </c>
      <c r="F288" s="4">
        <v>1359.6</v>
      </c>
      <c r="G288" s="4">
        <v>1363.33</v>
      </c>
      <c r="H288" s="1" t="s">
        <v>7324</v>
      </c>
      <c r="I288" s="1" t="s">
        <v>7325</v>
      </c>
      <c r="J288" s="1" t="s">
        <v>7326</v>
      </c>
      <c r="K288" s="6">
        <f t="shared" si="2"/>
        <v>-0.01177496729</v>
      </c>
      <c r="L288" s="7">
        <v>-0.009487422084822247</v>
      </c>
      <c r="M288" s="8">
        <f t="shared" si="1"/>
        <v>18342280</v>
      </c>
    </row>
    <row r="289">
      <c r="A289" s="9">
        <v>45929.0</v>
      </c>
      <c r="B289" s="4">
        <v>1359.6</v>
      </c>
      <c r="C289" s="4">
        <v>1366.5</v>
      </c>
      <c r="D289" s="4">
        <v>1346.2</v>
      </c>
      <c r="E289" s="4">
        <v>1359.6</v>
      </c>
      <c r="F289" s="4">
        <v>1348.1</v>
      </c>
      <c r="G289" s="4">
        <v>1352.69</v>
      </c>
      <c r="H289" s="1" t="s">
        <v>7330</v>
      </c>
      <c r="I289" s="1" t="s">
        <v>7331</v>
      </c>
      <c r="J289" s="1" t="s">
        <v>7332</v>
      </c>
      <c r="K289" s="6">
        <f t="shared" si="2"/>
        <v>-0.008458370109</v>
      </c>
      <c r="L289" s="7">
        <v>-8.03092310999496E-4</v>
      </c>
      <c r="M289" s="8">
        <f t="shared" si="1"/>
        <v>20563163</v>
      </c>
    </row>
    <row r="290">
      <c r="A290" s="9">
        <v>45930.0</v>
      </c>
      <c r="B290" s="4">
        <v>1353.7</v>
      </c>
      <c r="C290" s="4">
        <v>1356.6</v>
      </c>
      <c r="D290" s="4">
        <v>1342.6</v>
      </c>
      <c r="E290" s="4">
        <v>1348.1</v>
      </c>
      <c r="F290" s="4">
        <v>1348.0</v>
      </c>
      <c r="G290" s="4">
        <v>1349.21</v>
      </c>
      <c r="H290" s="1" t="s">
        <v>7336</v>
      </c>
      <c r="I290" s="1" t="s">
        <v>7337</v>
      </c>
      <c r="J290" s="1" t="s">
        <v>7338</v>
      </c>
      <c r="K290" s="6">
        <f t="shared" si="2"/>
        <v>-0.00007417847341</v>
      </c>
      <c r="L290" s="7">
        <v>-9.661090566636321E-4</v>
      </c>
      <c r="M290" s="8">
        <f t="shared" si="1"/>
        <v>20166871</v>
      </c>
    </row>
    <row r="291">
      <c r="A291" s="3">
        <v>45931.0</v>
      </c>
      <c r="B291" s="4">
        <v>1348.0</v>
      </c>
      <c r="C291" s="4">
        <v>1379.4</v>
      </c>
      <c r="D291" s="4">
        <v>1347.1</v>
      </c>
      <c r="E291" s="4">
        <v>1348.0</v>
      </c>
      <c r="F291" s="4">
        <v>1372.0</v>
      </c>
      <c r="G291" s="4">
        <v>1368.92</v>
      </c>
      <c r="H291" s="1" t="s">
        <v>7342</v>
      </c>
      <c r="I291" s="1" t="s">
        <v>7343</v>
      </c>
      <c r="J291" s="1" t="s">
        <v>7344</v>
      </c>
      <c r="K291" s="6">
        <f t="shared" si="2"/>
        <v>0.0178041543</v>
      </c>
      <c r="L291" s="7">
        <v>0.009150342731531737</v>
      </c>
      <c r="M291" s="8">
        <f t="shared" si="1"/>
        <v>20952632</v>
      </c>
    </row>
    <row r="292">
      <c r="A292" s="3">
        <v>45933.0</v>
      </c>
      <c r="B292" s="4">
        <v>1371.9</v>
      </c>
      <c r="C292" s="4">
        <v>1371.9</v>
      </c>
      <c r="D292" s="4">
        <v>1361.3</v>
      </c>
      <c r="E292" s="4">
        <v>1372.0</v>
      </c>
      <c r="F292" s="4">
        <v>1365.2</v>
      </c>
      <c r="G292" s="4">
        <v>1366.86</v>
      </c>
      <c r="H292" s="1" t="s">
        <v>7348</v>
      </c>
      <c r="I292" s="1" t="s">
        <v>7349</v>
      </c>
      <c r="J292" s="1" t="s">
        <v>7350</v>
      </c>
      <c r="K292" s="6">
        <f t="shared" si="2"/>
        <v>-0.004956268222</v>
      </c>
      <c r="L292" s="7">
        <v>0.002333278306350009</v>
      </c>
      <c r="M292" s="8">
        <f t="shared" si="1"/>
        <v>12163695</v>
      </c>
    </row>
    <row r="293">
      <c r="A293" s="3">
        <v>45936.0</v>
      </c>
      <c r="B293" s="4">
        <v>1371.0</v>
      </c>
      <c r="C293" s="4">
        <v>1372.6</v>
      </c>
      <c r="D293" s="4">
        <v>1359.1</v>
      </c>
      <c r="E293" s="4">
        <v>1365.2</v>
      </c>
      <c r="F293" s="4">
        <v>1363.4</v>
      </c>
      <c r="G293" s="4">
        <v>1364.15</v>
      </c>
      <c r="H293" s="1" t="s">
        <v>7354</v>
      </c>
      <c r="I293" s="1" t="s">
        <v>7355</v>
      </c>
      <c r="J293" s="1" t="s">
        <v>7356</v>
      </c>
      <c r="K293" s="6">
        <f t="shared" si="2"/>
        <v>-0.001318488134</v>
      </c>
      <c r="L293" s="7">
        <v>0.007367163099912689</v>
      </c>
      <c r="M293" s="8">
        <f t="shared" si="1"/>
        <v>14314283</v>
      </c>
    </row>
    <row r="294">
      <c r="A294" s="3">
        <v>45937.0</v>
      </c>
      <c r="B294" s="4">
        <v>1363.6</v>
      </c>
      <c r="C294" s="4">
        <v>1383.1</v>
      </c>
      <c r="D294" s="4">
        <v>1363.6</v>
      </c>
      <c r="E294" s="4">
        <v>1363.4</v>
      </c>
      <c r="F294" s="4">
        <v>1375.9</v>
      </c>
      <c r="G294" s="4">
        <v>1377.91</v>
      </c>
      <c r="H294" s="1" t="s">
        <v>7360</v>
      </c>
      <c r="I294" s="1" t="s">
        <v>7361</v>
      </c>
      <c r="J294" s="1" t="s">
        <v>7362</v>
      </c>
      <c r="K294" s="6">
        <f t="shared" si="2"/>
        <v>0.009168255831</v>
      </c>
      <c r="L294" s="7">
        <v>0.0012222038348887482</v>
      </c>
      <c r="M294" s="8">
        <f t="shared" si="1"/>
        <v>16126464</v>
      </c>
    </row>
    <row r="295">
      <c r="A295" s="3">
        <v>45938.0</v>
      </c>
      <c r="B295" s="4">
        <v>1372.3</v>
      </c>
      <c r="C295" s="4">
        <v>1381.6</v>
      </c>
      <c r="D295" s="4">
        <v>1364.3</v>
      </c>
      <c r="E295" s="4">
        <v>1375.9</v>
      </c>
      <c r="F295" s="4">
        <v>1370.3</v>
      </c>
      <c r="G295" s="4">
        <v>1372.13</v>
      </c>
      <c r="H295" s="1" t="s">
        <v>7366</v>
      </c>
      <c r="I295" s="1" t="s">
        <v>7367</v>
      </c>
      <c r="J295" s="1" t="s">
        <v>7368</v>
      </c>
      <c r="K295" s="6">
        <f t="shared" si="2"/>
        <v>-0.004070063231</v>
      </c>
      <c r="L295" s="7">
        <v>-0.0024752770996044264</v>
      </c>
      <c r="M295" s="8">
        <f t="shared" si="1"/>
        <v>8100832</v>
      </c>
    </row>
    <row r="296">
      <c r="A296" s="3">
        <v>45939.0</v>
      </c>
      <c r="B296" s="4">
        <v>1369.8</v>
      </c>
      <c r="C296" s="4">
        <v>1378.7</v>
      </c>
      <c r="D296" s="4">
        <v>1365.1</v>
      </c>
      <c r="E296" s="4">
        <v>1370.3</v>
      </c>
      <c r="F296" s="4">
        <v>1376.2</v>
      </c>
      <c r="G296" s="4">
        <v>1374.5</v>
      </c>
      <c r="H296" s="1" t="s">
        <v>7372</v>
      </c>
      <c r="I296" s="1" t="s">
        <v>7373</v>
      </c>
      <c r="J296" s="1" t="s">
        <v>7374</v>
      </c>
      <c r="K296" s="6">
        <f t="shared" si="2"/>
        <v>0.004305626505</v>
      </c>
      <c r="L296" s="7">
        <v>0.005416002060196789</v>
      </c>
      <c r="M296" s="8">
        <f t="shared" si="1"/>
        <v>7909575</v>
      </c>
    </row>
    <row r="297">
      <c r="A297" s="9">
        <v>45940.0</v>
      </c>
      <c r="B297" s="4">
        <v>1370.3</v>
      </c>
      <c r="C297" s="4">
        <v>1385.0</v>
      </c>
      <c r="D297" s="4">
        <v>1370.3</v>
      </c>
      <c r="E297" s="4">
        <v>1376.2</v>
      </c>
      <c r="F297" s="4">
        <v>1380.3</v>
      </c>
      <c r="G297" s="4">
        <v>1380.18</v>
      </c>
      <c r="H297" s="1" t="s">
        <v>7378</v>
      </c>
      <c r="I297" s="1" t="s">
        <v>7379</v>
      </c>
      <c r="J297" s="1" t="s">
        <v>7380</v>
      </c>
      <c r="K297" s="6">
        <f t="shared" si="2"/>
        <v>0.002979218137</v>
      </c>
      <c r="L297" s="7">
        <v>0.004112096831838839</v>
      </c>
      <c r="M297" s="8">
        <f t="shared" si="1"/>
        <v>7673816</v>
      </c>
    </row>
    <row r="298">
      <c r="A298" s="9">
        <v>45943.0</v>
      </c>
      <c r="B298" s="4">
        <v>1373.1</v>
      </c>
      <c r="C298" s="4">
        <v>1386.4</v>
      </c>
      <c r="D298" s="4">
        <v>1373.1</v>
      </c>
      <c r="E298" s="4">
        <v>1380.3</v>
      </c>
      <c r="F298" s="4">
        <v>1379.4</v>
      </c>
      <c r="G298" s="4">
        <v>1379.11</v>
      </c>
      <c r="H298" s="1" t="s">
        <v>7384</v>
      </c>
      <c r="I298" s="1" t="s">
        <v>7385</v>
      </c>
      <c r="J298" s="1" t="s">
        <v>7386</v>
      </c>
      <c r="K298" s="6">
        <f t="shared" si="2"/>
        <v>-0.0006520321669</v>
      </c>
      <c r="L298" s="7">
        <v>-0.002293818357270119</v>
      </c>
      <c r="M298" s="8">
        <f t="shared" si="1"/>
        <v>8923018</v>
      </c>
    </row>
    <row r="299">
      <c r="A299" s="9">
        <v>45944.0</v>
      </c>
      <c r="B299" s="4">
        <v>1389.0</v>
      </c>
      <c r="C299" s="4">
        <v>1389.0</v>
      </c>
      <c r="D299" s="4">
        <v>1375.1</v>
      </c>
      <c r="E299" s="4">
        <v>1379.4</v>
      </c>
      <c r="F299" s="4">
        <v>1384.1</v>
      </c>
      <c r="G299" s="4">
        <v>1381.47</v>
      </c>
      <c r="H299" s="1" t="s">
        <v>7390</v>
      </c>
      <c r="I299" s="1" t="s">
        <v>7391</v>
      </c>
      <c r="J299" s="1" t="s">
        <v>7392</v>
      </c>
      <c r="K299" s="6">
        <f t="shared" si="2"/>
        <v>0.003407278527</v>
      </c>
      <c r="L299" s="7">
        <v>-0.003244494566412982</v>
      </c>
      <c r="M299" s="8">
        <f t="shared" si="1"/>
        <v>10610855</v>
      </c>
    </row>
    <row r="300">
      <c r="A300" s="9">
        <v>45945.0</v>
      </c>
      <c r="B300" s="4">
        <v>1386.5</v>
      </c>
      <c r="C300" s="4">
        <v>1400.4</v>
      </c>
      <c r="D300" s="4">
        <v>1385.5</v>
      </c>
      <c r="E300" s="4">
        <v>1384.1</v>
      </c>
      <c r="F300" s="4">
        <v>1398.4</v>
      </c>
      <c r="G300" s="4">
        <v>1394.81</v>
      </c>
      <c r="H300" s="1" t="s">
        <v>7396</v>
      </c>
      <c r="I300" s="1" t="s">
        <v>7397</v>
      </c>
      <c r="J300" s="1" t="s">
        <v>7398</v>
      </c>
      <c r="K300" s="6">
        <f t="shared" si="2"/>
        <v>0.01033162344</v>
      </c>
      <c r="L300" s="7">
        <v>0.007080789803344506</v>
      </c>
      <c r="M300" s="8">
        <f t="shared" si="1"/>
        <v>8988550</v>
      </c>
    </row>
    <row r="301">
      <c r="A301" s="9">
        <v>45946.0</v>
      </c>
      <c r="B301" s="4">
        <v>1401.0</v>
      </c>
      <c r="C301" s="4">
        <v>1418.9</v>
      </c>
      <c r="D301" s="4">
        <v>1399.4</v>
      </c>
      <c r="E301" s="4">
        <v>1398.4</v>
      </c>
      <c r="F301" s="4">
        <v>1417.3</v>
      </c>
      <c r="G301" s="4">
        <v>1412.88</v>
      </c>
      <c r="H301" s="1" t="s">
        <v>7402</v>
      </c>
      <c r="I301" s="1" t="s">
        <v>7403</v>
      </c>
      <c r="J301" s="1" t="s">
        <v>7404</v>
      </c>
      <c r="K301" s="6">
        <f t="shared" si="2"/>
        <v>0.01351544622</v>
      </c>
      <c r="L301" s="7">
        <v>0.01033622853036008</v>
      </c>
      <c r="M301" s="8">
        <f t="shared" si="1"/>
        <v>12185032</v>
      </c>
    </row>
    <row r="302">
      <c r="A302" s="9">
        <v>45947.0</v>
      </c>
      <c r="B302" s="4">
        <v>1412.0</v>
      </c>
      <c r="C302" s="4">
        <v>1439.6</v>
      </c>
      <c r="D302" s="4">
        <v>1410.9</v>
      </c>
      <c r="E302" s="4">
        <v>1417.3</v>
      </c>
      <c r="F302" s="4">
        <v>1436.6</v>
      </c>
      <c r="G302" s="4">
        <v>1427.77</v>
      </c>
      <c r="H302" s="1" t="s">
        <v>7408</v>
      </c>
      <c r="I302" s="1" t="s">
        <v>7409</v>
      </c>
      <c r="J302" s="1" t="s">
        <v>7410</v>
      </c>
      <c r="K302" s="6">
        <f t="shared" si="2"/>
        <v>0.01361744161</v>
      </c>
      <c r="L302" s="7">
        <v>0.004868029688922908</v>
      </c>
      <c r="M302" s="8">
        <f t="shared" si="1"/>
        <v>17037215</v>
      </c>
    </row>
    <row r="303">
      <c r="A303" s="9">
        <v>45950.0</v>
      </c>
      <c r="B303" s="4">
        <v>1442.0</v>
      </c>
      <c r="C303" s="4">
        <v>1445.0</v>
      </c>
      <c r="D303" s="4">
        <v>1389.2</v>
      </c>
      <c r="E303" s="4">
        <v>1436.6</v>
      </c>
      <c r="F303" s="4">
        <v>1390.3</v>
      </c>
      <c r="G303" s="4">
        <v>1401.64</v>
      </c>
      <c r="H303" s="1" t="s">
        <v>7414</v>
      </c>
      <c r="I303" s="1" t="s">
        <v>7415</v>
      </c>
      <c r="J303" s="1" t="s">
        <v>7416</v>
      </c>
      <c r="K303" s="6">
        <f t="shared" si="2"/>
        <v>-0.03222887373</v>
      </c>
      <c r="L303" s="7">
        <v>0.0051847832640020425</v>
      </c>
      <c r="M303" s="8">
        <f t="shared" si="1"/>
        <v>23330227</v>
      </c>
    </row>
    <row r="304">
      <c r="A304" s="9">
        <v>45951.0</v>
      </c>
      <c r="B304" s="4">
        <v>1384.5</v>
      </c>
      <c r="C304" s="4">
        <v>1387.6</v>
      </c>
      <c r="D304" s="4">
        <v>1375.9</v>
      </c>
      <c r="E304" s="4">
        <v>1390.3</v>
      </c>
      <c r="F304" s="4">
        <v>1382.0</v>
      </c>
      <c r="G304" s="4">
        <v>1383.19</v>
      </c>
      <c r="H304" s="1" t="s">
        <v>7420</v>
      </c>
      <c r="I304" s="1" t="s">
        <v>7421</v>
      </c>
      <c r="J304" s="11">
        <v>93955.0</v>
      </c>
      <c r="K304" s="6">
        <f t="shared" si="2"/>
        <v>-0.005969934547</v>
      </c>
      <c r="L304" s="7">
        <v>9.847870712353984E-4</v>
      </c>
      <c r="M304" s="8">
        <f t="shared" si="1"/>
        <v>3415560</v>
      </c>
    </row>
    <row r="305">
      <c r="A305" s="9">
        <v>45953.0</v>
      </c>
      <c r="B305" s="4">
        <v>1385.0</v>
      </c>
      <c r="C305" s="4">
        <v>1389.8</v>
      </c>
      <c r="D305" s="4">
        <v>1360.1</v>
      </c>
      <c r="E305" s="4">
        <v>1382.0</v>
      </c>
      <c r="F305" s="4">
        <v>1363.7</v>
      </c>
      <c r="G305" s="4">
        <v>1375.57</v>
      </c>
      <c r="H305" s="1" t="s">
        <v>7425</v>
      </c>
      <c r="I305" s="1" t="s">
        <v>7426</v>
      </c>
      <c r="J305" s="1" t="s">
        <v>7427</v>
      </c>
      <c r="K305" s="6">
        <f t="shared" si="2"/>
        <v>-0.01324167873</v>
      </c>
      <c r="L305" s="7">
        <v>8.813774228216027E-4</v>
      </c>
      <c r="M305" s="8">
        <f t="shared" si="1"/>
        <v>21124942</v>
      </c>
    </row>
    <row r="306">
      <c r="A306" s="9">
        <v>45954.0</v>
      </c>
      <c r="B306" s="4">
        <v>1368.1</v>
      </c>
      <c r="C306" s="4">
        <v>1381.6</v>
      </c>
      <c r="D306" s="4">
        <v>1368.1</v>
      </c>
      <c r="E306" s="4">
        <v>1363.7</v>
      </c>
      <c r="F306" s="4">
        <v>1377.7</v>
      </c>
      <c r="G306" s="4">
        <v>1376.15</v>
      </c>
      <c r="H306" s="1" t="s">
        <v>7431</v>
      </c>
      <c r="I306" s="1" t="s">
        <v>7432</v>
      </c>
      <c r="J306" s="1" t="s">
        <v>7433</v>
      </c>
      <c r="K306" s="6">
        <f t="shared" si="2"/>
        <v>0.01026618758</v>
      </c>
      <c r="L306" s="7">
        <v>-0.003717450582046548</v>
      </c>
      <c r="M306" s="8">
        <f t="shared" si="1"/>
        <v>10570263</v>
      </c>
    </row>
    <row r="307">
      <c r="A307" s="9">
        <v>45957.0</v>
      </c>
      <c r="B307" s="4">
        <v>1382.1</v>
      </c>
      <c r="C307" s="4">
        <v>1386.8</v>
      </c>
      <c r="D307" s="4">
        <v>1374.0</v>
      </c>
      <c r="E307" s="4">
        <v>1377.7</v>
      </c>
      <c r="F307" s="4">
        <v>1377.6</v>
      </c>
      <c r="G307" s="4">
        <v>1379.13</v>
      </c>
      <c r="H307" s="1" t="s">
        <v>7437</v>
      </c>
      <c r="I307" s="1" t="s">
        <v>7438</v>
      </c>
      <c r="J307" s="1" t="s">
        <v>7439</v>
      </c>
      <c r="K307" s="6">
        <f t="shared" si="2"/>
        <v>-0.00007258474269</v>
      </c>
      <c r="L307" s="7">
        <v>0.0066252764570083065</v>
      </c>
      <c r="M307" s="8">
        <f t="shared" si="1"/>
        <v>11499836</v>
      </c>
    </row>
    <row r="308">
      <c r="A308" s="9">
        <v>45958.0</v>
      </c>
      <c r="B308" s="4">
        <v>1373.0</v>
      </c>
      <c r="C308" s="4">
        <v>1375.8</v>
      </c>
      <c r="D308" s="4">
        <v>1356.2</v>
      </c>
      <c r="E308" s="4">
        <v>1377.6</v>
      </c>
      <c r="F308" s="4">
        <v>1363.1</v>
      </c>
      <c r="G308" s="4">
        <v>1361.81</v>
      </c>
      <c r="H308" s="1" t="s">
        <v>7442</v>
      </c>
      <c r="I308" s="1" t="s">
        <v>7443</v>
      </c>
      <c r="J308" s="1" t="s">
        <v>7444</v>
      </c>
      <c r="K308" s="6">
        <f t="shared" si="2"/>
        <v>-0.01052555168</v>
      </c>
      <c r="L308" s="7">
        <v>-0.0011495780066663411</v>
      </c>
      <c r="M308" s="8">
        <f t="shared" si="1"/>
        <v>26477914</v>
      </c>
    </row>
    <row r="309">
      <c r="A309" s="9">
        <v>45959.0</v>
      </c>
      <c r="B309" s="4">
        <v>1364.6</v>
      </c>
      <c r="C309" s="4">
        <v>1371.7</v>
      </c>
      <c r="D309" s="4">
        <v>1358.4</v>
      </c>
      <c r="E309" s="4">
        <v>1363.1</v>
      </c>
      <c r="F309" s="4">
        <v>1370.4</v>
      </c>
      <c r="G309" s="4">
        <v>1365.15</v>
      </c>
      <c r="H309" s="1" t="s">
        <v>7448</v>
      </c>
      <c r="I309" s="1" t="s">
        <v>7449</v>
      </c>
      <c r="J309" s="1" t="s">
        <v>7450</v>
      </c>
      <c r="K309" s="6">
        <f t="shared" si="2"/>
        <v>0.005355439806</v>
      </c>
      <c r="L309" s="7">
        <v>0.004538058774994052</v>
      </c>
      <c r="M309" s="8">
        <f t="shared" si="1"/>
        <v>16129382</v>
      </c>
    </row>
    <row r="310">
      <c r="A310" s="9">
        <v>45960.0</v>
      </c>
      <c r="B310" s="4">
        <v>1362.4</v>
      </c>
      <c r="C310" s="4">
        <v>1370.2</v>
      </c>
      <c r="D310" s="4">
        <v>1361.3</v>
      </c>
      <c r="E310" s="4">
        <v>1370.4</v>
      </c>
      <c r="F310" s="4">
        <v>1362.4</v>
      </c>
      <c r="G310" s="4">
        <v>1364.23</v>
      </c>
      <c r="H310" s="1" t="s">
        <v>7454</v>
      </c>
      <c r="I310" s="1" t="s">
        <v>7455</v>
      </c>
      <c r="J310" s="1" t="s">
        <v>7456</v>
      </c>
      <c r="K310" s="6">
        <f t="shared" si="2"/>
        <v>-0.005837711617</v>
      </c>
      <c r="L310" s="7">
        <v>-0.006757145763206388</v>
      </c>
      <c r="M310" s="8">
        <f t="shared" si="1"/>
        <v>9324401</v>
      </c>
    </row>
    <row r="311">
      <c r="A311" s="9">
        <v>45961.0</v>
      </c>
      <c r="B311" s="4">
        <v>1357.0</v>
      </c>
      <c r="C311" s="4">
        <v>1362.0</v>
      </c>
      <c r="D311" s="4">
        <v>1343.3</v>
      </c>
      <c r="E311" s="4">
        <v>1362.4</v>
      </c>
      <c r="F311" s="4">
        <v>1345.3</v>
      </c>
      <c r="G311" s="4">
        <v>1349.3</v>
      </c>
      <c r="H311" s="1" t="s">
        <v>7459</v>
      </c>
      <c r="I311" s="1" t="s">
        <v>7461</v>
      </c>
      <c r="J311" s="1" t="s">
        <v>7462</v>
      </c>
      <c r="K311" s="6">
        <f t="shared" si="2"/>
        <v>-0.01255137992</v>
      </c>
      <c r="L311" s="7">
        <v>-0.006018660746545792</v>
      </c>
      <c r="M311" s="8">
        <f t="shared" si="1"/>
        <v>15926798</v>
      </c>
    </row>
    <row r="312">
      <c r="A312" s="3">
        <v>45964.0</v>
      </c>
      <c r="B312" s="4">
        <v>1340.5</v>
      </c>
      <c r="C312" s="4">
        <v>1351.6</v>
      </c>
      <c r="D312" s="4">
        <v>1337.9</v>
      </c>
      <c r="E312" s="4">
        <v>1345.3</v>
      </c>
      <c r="F312" s="4">
        <v>1346.4</v>
      </c>
      <c r="G312" s="4">
        <v>1344.89</v>
      </c>
      <c r="H312" s="1" t="s">
        <v>7463</v>
      </c>
      <c r="I312" s="1" t="s">
        <v>7464</v>
      </c>
      <c r="J312" s="1" t="s">
        <v>7466</v>
      </c>
      <c r="K312" s="6">
        <f t="shared" si="2"/>
        <v>0.0008176614881</v>
      </c>
      <c r="L312" s="7">
        <v>0.0016036793263380518</v>
      </c>
      <c r="M312" s="8">
        <f t="shared" si="1"/>
        <v>11071450</v>
      </c>
    </row>
    <row r="313">
      <c r="A313" s="3">
        <v>45965.0</v>
      </c>
      <c r="B313" s="4">
        <v>1342.6</v>
      </c>
      <c r="C313" s="4">
        <v>1349.8</v>
      </c>
      <c r="D313" s="4">
        <v>1333.2</v>
      </c>
      <c r="E313" s="4">
        <v>1346.4</v>
      </c>
      <c r="F313" s="4">
        <v>1336.9</v>
      </c>
      <c r="G313" s="4">
        <v>1337.49</v>
      </c>
      <c r="H313" s="1" t="s">
        <v>7469</v>
      </c>
      <c r="I313" s="1" t="s">
        <v>7470</v>
      </c>
      <c r="J313" s="1" t="s">
        <v>7471</v>
      </c>
      <c r="K313" s="6">
        <f t="shared" si="2"/>
        <v>-0.007055852644</v>
      </c>
      <c r="L313" s="7">
        <v>-0.006431617006328645</v>
      </c>
      <c r="M313" s="8">
        <f t="shared" si="1"/>
        <v>15211183</v>
      </c>
    </row>
    <row r="314">
      <c r="A314" s="3">
        <v>45967.0</v>
      </c>
      <c r="B314" s="4">
        <v>1330.0</v>
      </c>
      <c r="C314" s="4">
        <v>1342.2</v>
      </c>
      <c r="D314" s="4">
        <v>1317.4</v>
      </c>
      <c r="E314" s="4">
        <v>1336.9</v>
      </c>
      <c r="F314" s="4">
        <v>1320.4</v>
      </c>
      <c r="G314" s="4">
        <v>1324.61</v>
      </c>
      <c r="H314" s="1" t="s">
        <v>7475</v>
      </c>
      <c r="I314" s="1" t="s">
        <v>7476</v>
      </c>
      <c r="J314" s="1" t="s">
        <v>7477</v>
      </c>
      <c r="K314" s="6">
        <f t="shared" si="2"/>
        <v>-0.01234198519</v>
      </c>
      <c r="L314" s="7">
        <v>-0.003435862276419934</v>
      </c>
      <c r="M314" s="8">
        <f t="shared" si="1"/>
        <v>24221853</v>
      </c>
    </row>
    <row r="315">
      <c r="A315" s="3">
        <v>45968.0</v>
      </c>
      <c r="B315" s="4">
        <v>1320.4</v>
      </c>
      <c r="C315" s="4">
        <v>1344.3</v>
      </c>
      <c r="D315" s="4">
        <v>1318.6</v>
      </c>
      <c r="E315" s="4">
        <v>1320.4</v>
      </c>
      <c r="F315" s="4">
        <v>1343.0</v>
      </c>
      <c r="G315" s="4">
        <v>1337.7</v>
      </c>
      <c r="H315" s="1" t="s">
        <v>7481</v>
      </c>
      <c r="I315" s="1" t="s">
        <v>7482</v>
      </c>
      <c r="J315" s="1" t="s">
        <v>7483</v>
      </c>
      <c r="K315" s="6">
        <f t="shared" si="2"/>
        <v>0.01711602545</v>
      </c>
      <c r="L315" s="7">
        <v>-6.820934781671856E-4</v>
      </c>
      <c r="M315" s="8">
        <f t="shared" si="1"/>
        <v>7719245</v>
      </c>
    </row>
    <row r="316">
      <c r="A316" s="9">
        <v>45971.0</v>
      </c>
      <c r="B316" s="4">
        <v>1342.9</v>
      </c>
      <c r="C316" s="4">
        <v>1349.6</v>
      </c>
      <c r="D316" s="4">
        <v>1341.0</v>
      </c>
      <c r="E316" s="4">
        <v>1343.0</v>
      </c>
      <c r="F316" s="4">
        <v>1348.0</v>
      </c>
      <c r="G316" s="4">
        <v>1345.91</v>
      </c>
      <c r="H316" s="1" t="s">
        <v>7487</v>
      </c>
      <c r="I316" s="1" t="s">
        <v>7488</v>
      </c>
      <c r="J316" s="1" t="s">
        <v>7489</v>
      </c>
      <c r="K316" s="6">
        <f t="shared" si="2"/>
        <v>0.003723008191</v>
      </c>
      <c r="L316" s="7">
        <v>0.003218618955527719</v>
      </c>
      <c r="M316" s="8">
        <f t="shared" si="1"/>
        <v>8542340</v>
      </c>
    </row>
    <row r="317">
      <c r="A317" s="9">
        <v>45972.0</v>
      </c>
      <c r="B317" s="4">
        <v>1349.0</v>
      </c>
      <c r="C317" s="4">
        <v>1360.4</v>
      </c>
      <c r="D317" s="4">
        <v>1346.2</v>
      </c>
      <c r="E317" s="4">
        <v>1348.0</v>
      </c>
      <c r="F317" s="4">
        <v>1358.3</v>
      </c>
      <c r="G317" s="4">
        <v>1354.89</v>
      </c>
      <c r="H317" s="1" t="s">
        <v>7493</v>
      </c>
      <c r="I317" s="1" t="s">
        <v>7494</v>
      </c>
      <c r="J317" s="1" t="s">
        <v>7495</v>
      </c>
      <c r="K317" s="6">
        <f t="shared" si="2"/>
        <v>0.007640949555</v>
      </c>
      <c r="L317" s="7">
        <v>0.004715662372650808</v>
      </c>
      <c r="M317" s="8">
        <f t="shared" si="1"/>
        <v>8305184</v>
      </c>
    </row>
    <row r="318">
      <c r="A318" s="9">
        <v>45973.0</v>
      </c>
      <c r="B318" s="4">
        <v>1370.0</v>
      </c>
      <c r="C318" s="4">
        <v>1370.0</v>
      </c>
      <c r="D318" s="4">
        <v>1355.4</v>
      </c>
      <c r="E318" s="4">
        <v>1358.3</v>
      </c>
      <c r="F318" s="4">
        <v>1358.9</v>
      </c>
      <c r="G318" s="4">
        <v>1361.79</v>
      </c>
      <c r="H318" s="1" t="s">
        <v>7499</v>
      </c>
      <c r="I318" s="1" t="s">
        <v>7500</v>
      </c>
      <c r="J318" s="1" t="s">
        <v>7501</v>
      </c>
      <c r="K318" s="6">
        <f t="shared" si="2"/>
        <v>0.0004417286314</v>
      </c>
      <c r="L318" s="7">
        <v>0.007038348002233845</v>
      </c>
      <c r="M318" s="8">
        <f t="shared" si="1"/>
        <v>9736761</v>
      </c>
    </row>
    <row r="319">
      <c r="A319" s="9">
        <v>45974.0</v>
      </c>
      <c r="B319" s="4">
        <v>1358.9</v>
      </c>
      <c r="C319" s="4">
        <v>1390.4</v>
      </c>
      <c r="D319" s="4">
        <v>1358.5</v>
      </c>
      <c r="E319" s="4">
        <v>1358.9</v>
      </c>
      <c r="F319" s="4">
        <v>1385.9</v>
      </c>
      <c r="G319" s="4">
        <v>1383.47</v>
      </c>
      <c r="H319" s="1" t="s">
        <v>7505</v>
      </c>
      <c r="I319" s="1" t="s">
        <v>7506</v>
      </c>
      <c r="J319" s="1" t="s">
        <v>7507</v>
      </c>
      <c r="K319" s="6">
        <f t="shared" si="2"/>
        <v>0.0198690117</v>
      </c>
      <c r="L319" s="7">
        <v>1.2946459626377477E-4</v>
      </c>
      <c r="M319" s="8">
        <f t="shared" si="1"/>
        <v>18296626</v>
      </c>
    </row>
    <row r="320">
      <c r="A320" s="9">
        <v>45975.0</v>
      </c>
      <c r="B320" s="4">
        <v>1374.0</v>
      </c>
      <c r="C320" s="4">
        <v>1381.2</v>
      </c>
      <c r="D320" s="4">
        <v>1363.2</v>
      </c>
      <c r="E320" s="4">
        <v>1385.9</v>
      </c>
      <c r="F320" s="4">
        <v>1373.0</v>
      </c>
      <c r="G320" s="4">
        <v>1370.92</v>
      </c>
      <c r="H320" s="1" t="s">
        <v>7511</v>
      </c>
      <c r="I320" s="1" t="s">
        <v>7512</v>
      </c>
      <c r="J320" s="1" t="s">
        <v>7513</v>
      </c>
      <c r="K320" s="6">
        <f t="shared" si="2"/>
        <v>-0.009308030882</v>
      </c>
      <c r="L320" s="7">
        <v>0.001194011395273717</v>
      </c>
      <c r="M320" s="8">
        <f t="shared" si="1"/>
        <v>9694498</v>
      </c>
    </row>
    <row r="321">
      <c r="A321" s="9">
        <v>45978.0</v>
      </c>
      <c r="B321" s="4">
        <v>1375.1</v>
      </c>
      <c r="C321" s="4">
        <v>1382.5</v>
      </c>
      <c r="D321" s="4">
        <v>1373.6</v>
      </c>
      <c r="E321" s="4">
        <v>1373.0</v>
      </c>
      <c r="F321" s="4">
        <v>1379.0</v>
      </c>
      <c r="G321" s="4">
        <v>1378.91</v>
      </c>
      <c r="H321" s="1" t="s">
        <v>7517</v>
      </c>
      <c r="I321" s="1" t="s">
        <v>7518</v>
      </c>
      <c r="J321" s="1" t="s">
        <v>7519</v>
      </c>
      <c r="K321" s="6">
        <f t="shared" si="2"/>
        <v>0.004369992717</v>
      </c>
      <c r="L321" s="7">
        <v>0.003990729465979474</v>
      </c>
      <c r="M321" s="8">
        <f t="shared" si="1"/>
        <v>7660717</v>
      </c>
    </row>
    <row r="322">
      <c r="A322" s="9">
        <v>45979.0</v>
      </c>
      <c r="B322" s="4">
        <v>1380.2</v>
      </c>
      <c r="C322" s="4">
        <v>1382.8</v>
      </c>
      <c r="D322" s="4">
        <v>1369.1</v>
      </c>
      <c r="E322" s="4">
        <v>1379.0</v>
      </c>
      <c r="F322" s="4">
        <v>1373.4</v>
      </c>
      <c r="G322" s="4">
        <v>1374.73</v>
      </c>
      <c r="H322" s="1" t="s">
        <v>7522</v>
      </c>
      <c r="I322" s="1" t="s">
        <v>7523</v>
      </c>
      <c r="J322" s="1" t="s">
        <v>7524</v>
      </c>
      <c r="K322" s="6">
        <f t="shared" si="2"/>
        <v>-0.004060913706</v>
      </c>
      <c r="L322" s="7">
        <v>-0.003974866847726905</v>
      </c>
      <c r="M322" s="8">
        <f t="shared" si="1"/>
        <v>9529560</v>
      </c>
    </row>
    <row r="323">
      <c r="A323" s="9">
        <v>45980.0</v>
      </c>
      <c r="B323" s="4">
        <v>1373.5</v>
      </c>
      <c r="C323" s="4">
        <v>1384.0</v>
      </c>
      <c r="D323" s="4">
        <v>1371.6</v>
      </c>
      <c r="E323" s="4">
        <v>1373.4</v>
      </c>
      <c r="F323" s="4">
        <v>1383.1</v>
      </c>
      <c r="G323" s="4">
        <v>1379.61</v>
      </c>
      <c r="H323" s="1" t="s">
        <v>7528</v>
      </c>
      <c r="I323" s="1" t="s">
        <v>7529</v>
      </c>
      <c r="J323" s="1" t="s">
        <v>7530</v>
      </c>
      <c r="K323" s="6">
        <f t="shared" si="2"/>
        <v>0.007062763943</v>
      </c>
      <c r="L323" s="7">
        <v>0.005503655917298584</v>
      </c>
      <c r="M323" s="8">
        <f t="shared" si="1"/>
        <v>10393918</v>
      </c>
    </row>
    <row r="324">
      <c r="A324" s="9">
        <v>45981.0</v>
      </c>
      <c r="B324" s="4">
        <v>1380.1</v>
      </c>
      <c r="C324" s="4">
        <v>1388.3</v>
      </c>
      <c r="D324" s="4">
        <v>1375.4</v>
      </c>
      <c r="E324" s="4">
        <v>1383.1</v>
      </c>
      <c r="F324" s="4">
        <v>1383.0</v>
      </c>
      <c r="G324" s="4">
        <v>1381.32</v>
      </c>
      <c r="H324" s="1" t="s">
        <v>7533</v>
      </c>
      <c r="I324" s="1" t="s">
        <v>7534</v>
      </c>
      <c r="J324" s="1" t="s">
        <v>7535</v>
      </c>
      <c r="K324" s="6">
        <f t="shared" si="2"/>
        <v>-0.00007230135204</v>
      </c>
      <c r="L324" s="7">
        <v>0.00535454166850589</v>
      </c>
      <c r="M324" s="8">
        <f t="shared" si="1"/>
        <v>10131863</v>
      </c>
    </row>
    <row r="325">
      <c r="A325" s="9">
        <v>45982.0</v>
      </c>
      <c r="B325" s="4">
        <v>1373.0</v>
      </c>
      <c r="C325" s="4">
        <v>1376.0</v>
      </c>
      <c r="D325" s="4">
        <v>1364.6</v>
      </c>
      <c r="E325" s="4">
        <v>1383.0</v>
      </c>
      <c r="F325" s="4">
        <v>1369.5</v>
      </c>
      <c r="G325" s="4">
        <v>1369.27</v>
      </c>
      <c r="H325" s="1" t="s">
        <v>7538</v>
      </c>
      <c r="I325" s="1" t="s">
        <v>7539</v>
      </c>
      <c r="J325" s="1" t="s">
        <v>7540</v>
      </c>
      <c r="K325" s="6">
        <f t="shared" si="2"/>
        <v>-0.009761388286</v>
      </c>
      <c r="L325" s="7">
        <v>-0.004734242893385995</v>
      </c>
      <c r="M325" s="8">
        <f t="shared" si="1"/>
        <v>11483595</v>
      </c>
    </row>
    <row r="326">
      <c r="A326" s="9">
        <v>45985.0</v>
      </c>
      <c r="B326" s="4">
        <v>1373.3</v>
      </c>
      <c r="C326" s="4">
        <v>1377.0</v>
      </c>
      <c r="D326" s="4">
        <v>1361.5</v>
      </c>
      <c r="E326" s="4">
        <v>1369.5</v>
      </c>
      <c r="F326" s="4">
        <v>1368.4</v>
      </c>
      <c r="G326" s="4">
        <v>1369.72</v>
      </c>
      <c r="H326" s="1" t="s">
        <v>7543</v>
      </c>
      <c r="I326" s="1" t="s">
        <v>7544</v>
      </c>
      <c r="J326" s="1" t="s">
        <v>7545</v>
      </c>
      <c r="K326" s="6">
        <f t="shared" si="2"/>
        <v>-0.0008032128514</v>
      </c>
      <c r="L326" s="7">
        <v>-0.004167921390662607</v>
      </c>
      <c r="M326" s="8">
        <f t="shared" si="1"/>
        <v>15896003</v>
      </c>
    </row>
    <row r="327">
      <c r="A327" s="9">
        <v>45986.0</v>
      </c>
      <c r="B327" s="4">
        <v>1365.0</v>
      </c>
      <c r="C327" s="4">
        <v>1376.9</v>
      </c>
      <c r="D327" s="4">
        <v>1354.3</v>
      </c>
      <c r="E327" s="4">
        <v>1368.4</v>
      </c>
      <c r="F327" s="4">
        <v>1357.8</v>
      </c>
      <c r="G327" s="4">
        <v>1362.23</v>
      </c>
      <c r="H327" s="1" t="s">
        <v>7548</v>
      </c>
      <c r="I327" s="1" t="s">
        <v>7550</v>
      </c>
      <c r="J327" s="1" t="s">
        <v>7551</v>
      </c>
      <c r="K327" s="6">
        <f t="shared" si="2"/>
        <v>-0.00774627302</v>
      </c>
      <c r="L327" s="7">
        <v>-0.0028775592750245856</v>
      </c>
      <c r="M327" s="8">
        <f t="shared" si="1"/>
        <v>12235000</v>
      </c>
    </row>
    <row r="328">
      <c r="A328" s="9">
        <v>45987.0</v>
      </c>
      <c r="B328" s="4">
        <v>1360.0</v>
      </c>
      <c r="C328" s="4">
        <v>1377.0</v>
      </c>
      <c r="D328" s="4">
        <v>1359.9</v>
      </c>
      <c r="E328" s="4">
        <v>1357.8</v>
      </c>
      <c r="F328" s="4">
        <v>1375.0</v>
      </c>
      <c r="G328" s="4">
        <v>1369.92</v>
      </c>
      <c r="H328" s="1" t="s">
        <v>7552</v>
      </c>
      <c r="I328" s="1" t="s">
        <v>7554</v>
      </c>
      <c r="J328" s="1" t="s">
        <v>7556</v>
      </c>
      <c r="K328" s="6">
        <f t="shared" si="2"/>
        <v>0.01266755045</v>
      </c>
      <c r="L328" s="7">
        <v>0.012381783904067252</v>
      </c>
      <c r="M328" s="8">
        <f t="shared" si="1"/>
        <v>9659004</v>
      </c>
    </row>
    <row r="329">
      <c r="A329" s="9">
        <v>45988.0</v>
      </c>
      <c r="B329" s="4">
        <v>1379.0</v>
      </c>
      <c r="C329" s="4">
        <v>1394.0</v>
      </c>
      <c r="D329" s="4">
        <v>1375.7</v>
      </c>
      <c r="E329" s="4">
        <v>1375.0</v>
      </c>
      <c r="F329" s="4">
        <v>1392.2</v>
      </c>
      <c r="G329" s="4">
        <v>1388.89</v>
      </c>
      <c r="H329" s="1" t="s">
        <v>7557</v>
      </c>
      <c r="I329" s="1" t="s">
        <v>7558</v>
      </c>
      <c r="J329" s="1" t="s">
        <v>7560</v>
      </c>
      <c r="K329" s="6">
        <f t="shared" si="2"/>
        <v>0.01250909091</v>
      </c>
      <c r="L329" s="7">
        <v>3.9114224985022116E-4</v>
      </c>
      <c r="M329" s="8">
        <f t="shared" si="1"/>
        <v>15158741</v>
      </c>
    </row>
    <row r="330">
      <c r="A330" s="9">
        <v>45989.0</v>
      </c>
      <c r="B330" s="4">
        <v>1392.0</v>
      </c>
      <c r="C330" s="4">
        <v>1398.5</v>
      </c>
      <c r="D330" s="4">
        <v>1385.6</v>
      </c>
      <c r="E330" s="4">
        <v>1392.2</v>
      </c>
      <c r="F330" s="4">
        <v>1388.8</v>
      </c>
      <c r="G330" s="4">
        <v>1390.33</v>
      </c>
      <c r="H330" s="1" t="s">
        <v>7562</v>
      </c>
      <c r="I330" s="1" t="s">
        <v>7563</v>
      </c>
      <c r="J330" s="1" t="s">
        <v>7564</v>
      </c>
      <c r="K330" s="6">
        <f t="shared" si="2"/>
        <v>-0.002442177848</v>
      </c>
      <c r="L330" s="7">
        <v>-4.806307706684981E-4</v>
      </c>
      <c r="M330" s="8">
        <f t="shared" si="1"/>
        <v>7683986</v>
      </c>
    </row>
    <row r="331">
      <c r="A331" s="3">
        <v>45992.0</v>
      </c>
      <c r="B331" s="4">
        <v>1394.0</v>
      </c>
      <c r="C331" s="4">
        <v>1400.0</v>
      </c>
      <c r="D331" s="4">
        <v>1385.4</v>
      </c>
      <c r="E331" s="4">
        <v>1388.8</v>
      </c>
      <c r="F331" s="4">
        <v>1390.1</v>
      </c>
      <c r="G331" s="4">
        <v>1393.22</v>
      </c>
      <c r="H331" s="1" t="s">
        <v>7567</v>
      </c>
      <c r="I331" s="1" t="s">
        <v>7568</v>
      </c>
      <c r="J331" s="1" t="s">
        <v>7570</v>
      </c>
      <c r="K331" s="6">
        <f t="shared" si="2"/>
        <v>0.0009360599078</v>
      </c>
      <c r="L331" s="7">
        <v>-0.001038051059136499</v>
      </c>
      <c r="M331" s="8">
        <f t="shared" si="1"/>
        <v>8867593</v>
      </c>
    </row>
    <row r="332">
      <c r="A332" s="3">
        <v>45993.0</v>
      </c>
      <c r="B332" s="4">
        <v>1381.8</v>
      </c>
      <c r="C332" s="4">
        <v>1381.8</v>
      </c>
      <c r="D332" s="4">
        <v>1370.6</v>
      </c>
      <c r="E332" s="4">
        <v>1390.1</v>
      </c>
      <c r="F332" s="4">
        <v>1373.0</v>
      </c>
      <c r="G332" s="4">
        <v>1374.68</v>
      </c>
      <c r="H332" s="1" t="s">
        <v>7572</v>
      </c>
      <c r="I332" s="1" t="s">
        <v>7573</v>
      </c>
      <c r="J332" s="1" t="s">
        <v>7575</v>
      </c>
      <c r="K332" s="6">
        <f t="shared" si="2"/>
        <v>-0.01230127329</v>
      </c>
      <c r="L332" s="7">
        <v>-0.005484083550614568</v>
      </c>
      <c r="M332" s="8">
        <f t="shared" si="1"/>
        <v>12126396</v>
      </c>
    </row>
    <row r="333">
      <c r="A333" s="3">
        <v>45994.0</v>
      </c>
      <c r="B333" s="4">
        <v>1367.0</v>
      </c>
      <c r="C333" s="4">
        <v>1394.2</v>
      </c>
      <c r="D333" s="4">
        <v>1367.0</v>
      </c>
      <c r="E333" s="4">
        <v>1373.0</v>
      </c>
      <c r="F333" s="4">
        <v>1391.5</v>
      </c>
      <c r="G333" s="4">
        <v>1383.0</v>
      </c>
      <c r="H333" s="1" t="s">
        <v>7579</v>
      </c>
      <c r="I333" s="1" t="s">
        <v>7580</v>
      </c>
      <c r="J333" s="1" t="s">
        <v>7582</v>
      </c>
      <c r="K333" s="6">
        <f t="shared" si="2"/>
        <v>0.01347414421</v>
      </c>
      <c r="L333" s="7">
        <v>-0.00177472514808586</v>
      </c>
      <c r="M333" s="8">
        <f t="shared" si="1"/>
        <v>7955933</v>
      </c>
    </row>
    <row r="334">
      <c r="A334" s="3">
        <v>45995.0</v>
      </c>
      <c r="B334" s="4">
        <v>1387.0</v>
      </c>
      <c r="C334" s="4">
        <v>1391.6</v>
      </c>
      <c r="D334" s="4">
        <v>1379.9</v>
      </c>
      <c r="E334" s="4">
        <v>1391.5</v>
      </c>
      <c r="F334" s="4">
        <v>1386.7</v>
      </c>
      <c r="G334" s="4">
        <v>1385.21</v>
      </c>
      <c r="H334" s="1" t="s">
        <v>7583</v>
      </c>
      <c r="I334" s="1" t="s">
        <v>7584</v>
      </c>
      <c r="J334" s="1" t="s">
        <v>7586</v>
      </c>
      <c r="K334" s="6">
        <f t="shared" si="2"/>
        <v>-0.003449514912</v>
      </c>
      <c r="L334" s="7">
        <v>0.0018375278996382667</v>
      </c>
      <c r="M334" s="8">
        <f t="shared" si="1"/>
        <v>7373909</v>
      </c>
    </row>
    <row r="335">
      <c r="A335" s="3">
        <v>45996.0</v>
      </c>
      <c r="B335" s="4">
        <v>1381.0</v>
      </c>
      <c r="C335" s="4">
        <v>1395.3</v>
      </c>
      <c r="D335" s="4">
        <v>1381.0</v>
      </c>
      <c r="E335" s="4">
        <v>1386.7</v>
      </c>
      <c r="F335" s="4">
        <v>1392.5</v>
      </c>
      <c r="G335" s="4">
        <v>1390.49</v>
      </c>
      <c r="H335" s="1" t="s">
        <v>7589</v>
      </c>
      <c r="I335" s="1" t="s">
        <v>7590</v>
      </c>
      <c r="J335" s="1" t="s">
        <v>7591</v>
      </c>
      <c r="K335" s="6">
        <f t="shared" si="2"/>
        <v>0.004182591765</v>
      </c>
      <c r="L335" s="7">
        <v>0.005865463100782666</v>
      </c>
      <c r="M335" s="8">
        <f t="shared" si="1"/>
        <v>4942638</v>
      </c>
    </row>
    <row r="336">
      <c r="A336" s="3">
        <v>45999.0</v>
      </c>
      <c r="B336" s="4">
        <v>1387.0</v>
      </c>
      <c r="C336" s="4">
        <v>1394.9</v>
      </c>
      <c r="D336" s="4">
        <v>1383.3</v>
      </c>
      <c r="E336" s="4">
        <v>1392.5</v>
      </c>
      <c r="F336" s="4">
        <v>1389.6</v>
      </c>
      <c r="G336" s="4">
        <v>1388.87</v>
      </c>
      <c r="H336" s="1" t="s">
        <v>7595</v>
      </c>
      <c r="I336" s="1" t="s">
        <v>7596</v>
      </c>
      <c r="J336" s="1" t="s">
        <v>7597</v>
      </c>
      <c r="K336" s="6">
        <f t="shared" si="2"/>
        <v>-0.002082585278</v>
      </c>
      <c r="L336" s="7">
        <v>-0.0086265988707901</v>
      </c>
      <c r="M336" s="8">
        <f t="shared" si="1"/>
        <v>7826227</v>
      </c>
    </row>
    <row r="337">
      <c r="A337" s="3">
        <v>46000.0</v>
      </c>
      <c r="B337" s="4">
        <v>1379.9</v>
      </c>
      <c r="C337" s="4">
        <v>1384.3</v>
      </c>
      <c r="D337" s="4">
        <v>1373.4</v>
      </c>
      <c r="E337" s="4">
        <v>1389.6</v>
      </c>
      <c r="F337" s="4">
        <v>1375.2</v>
      </c>
      <c r="G337" s="4">
        <v>1377.4</v>
      </c>
      <c r="H337" s="1" t="s">
        <v>7600</v>
      </c>
      <c r="I337" s="1" t="s">
        <v>7601</v>
      </c>
      <c r="J337" s="1" t="s">
        <v>7602</v>
      </c>
      <c r="K337" s="6">
        <f t="shared" si="2"/>
        <v>-0.0103626943</v>
      </c>
      <c r="L337" s="7">
        <v>-0.0046570662023723616</v>
      </c>
      <c r="M337" s="8">
        <f t="shared" si="1"/>
        <v>10492030</v>
      </c>
    </row>
    <row r="338">
      <c r="A338" s="9">
        <v>46001.0</v>
      </c>
      <c r="B338" s="4">
        <v>1377.9</v>
      </c>
      <c r="C338" s="4">
        <v>1379.4</v>
      </c>
      <c r="D338" s="4">
        <v>1357.9</v>
      </c>
      <c r="E338" s="4">
        <v>1375.2</v>
      </c>
      <c r="F338" s="4">
        <v>1363.6</v>
      </c>
      <c r="G338" s="4">
        <v>1366.49</v>
      </c>
      <c r="H338" s="1" t="s">
        <v>7605</v>
      </c>
      <c r="I338" s="1" t="s">
        <v>7606</v>
      </c>
      <c r="J338" s="1" t="s">
        <v>7607</v>
      </c>
      <c r="K338" s="6">
        <f t="shared" si="2"/>
        <v>-0.008435136707</v>
      </c>
      <c r="L338" s="7">
        <v>-0.003159872521493188</v>
      </c>
      <c r="M338" s="8">
        <f t="shared" si="1"/>
        <v>8725381</v>
      </c>
    </row>
    <row r="339">
      <c r="A339" s="9">
        <v>46002.0</v>
      </c>
      <c r="B339" s="4">
        <v>1363.7</v>
      </c>
      <c r="C339" s="4">
        <v>1366.6</v>
      </c>
      <c r="D339" s="4">
        <v>1352.8</v>
      </c>
      <c r="E339" s="4">
        <v>1363.6</v>
      </c>
      <c r="F339" s="4">
        <v>1360.0</v>
      </c>
      <c r="G339" s="4">
        <v>1360.4</v>
      </c>
      <c r="H339" s="1" t="s">
        <v>7611</v>
      </c>
      <c r="I339" s="1" t="s">
        <v>7612</v>
      </c>
      <c r="J339" s="1" t="s">
        <v>7613</v>
      </c>
      <c r="K339" s="6">
        <f t="shared" si="2"/>
        <v>-0.002640070402</v>
      </c>
      <c r="L339" s="7">
        <v>0.0054565571861169065</v>
      </c>
      <c r="M339" s="8">
        <f t="shared" si="1"/>
        <v>6734750</v>
      </c>
    </row>
    <row r="340">
      <c r="A340" s="9">
        <v>46003.0</v>
      </c>
      <c r="B340" s="4">
        <v>1368.0</v>
      </c>
      <c r="C340" s="4">
        <v>1370.7</v>
      </c>
      <c r="D340" s="4">
        <v>1363.3</v>
      </c>
      <c r="E340" s="4">
        <v>1360.0</v>
      </c>
      <c r="F340" s="4">
        <v>1366.0</v>
      </c>
      <c r="G340" s="4">
        <v>1366.43</v>
      </c>
      <c r="H340" s="1" t="s">
        <v>7617</v>
      </c>
      <c r="I340" s="1" t="s">
        <v>7618</v>
      </c>
      <c r="J340" s="1" t="s">
        <v>7619</v>
      </c>
      <c r="K340" s="6">
        <f t="shared" si="2"/>
        <v>0.004411764706</v>
      </c>
      <c r="L340" s="7">
        <v>0.005730050524064145</v>
      </c>
      <c r="M340" s="8">
        <f t="shared" si="1"/>
        <v>3890885</v>
      </c>
    </row>
    <row r="341">
      <c r="A341" s="9">
        <v>46006.0</v>
      </c>
      <c r="B341" s="4">
        <v>1356.1</v>
      </c>
      <c r="C341" s="4">
        <v>1370.0</v>
      </c>
      <c r="D341" s="4">
        <v>1356.1</v>
      </c>
      <c r="E341" s="4">
        <v>1366.0</v>
      </c>
      <c r="F341" s="4">
        <v>1365.2</v>
      </c>
      <c r="G341" s="4">
        <v>1364.54</v>
      </c>
      <c r="H341" s="1" t="s">
        <v>7623</v>
      </c>
      <c r="I341" s="1" t="s">
        <v>7624</v>
      </c>
      <c r="J341" s="1" t="s">
        <v>7625</v>
      </c>
      <c r="K341" s="6">
        <f t="shared" si="2"/>
        <v>-0.0005856515373</v>
      </c>
      <c r="L341" s="7">
        <v>-7.544069459188679E-4</v>
      </c>
      <c r="M341" s="8">
        <f t="shared" si="1"/>
        <v>5342530</v>
      </c>
    </row>
    <row r="342">
      <c r="A342" s="9">
        <v>46007.0</v>
      </c>
      <c r="B342" s="4">
        <v>1364.0</v>
      </c>
      <c r="C342" s="4">
        <v>1368.7</v>
      </c>
      <c r="D342" s="4">
        <v>1355.5</v>
      </c>
      <c r="E342" s="4">
        <v>1365.2</v>
      </c>
      <c r="F342" s="4">
        <v>1366.0</v>
      </c>
      <c r="G342" s="4">
        <v>1363.69</v>
      </c>
      <c r="H342" s="1" t="s">
        <v>7629</v>
      </c>
      <c r="I342" s="1" t="s">
        <v>7630</v>
      </c>
      <c r="J342" s="1" t="s">
        <v>7631</v>
      </c>
      <c r="K342" s="6">
        <f t="shared" si="2"/>
        <v>0.000585994726</v>
      </c>
      <c r="L342" s="7">
        <v>-0.006424024005563417</v>
      </c>
      <c r="M342" s="8">
        <f t="shared" si="1"/>
        <v>12359741</v>
      </c>
    </row>
    <row r="343">
      <c r="A343" s="9">
        <v>46008.0</v>
      </c>
      <c r="B343" s="4">
        <v>1365.0</v>
      </c>
      <c r="C343" s="4">
        <v>1365.0</v>
      </c>
      <c r="D343" s="4">
        <v>1343.1</v>
      </c>
      <c r="E343" s="4">
        <v>1366.0</v>
      </c>
      <c r="F343" s="4">
        <v>1352.4</v>
      </c>
      <c r="G343" s="4">
        <v>1350.59</v>
      </c>
      <c r="H343" s="1" t="s">
        <v>7635</v>
      </c>
      <c r="I343" s="1" t="s">
        <v>7636</v>
      </c>
      <c r="J343" s="1" t="s">
        <v>7637</v>
      </c>
      <c r="K343" s="6">
        <f t="shared" si="2"/>
        <v>-0.009956076135</v>
      </c>
      <c r="L343" s="7">
        <v>-0.0016067223251263248</v>
      </c>
      <c r="M343" s="8">
        <f t="shared" si="1"/>
        <v>9440391</v>
      </c>
    </row>
    <row r="344">
      <c r="A344" s="9">
        <v>46009.0</v>
      </c>
      <c r="B344" s="4">
        <v>1346.3</v>
      </c>
      <c r="C344" s="4">
        <v>1369.5</v>
      </c>
      <c r="D344" s="4">
        <v>1345.5</v>
      </c>
      <c r="E344" s="4">
        <v>1352.4</v>
      </c>
      <c r="F344" s="4">
        <v>1356.8</v>
      </c>
      <c r="G344" s="4">
        <v>1360.11</v>
      </c>
      <c r="H344" s="1" t="s">
        <v>7641</v>
      </c>
      <c r="I344" s="1" t="s">
        <v>7642</v>
      </c>
      <c r="J344" s="1" t="s">
        <v>7643</v>
      </c>
      <c r="K344" s="6">
        <f t="shared" si="2"/>
        <v>0.003253475303</v>
      </c>
      <c r="L344" s="7">
        <v>-1.1619552608492731E-4</v>
      </c>
      <c r="M344" s="8">
        <f t="shared" si="1"/>
        <v>7314573</v>
      </c>
    </row>
    <row r="345">
      <c r="A345" s="9">
        <v>46010.0</v>
      </c>
      <c r="B345" s="4">
        <v>1354.0</v>
      </c>
      <c r="C345" s="4">
        <v>1360.4</v>
      </c>
      <c r="D345" s="4">
        <v>1350.8</v>
      </c>
      <c r="E345" s="4">
        <v>1356.8</v>
      </c>
      <c r="F345" s="4">
        <v>1354.1</v>
      </c>
      <c r="G345" s="4">
        <v>1354.21</v>
      </c>
      <c r="H345" s="1" t="s">
        <v>7647</v>
      </c>
      <c r="I345" s="1" t="s">
        <v>7648</v>
      </c>
      <c r="J345" s="1" t="s">
        <v>7649</v>
      </c>
      <c r="K345" s="6">
        <f t="shared" si="2"/>
        <v>-0.001989976415</v>
      </c>
      <c r="L345" s="7">
        <v>0.005843377344275143</v>
      </c>
      <c r="M345" s="8">
        <f t="shared" si="1"/>
        <v>14318512</v>
      </c>
    </row>
    <row r="346">
      <c r="A346" s="9">
        <v>46013.0</v>
      </c>
      <c r="B346" s="4">
        <v>1358.0</v>
      </c>
      <c r="C346" s="4">
        <v>1371.3</v>
      </c>
      <c r="D346" s="4">
        <v>1354.8</v>
      </c>
      <c r="E346" s="4">
        <v>1354.1</v>
      </c>
      <c r="F346" s="4">
        <v>1368.5</v>
      </c>
      <c r="G346" s="4">
        <v>1365.67</v>
      </c>
      <c r="H346" s="1" t="s">
        <v>7652</v>
      </c>
      <c r="I346" s="1" t="s">
        <v>7653</v>
      </c>
      <c r="J346" s="1" t="s">
        <v>7654</v>
      </c>
      <c r="K346" s="6">
        <f t="shared" si="2"/>
        <v>0.01063436969</v>
      </c>
      <c r="L346" s="7">
        <v>0.007933329225460594</v>
      </c>
      <c r="M346" s="8">
        <f t="shared" si="1"/>
        <v>9375294</v>
      </c>
    </row>
    <row r="347">
      <c r="A347" s="9">
        <v>46014.0</v>
      </c>
      <c r="B347" s="4">
        <v>1361.1</v>
      </c>
      <c r="C347" s="4">
        <v>1365.0</v>
      </c>
      <c r="D347" s="4">
        <v>1357.0</v>
      </c>
      <c r="E347" s="4">
        <v>1368.5</v>
      </c>
      <c r="F347" s="4">
        <v>1363.0</v>
      </c>
      <c r="G347" s="4">
        <v>1361.81</v>
      </c>
      <c r="H347" s="1" t="s">
        <v>7658</v>
      </c>
      <c r="I347" s="1" t="s">
        <v>7659</v>
      </c>
      <c r="J347" s="1" t="s">
        <v>7660</v>
      </c>
      <c r="K347" s="6">
        <f t="shared" si="2"/>
        <v>-0.004018998904</v>
      </c>
      <c r="L347" s="7">
        <v>1.8148889670034082E-4</v>
      </c>
      <c r="M347" s="8">
        <f t="shared" si="1"/>
        <v>9105467</v>
      </c>
    </row>
    <row r="348">
      <c r="A348" s="9">
        <v>46015.0</v>
      </c>
      <c r="B348" s="4">
        <v>1363.8</v>
      </c>
      <c r="C348" s="4">
        <v>1368.2</v>
      </c>
      <c r="D348" s="4">
        <v>1357.6</v>
      </c>
      <c r="E348" s="4">
        <v>1363.0</v>
      </c>
      <c r="F348" s="4">
        <v>1359.8</v>
      </c>
      <c r="G348" s="4">
        <v>1362.26</v>
      </c>
      <c r="H348" s="1" t="s">
        <v>7662</v>
      </c>
      <c r="I348" s="1" t="s">
        <v>7663</v>
      </c>
      <c r="J348" s="1" t="s">
        <v>7665</v>
      </c>
      <c r="K348" s="6">
        <f t="shared" si="2"/>
        <v>-0.002347762289</v>
      </c>
      <c r="L348" s="7">
        <v>-0.0013389540114184665</v>
      </c>
      <c r="M348" s="8">
        <f t="shared" si="1"/>
        <v>8955140</v>
      </c>
    </row>
    <row r="349">
      <c r="A349" s="9">
        <v>46017.0</v>
      </c>
      <c r="B349" s="4">
        <v>1356.5</v>
      </c>
      <c r="C349" s="4">
        <v>1362.0</v>
      </c>
      <c r="D349" s="4">
        <v>1348.5</v>
      </c>
      <c r="E349" s="4">
        <v>1359.8</v>
      </c>
      <c r="F349" s="4">
        <v>1350.4</v>
      </c>
      <c r="G349" s="4">
        <v>1353.25</v>
      </c>
      <c r="H349" s="1" t="s">
        <v>7667</v>
      </c>
      <c r="I349" s="1" t="s">
        <v>7668</v>
      </c>
      <c r="J349" s="11">
        <v>92194.0</v>
      </c>
      <c r="K349" s="6">
        <f t="shared" si="2"/>
        <v>-0.006912781291</v>
      </c>
      <c r="L349" s="7">
        <v>-0.003817596903079679</v>
      </c>
      <c r="M349" s="8">
        <f t="shared" si="1"/>
        <v>2812144</v>
      </c>
    </row>
    <row r="350">
      <c r="A350" s="9">
        <v>46020.0</v>
      </c>
      <c r="B350" s="4">
        <v>1352.1</v>
      </c>
      <c r="C350" s="4">
        <v>1355.7</v>
      </c>
      <c r="D350" s="4">
        <v>1341.5</v>
      </c>
      <c r="E350" s="4">
        <v>1350.4</v>
      </c>
      <c r="F350" s="4">
        <v>1343.3</v>
      </c>
      <c r="G350" s="4">
        <v>1346.07</v>
      </c>
      <c r="H350" s="1" t="s">
        <v>7671</v>
      </c>
      <c r="I350" s="1" t="s">
        <v>7672</v>
      </c>
      <c r="J350" s="1" t="s">
        <v>7673</v>
      </c>
      <c r="K350" s="6">
        <f t="shared" si="2"/>
        <v>-0.005257701422</v>
      </c>
      <c r="L350" s="7">
        <v>-0.003847586426698131</v>
      </c>
      <c r="M350" s="8">
        <f t="shared" si="1"/>
        <v>6057201</v>
      </c>
    </row>
    <row r="351">
      <c r="A351" s="9">
        <v>46021.0</v>
      </c>
      <c r="B351" s="4">
        <v>1343.3</v>
      </c>
      <c r="C351" s="4">
        <v>1347.1</v>
      </c>
      <c r="D351" s="4">
        <v>1338.1</v>
      </c>
      <c r="E351" s="4">
        <v>1343.3</v>
      </c>
      <c r="F351" s="4">
        <v>1342.5</v>
      </c>
      <c r="G351" s="4">
        <v>1341.94</v>
      </c>
      <c r="H351" s="1" t="s">
        <v>7677</v>
      </c>
      <c r="I351" s="1" t="s">
        <v>7678</v>
      </c>
      <c r="J351" s="1" t="s">
        <v>7679</v>
      </c>
      <c r="K351" s="6">
        <f t="shared" si="2"/>
        <v>-0.0005955482766</v>
      </c>
      <c r="L351" s="7">
        <v>-1.252789866664611E-4</v>
      </c>
      <c r="M351" s="8">
        <f t="shared" si="1"/>
        <v>18621277</v>
      </c>
    </row>
    <row r="352">
      <c r="A352" s="9">
        <v>46022.0</v>
      </c>
      <c r="B352" s="4">
        <v>1342.8</v>
      </c>
      <c r="C352" s="4">
        <v>1350.0</v>
      </c>
      <c r="D352" s="4">
        <v>1339.5</v>
      </c>
      <c r="E352" s="4">
        <v>1342.5</v>
      </c>
      <c r="F352" s="4">
        <v>1342.9</v>
      </c>
      <c r="G352" s="4">
        <v>1344.37</v>
      </c>
      <c r="H352" s="1" t="s">
        <v>7683</v>
      </c>
      <c r="I352" s="1" t="s">
        <v>7684</v>
      </c>
      <c r="J352" s="1" t="s">
        <v>7685</v>
      </c>
      <c r="K352" s="6">
        <f t="shared" si="2"/>
        <v>0.0002979515829</v>
      </c>
      <c r="L352" s="7">
        <v>0.007353834113694324</v>
      </c>
      <c r="M352" s="8">
        <f t="shared" si="1"/>
        <v>6150634</v>
      </c>
    </row>
    <row r="353">
      <c r="A353" s="3">
        <v>46023.0</v>
      </c>
      <c r="B353" s="4">
        <v>1343.9</v>
      </c>
      <c r="C353" s="4">
        <v>1348.4</v>
      </c>
      <c r="D353" s="4">
        <v>1336.0</v>
      </c>
      <c r="E353" s="4">
        <v>1342.9</v>
      </c>
      <c r="F353" s="4">
        <v>1338.0</v>
      </c>
      <c r="G353" s="4">
        <v>1340.3</v>
      </c>
      <c r="H353" s="1" t="s">
        <v>7689</v>
      </c>
      <c r="I353" s="1" t="s">
        <v>7690</v>
      </c>
      <c r="J353" s="11">
        <v>92659.0</v>
      </c>
      <c r="K353" s="6">
        <f t="shared" si="2"/>
        <v>-0.003648819719</v>
      </c>
      <c r="L353" s="7">
        <v>6.486896087196409E-4</v>
      </c>
      <c r="M353" s="8">
        <f t="shared" si="1"/>
        <v>4179311</v>
      </c>
    </row>
    <row r="354">
      <c r="A354" s="3">
        <v>46024.0</v>
      </c>
      <c r="B354" s="4">
        <v>1338.0</v>
      </c>
      <c r="C354" s="4">
        <v>1356.9</v>
      </c>
      <c r="D354" s="4">
        <v>1336.3</v>
      </c>
      <c r="E354" s="4">
        <v>1338.0</v>
      </c>
      <c r="F354" s="4">
        <v>1355.4</v>
      </c>
      <c r="G354" s="4">
        <v>1348.97</v>
      </c>
      <c r="H354" s="1" t="s">
        <v>7694</v>
      </c>
      <c r="I354" s="1" t="s">
        <v>7695</v>
      </c>
      <c r="J354" s="1" t="s">
        <v>7696</v>
      </c>
      <c r="K354" s="6">
        <f t="shared" si="2"/>
        <v>0.0130044843</v>
      </c>
      <c r="L354" s="7">
        <v>0.006960765378223896</v>
      </c>
      <c r="M354" s="8">
        <f t="shared" si="1"/>
        <v>8226205</v>
      </c>
    </row>
    <row r="355">
      <c r="A355" s="3">
        <v>46027.0</v>
      </c>
      <c r="B355" s="4">
        <v>1354.2</v>
      </c>
      <c r="C355" s="4">
        <v>1375.5</v>
      </c>
      <c r="D355" s="4">
        <v>1352.6</v>
      </c>
      <c r="E355" s="4">
        <v>1355.4</v>
      </c>
      <c r="F355" s="4">
        <v>1371.5</v>
      </c>
      <c r="G355" s="4">
        <v>1369.03</v>
      </c>
      <c r="H355" s="1" t="s">
        <v>7700</v>
      </c>
      <c r="I355" s="1" t="s">
        <v>7701</v>
      </c>
      <c r="J355" s="1" t="s">
        <v>7702</v>
      </c>
      <c r="K355" s="6">
        <f t="shared" si="2"/>
        <v>0.01187841228</v>
      </c>
      <c r="L355" s="7">
        <v>-0.0029720588486642826</v>
      </c>
      <c r="M355" s="8">
        <f t="shared" si="1"/>
        <v>6920565</v>
      </c>
    </row>
    <row r="356">
      <c r="A356" s="3">
        <v>46028.0</v>
      </c>
      <c r="B356" s="4">
        <v>1372.0</v>
      </c>
      <c r="C356" s="4">
        <v>1413.6</v>
      </c>
      <c r="D356" s="4">
        <v>1366.0</v>
      </c>
      <c r="E356" s="4">
        <v>1371.5</v>
      </c>
      <c r="F356" s="4">
        <v>1411.2</v>
      </c>
      <c r="G356" s="4">
        <v>1404.16</v>
      </c>
      <c r="H356" s="1" t="s">
        <v>7706</v>
      </c>
      <c r="I356" s="1" t="s">
        <v>7707</v>
      </c>
      <c r="J356" s="1" t="s">
        <v>7708</v>
      </c>
      <c r="K356" s="6">
        <f t="shared" si="2"/>
        <v>0.02894640904</v>
      </c>
      <c r="L356" s="7">
        <v>-0.002727587875186133</v>
      </c>
      <c r="M356" s="8">
        <f t="shared" si="1"/>
        <v>17260416</v>
      </c>
    </row>
    <row r="357">
      <c r="A357" s="3">
        <v>46029.0</v>
      </c>
      <c r="B357" s="4">
        <v>1408.0</v>
      </c>
      <c r="C357" s="4">
        <v>1429.9</v>
      </c>
      <c r="D357" s="4">
        <v>1404.2</v>
      </c>
      <c r="E357" s="4">
        <v>1411.2</v>
      </c>
      <c r="F357" s="4">
        <v>1427.7</v>
      </c>
      <c r="G357" s="4">
        <v>1421.98</v>
      </c>
      <c r="H357" s="1" t="s">
        <v>7713</v>
      </c>
      <c r="I357" s="1" t="s">
        <v>7715</v>
      </c>
      <c r="J357" s="1" t="s">
        <v>7717</v>
      </c>
      <c r="K357" s="6">
        <f t="shared" si="2"/>
        <v>0.01169217687</v>
      </c>
      <c r="L357" s="7">
        <v>-0.0014496518161711898</v>
      </c>
      <c r="M357" s="8">
        <f t="shared" si="1"/>
        <v>15813795</v>
      </c>
    </row>
    <row r="358">
      <c r="A358" s="3">
        <v>46030.0</v>
      </c>
      <c r="B358" s="4">
        <v>1429.0</v>
      </c>
      <c r="C358" s="4">
        <v>1442.2</v>
      </c>
      <c r="D358" s="4">
        <v>1423.3</v>
      </c>
      <c r="E358" s="4">
        <v>1427.7</v>
      </c>
      <c r="F358" s="4">
        <v>1435.0</v>
      </c>
      <c r="G358" s="4">
        <v>1435.94</v>
      </c>
      <c r="H358" s="1" t="s">
        <v>7720</v>
      </c>
      <c r="I358" s="1" t="s">
        <v>7722</v>
      </c>
      <c r="J358" s="1" t="s">
        <v>7723</v>
      </c>
      <c r="K358" s="6">
        <f t="shared" si="2"/>
        <v>0.005113119003</v>
      </c>
      <c r="L358" s="7">
        <v>-0.01009534921530566</v>
      </c>
      <c r="M358" s="8">
        <f t="shared" si="1"/>
        <v>14861699</v>
      </c>
    </row>
    <row r="359">
      <c r="A359" s="3">
        <v>46031.0</v>
      </c>
      <c r="B359" s="4">
        <v>1427.1</v>
      </c>
      <c r="C359" s="4">
        <v>1429.5</v>
      </c>
      <c r="D359" s="4">
        <v>1401.5</v>
      </c>
      <c r="E359" s="4">
        <v>1435.0</v>
      </c>
      <c r="F359" s="4">
        <v>1404.3</v>
      </c>
      <c r="G359" s="4">
        <v>1407.82</v>
      </c>
      <c r="H359" s="1" t="s">
        <v>7726</v>
      </c>
      <c r="I359" s="1" t="s">
        <v>7728</v>
      </c>
      <c r="J359" s="1" t="s">
        <v>7729</v>
      </c>
      <c r="K359" s="6">
        <f t="shared" si="2"/>
        <v>-0.02139372822</v>
      </c>
      <c r="L359" s="7">
        <v>-0.007479658459201923</v>
      </c>
      <c r="M359" s="8">
        <f t="shared" si="1"/>
        <v>12555636</v>
      </c>
    </row>
    <row r="360">
      <c r="A360" s="9">
        <v>46034.0</v>
      </c>
      <c r="B360" s="4">
        <v>1399.9</v>
      </c>
      <c r="C360" s="4">
        <v>1424.3</v>
      </c>
      <c r="D360" s="4">
        <v>1391.7</v>
      </c>
      <c r="E360" s="4">
        <v>1404.3</v>
      </c>
      <c r="F360" s="4">
        <v>1413.1</v>
      </c>
      <c r="G360" s="4">
        <v>1409.1</v>
      </c>
      <c r="H360" s="1" t="s">
        <v>7730</v>
      </c>
      <c r="I360" s="1" t="s">
        <v>7732</v>
      </c>
      <c r="J360" s="1" t="s">
        <v>7734</v>
      </c>
      <c r="K360" s="6">
        <f t="shared" si="2"/>
        <v>0.006266467279</v>
      </c>
      <c r="L360" s="7">
        <v>0.0041641845090000405</v>
      </c>
      <c r="M360" s="8">
        <f t="shared" si="1"/>
        <v>10923811</v>
      </c>
    </row>
    <row r="361">
      <c r="A361" s="9">
        <v>46035.0</v>
      </c>
      <c r="B361" s="4">
        <v>1420.0</v>
      </c>
      <c r="C361" s="4">
        <v>1441.8</v>
      </c>
      <c r="D361" s="4">
        <v>1411.1</v>
      </c>
      <c r="E361" s="4">
        <v>1413.1</v>
      </c>
      <c r="F361" s="4">
        <v>1437.0</v>
      </c>
      <c r="G361" s="4">
        <v>1432.77</v>
      </c>
      <c r="H361" s="1" t="s">
        <v>7736</v>
      </c>
      <c r="I361" s="1" t="s">
        <v>7737</v>
      </c>
      <c r="J361" s="1" t="s">
        <v>7739</v>
      </c>
      <c r="K361" s="6">
        <f t="shared" si="2"/>
        <v>0.01691316963</v>
      </c>
      <c r="L361" s="7">
        <v>-0.002246973177848246</v>
      </c>
      <c r="M361" s="8">
        <f t="shared" si="1"/>
        <v>14295581</v>
      </c>
    </row>
    <row r="362">
      <c r="A362" s="9">
        <v>46036.0</v>
      </c>
      <c r="B362" s="4">
        <v>1425.6</v>
      </c>
      <c r="C362" s="4">
        <v>1443.9</v>
      </c>
      <c r="D362" s="4">
        <v>1414.9</v>
      </c>
      <c r="E362" s="4">
        <v>1437.0</v>
      </c>
      <c r="F362" s="4">
        <v>1418.4</v>
      </c>
      <c r="G362" s="4">
        <v>1425.59</v>
      </c>
      <c r="H362" s="1" t="s">
        <v>7742</v>
      </c>
      <c r="I362" s="1" t="s">
        <v>7743</v>
      </c>
      <c r="J362" s="1" t="s">
        <v>7744</v>
      </c>
      <c r="K362" s="6">
        <f t="shared" si="2"/>
        <v>-0.01294363257</v>
      </c>
      <c r="L362" s="7">
        <v>-0.002592072997749938</v>
      </c>
      <c r="M362" s="8">
        <f t="shared" si="1"/>
        <v>13832255</v>
      </c>
    </row>
    <row r="363">
      <c r="A363" s="9">
        <v>46038.0</v>
      </c>
      <c r="B363" s="4">
        <v>1417.9</v>
      </c>
      <c r="C363" s="4">
        <v>1429.0</v>
      </c>
      <c r="D363" s="4">
        <v>1400.2</v>
      </c>
      <c r="E363" s="4">
        <v>1418.4</v>
      </c>
      <c r="F363" s="4">
        <v>1410.8</v>
      </c>
      <c r="G363" s="4">
        <v>1413.4</v>
      </c>
      <c r="H363" s="1" t="s">
        <v>7748</v>
      </c>
      <c r="I363" s="1" t="s">
        <v>7749</v>
      </c>
      <c r="J363" s="1" t="s">
        <v>7750</v>
      </c>
      <c r="K363" s="6">
        <f t="shared" si="2"/>
        <v>-0.005358150028</v>
      </c>
      <c r="L363" s="7">
        <v>0.0011201764229162772</v>
      </c>
      <c r="M363" s="8">
        <f t="shared" si="1"/>
        <v>12530886</v>
      </c>
    </row>
    <row r="364">
      <c r="A364" s="9">
        <v>46041.0</v>
      </c>
      <c r="B364" s="4">
        <v>1399.9</v>
      </c>
      <c r="C364" s="4">
        <v>1400.0</v>
      </c>
      <c r="D364" s="4">
        <v>1360.0</v>
      </c>
      <c r="E364" s="4">
        <v>1410.8</v>
      </c>
      <c r="F364" s="4">
        <v>1380.6</v>
      </c>
      <c r="G364" s="4">
        <v>1374.22</v>
      </c>
      <c r="H364" s="1" t="s">
        <v>7754</v>
      </c>
      <c r="I364" s="1" t="s">
        <v>7755</v>
      </c>
      <c r="J364" s="1" t="s">
        <v>7756</v>
      </c>
      <c r="K364" s="6">
        <f t="shared" si="2"/>
        <v>-0.0214062943</v>
      </c>
      <c r="L364" s="7">
        <v>-0.004236339895735777</v>
      </c>
      <c r="M364" s="8">
        <f t="shared" si="1"/>
        <v>23302883</v>
      </c>
    </row>
    <row r="365">
      <c r="A365" s="9">
        <v>46042.0</v>
      </c>
      <c r="B365" s="4">
        <v>1374.7</v>
      </c>
      <c r="C365" s="4">
        <v>1387.8</v>
      </c>
      <c r="D365" s="4">
        <v>1371.5</v>
      </c>
      <c r="E365" s="4">
        <v>1380.6</v>
      </c>
      <c r="F365" s="4">
        <v>1375.8</v>
      </c>
      <c r="G365" s="4">
        <v>1380.38</v>
      </c>
      <c r="H365" s="1" t="s">
        <v>7760</v>
      </c>
      <c r="I365" s="1" t="s">
        <v>7761</v>
      </c>
      <c r="J365" s="1" t="s">
        <v>7762</v>
      </c>
      <c r="K365" s="6">
        <f t="shared" si="2"/>
        <v>-0.003476749239</v>
      </c>
      <c r="L365" s="7">
        <v>-0.013796877137441129</v>
      </c>
      <c r="M365" s="8">
        <f t="shared" si="1"/>
        <v>15012785</v>
      </c>
    </row>
    <row r="366">
      <c r="A366" s="9">
        <v>46043.0</v>
      </c>
      <c r="B366" s="4">
        <v>1367.5</v>
      </c>
      <c r="C366" s="4">
        <v>1371.5</v>
      </c>
      <c r="D366" s="4">
        <v>1339.5</v>
      </c>
      <c r="E366" s="4">
        <v>1375.8</v>
      </c>
      <c r="F366" s="4">
        <v>1349.0</v>
      </c>
      <c r="G366" s="4">
        <v>1353.06</v>
      </c>
      <c r="H366" s="1" t="s">
        <v>7766</v>
      </c>
      <c r="I366" s="1" t="s">
        <v>7767</v>
      </c>
      <c r="J366" s="1" t="s">
        <v>7768</v>
      </c>
      <c r="K366" s="6">
        <f t="shared" si="2"/>
        <v>-0.01947957552</v>
      </c>
      <c r="L366" s="7">
        <v>-0.002972357079163777</v>
      </c>
      <c r="M366" s="8">
        <f t="shared" si="1"/>
        <v>21766068</v>
      </c>
    </row>
    <row r="367">
      <c r="A367" s="9">
        <v>46044.0</v>
      </c>
      <c r="B367" s="4">
        <v>1355.1</v>
      </c>
      <c r="C367" s="4">
        <v>1358.0</v>
      </c>
      <c r="D367" s="4">
        <v>1338.0</v>
      </c>
      <c r="E367" s="4">
        <v>1349.0</v>
      </c>
      <c r="F367" s="4">
        <v>1345.5</v>
      </c>
      <c r="G367" s="4">
        <v>1345.43</v>
      </c>
      <c r="H367" s="1" t="s">
        <v>7771</v>
      </c>
      <c r="I367" s="1" t="s">
        <v>7772</v>
      </c>
      <c r="J367" s="1" t="s">
        <v>7773</v>
      </c>
      <c r="K367" s="6">
        <f t="shared" si="2"/>
        <v>-0.002594514455</v>
      </c>
      <c r="L367" s="7">
        <v>0.005262844082281683</v>
      </c>
      <c r="M367" s="8">
        <f t="shared" si="1"/>
        <v>17179765</v>
      </c>
    </row>
    <row r="368">
      <c r="A368" s="9">
        <v>46045.0</v>
      </c>
      <c r="B368" s="4">
        <v>1340.5</v>
      </c>
      <c r="C368" s="4">
        <v>1355.2</v>
      </c>
      <c r="D368" s="4">
        <v>1335.7</v>
      </c>
      <c r="E368" s="4">
        <v>1345.5</v>
      </c>
      <c r="F368" s="4">
        <v>1343.4</v>
      </c>
      <c r="G368" s="4">
        <v>1345.35</v>
      </c>
      <c r="H368" s="1" t="s">
        <v>7777</v>
      </c>
      <c r="I368" s="1" t="s">
        <v>7778</v>
      </c>
      <c r="J368" s="1" t="s">
        <v>7779</v>
      </c>
      <c r="K368" s="6">
        <f t="shared" si="2"/>
        <v>-0.001560758082</v>
      </c>
      <c r="L368" s="7">
        <v>-0.009539381334050351</v>
      </c>
      <c r="M368" s="8">
        <f t="shared" si="1"/>
        <v>14056524</v>
      </c>
    </row>
    <row r="369">
      <c r="A369" s="9">
        <v>46049.0</v>
      </c>
      <c r="B369" s="4">
        <v>1340.0</v>
      </c>
      <c r="C369" s="4">
        <v>1369.1</v>
      </c>
      <c r="D369" s="4">
        <v>1328.6</v>
      </c>
      <c r="E369" s="4">
        <v>1343.4</v>
      </c>
      <c r="F369" s="4">
        <v>1361.4</v>
      </c>
      <c r="G369" s="4">
        <v>1351.83</v>
      </c>
      <c r="H369" s="1" t="s">
        <v>7783</v>
      </c>
      <c r="I369" s="1" t="s">
        <v>7784</v>
      </c>
      <c r="J369" s="1" t="s">
        <v>7785</v>
      </c>
      <c r="K369" s="6">
        <f t="shared" si="2"/>
        <v>0.01339883877</v>
      </c>
      <c r="L369" s="7">
        <v>0.00506015294237414</v>
      </c>
      <c r="M369" s="8">
        <f t="shared" si="1"/>
        <v>25263634</v>
      </c>
    </row>
    <row r="370">
      <c r="A370" s="9">
        <v>46050.0</v>
      </c>
      <c r="B370" s="4">
        <v>1362.6</v>
      </c>
      <c r="C370" s="4">
        <v>1380.4</v>
      </c>
      <c r="D370" s="4">
        <v>1362.6</v>
      </c>
      <c r="E370" s="4">
        <v>1361.4</v>
      </c>
      <c r="F370" s="4">
        <v>1367.7</v>
      </c>
      <c r="G370" s="4">
        <v>1369.75</v>
      </c>
      <c r="H370" s="1" t="s">
        <v>7788</v>
      </c>
      <c r="I370" s="1" t="s">
        <v>7789</v>
      </c>
      <c r="J370" s="1" t="s">
        <v>7790</v>
      </c>
      <c r="K370" s="6">
        <f t="shared" si="2"/>
        <v>0.004627589246</v>
      </c>
      <c r="L370" s="7">
        <v>0.0066473621074540435</v>
      </c>
      <c r="M370" s="8">
        <f t="shared" si="1"/>
        <v>13242696</v>
      </c>
    </row>
    <row r="371">
      <c r="A371" s="9">
        <v>46051.0</v>
      </c>
      <c r="B371" s="4">
        <v>1359.0</v>
      </c>
      <c r="C371" s="4">
        <v>1387.7</v>
      </c>
      <c r="D371" s="4">
        <v>1354.4</v>
      </c>
      <c r="E371" s="4">
        <v>1367.7</v>
      </c>
      <c r="F371" s="4">
        <v>1383.6</v>
      </c>
      <c r="G371" s="4">
        <v>1375.36</v>
      </c>
      <c r="H371" s="1" t="s">
        <v>7793</v>
      </c>
      <c r="I371" s="1" t="s">
        <v>7794</v>
      </c>
      <c r="J371" s="1" t="s">
        <v>7795</v>
      </c>
      <c r="K371" s="6">
        <f t="shared" si="2"/>
        <v>0.01162535644</v>
      </c>
      <c r="L371" s="7">
        <v>0.003004804135305026</v>
      </c>
      <c r="M371" s="8">
        <f t="shared" si="1"/>
        <v>23118234</v>
      </c>
    </row>
    <row r="372">
      <c r="A372" s="9">
        <v>46052.0</v>
      </c>
      <c r="B372" s="4">
        <v>1368.2</v>
      </c>
      <c r="C372" s="4">
        <v>1381.9</v>
      </c>
      <c r="D372" s="4">
        <v>1353.2</v>
      </c>
      <c r="E372" s="4">
        <v>1383.6</v>
      </c>
      <c r="F372" s="4">
        <v>1355.0</v>
      </c>
      <c r="G372" s="4">
        <v>1365.39</v>
      </c>
      <c r="H372" s="1" t="s">
        <v>7796</v>
      </c>
      <c r="I372" s="1" t="s">
        <v>7797</v>
      </c>
      <c r="J372" s="1" t="s">
        <v>7798</v>
      </c>
      <c r="K372" s="6">
        <f t="shared" si="2"/>
        <v>-0.02067071408</v>
      </c>
      <c r="L372" s="7">
        <v>-0.0038652341368037167</v>
      </c>
      <c r="M372" s="8">
        <f t="shared" si="1"/>
        <v>24013717</v>
      </c>
    </row>
    <row r="373">
      <c r="A373" s="3">
        <v>46054.0</v>
      </c>
      <c r="B373" s="4">
        <v>1352.0</v>
      </c>
      <c r="C373" s="4">
        <v>1365.9</v>
      </c>
      <c r="D373" s="4">
        <v>1328.8</v>
      </c>
      <c r="E373" s="4">
        <v>1355.0</v>
      </c>
      <c r="F373" s="4">
        <v>1334.2</v>
      </c>
      <c r="G373" s="4">
        <v>1349.72</v>
      </c>
      <c r="H373" s="1" t="s">
        <v>7801</v>
      </c>
      <c r="I373" s="1" t="s">
        <v>7802</v>
      </c>
      <c r="J373" s="11">
        <v>73049.0</v>
      </c>
      <c r="K373" s="6">
        <f t="shared" si="2"/>
        <v>-0.01535055351</v>
      </c>
      <c r="L373" s="7">
        <v>-0.019557159867538972</v>
      </c>
      <c r="M373" s="8">
        <f t="shared" si="1"/>
        <v>4969610</v>
      </c>
    </row>
    <row r="374">
      <c r="A374" s="3">
        <v>46055.0</v>
      </c>
      <c r="B374" s="4">
        <v>1329.9</v>
      </c>
      <c r="C374" s="4">
        <v>1354.4</v>
      </c>
      <c r="D374" s="4">
        <v>1329.1</v>
      </c>
      <c r="E374" s="4">
        <v>1334.2</v>
      </c>
      <c r="F374" s="4">
        <v>1352.8</v>
      </c>
      <c r="G374" s="4">
        <v>1345.43</v>
      </c>
      <c r="H374" s="1" t="s">
        <v>7806</v>
      </c>
      <c r="I374" s="1" t="s">
        <v>7807</v>
      </c>
      <c r="J374" s="1" t="s">
        <v>7808</v>
      </c>
      <c r="K374" s="6">
        <f t="shared" si="2"/>
        <v>0.01394093839</v>
      </c>
      <c r="L374" s="7">
        <v>0.010591953015957443</v>
      </c>
      <c r="M374" s="8">
        <f t="shared" si="1"/>
        <v>12800245</v>
      </c>
    </row>
    <row r="375">
      <c r="A375" s="3">
        <v>46056.0</v>
      </c>
      <c r="B375" s="4">
        <v>1412.0</v>
      </c>
      <c r="C375" s="4">
        <v>1417.0</v>
      </c>
      <c r="D375" s="4">
        <v>1373.4</v>
      </c>
      <c r="E375" s="4">
        <v>1352.8</v>
      </c>
      <c r="F375" s="4">
        <v>1389.7</v>
      </c>
      <c r="G375" s="4">
        <v>1391.76</v>
      </c>
      <c r="H375" s="1" t="s">
        <v>7812</v>
      </c>
      <c r="I375" s="1" t="s">
        <v>7813</v>
      </c>
      <c r="J375" s="1" t="s">
        <v>7814</v>
      </c>
      <c r="K375" s="6">
        <f t="shared" si="2"/>
        <v>0.02727675931</v>
      </c>
      <c r="L375" s="7">
        <v>0.025475917156932995</v>
      </c>
      <c r="M375" s="8">
        <f t="shared" si="1"/>
        <v>24896698</v>
      </c>
    </row>
    <row r="376">
      <c r="A376" s="3">
        <v>46057.0</v>
      </c>
      <c r="B376" s="4">
        <v>1387.0</v>
      </c>
      <c r="C376" s="4">
        <v>1414.0</v>
      </c>
      <c r="D376" s="4">
        <v>1386.9</v>
      </c>
      <c r="E376" s="4">
        <v>1389.7</v>
      </c>
      <c r="F376" s="4">
        <v>1408.4</v>
      </c>
      <c r="G376" s="4">
        <v>1406.84</v>
      </c>
      <c r="H376" s="1" t="s">
        <v>7818</v>
      </c>
      <c r="I376" s="1" t="s">
        <v>7819</v>
      </c>
      <c r="J376" s="1" t="s">
        <v>7820</v>
      </c>
      <c r="K376" s="6">
        <f t="shared" si="2"/>
        <v>0.01345614161</v>
      </c>
      <c r="L376" s="7">
        <v>0.0018831952517826506</v>
      </c>
      <c r="M376" s="8">
        <f t="shared" si="1"/>
        <v>11080683</v>
      </c>
    </row>
    <row r="377">
      <c r="A377" s="3">
        <v>46058.0</v>
      </c>
      <c r="B377" s="4">
        <v>1414.0</v>
      </c>
      <c r="C377" s="4">
        <v>1414.0</v>
      </c>
      <c r="D377" s="4">
        <v>1393.2</v>
      </c>
      <c r="E377" s="4">
        <v>1408.4</v>
      </c>
      <c r="F377" s="4">
        <v>1396.5</v>
      </c>
      <c r="G377" s="4">
        <v>1402.07</v>
      </c>
      <c r="H377" s="1" t="s">
        <v>7824</v>
      </c>
      <c r="I377" s="1" t="s">
        <v>7825</v>
      </c>
      <c r="J377" s="1" t="s">
        <v>7826</v>
      </c>
      <c r="K377" s="6">
        <f t="shared" si="2"/>
        <v>-0.008449304175</v>
      </c>
      <c r="L377" s="7">
        <v>-0.005167597765363157</v>
      </c>
      <c r="M377" s="8">
        <f t="shared" si="1"/>
        <v>8982761</v>
      </c>
    </row>
    <row r="378">
      <c r="A378" s="3">
        <v>46059.0</v>
      </c>
      <c r="B378" s="4">
        <v>1396.7</v>
      </c>
      <c r="C378" s="4">
        <v>1410.5</v>
      </c>
      <c r="D378" s="4">
        <v>1394.7</v>
      </c>
      <c r="E378" s="4">
        <v>1396.5</v>
      </c>
      <c r="F378" s="4">
        <v>1406.1</v>
      </c>
      <c r="G378" s="4">
        <v>1402.67</v>
      </c>
      <c r="H378" s="1" t="s">
        <v>7830</v>
      </c>
      <c r="I378" s="1" t="s">
        <v>7831</v>
      </c>
      <c r="J378" s="1" t="s">
        <v>7832</v>
      </c>
      <c r="K378" s="6">
        <f t="shared" si="2"/>
        <v>0.006874328679</v>
      </c>
      <c r="L378" s="7">
        <v>0.001984962640585328</v>
      </c>
      <c r="M378" s="8">
        <f t="shared" si="1"/>
        <v>10851190</v>
      </c>
    </row>
    <row r="379">
      <c r="A379" s="3">
        <v>46062.0</v>
      </c>
      <c r="B379" s="4">
        <v>1413.5</v>
      </c>
      <c r="C379" s="4">
        <v>1414.0</v>
      </c>
      <c r="D379" s="4">
        <v>1388.8</v>
      </c>
      <c r="E379" s="4">
        <v>1406.1</v>
      </c>
      <c r="F379" s="4">
        <v>1396.3</v>
      </c>
      <c r="G379" s="4">
        <v>1396.52</v>
      </c>
      <c r="H379" s="1" t="s">
        <v>7836</v>
      </c>
      <c r="I379" s="1" t="s">
        <v>7837</v>
      </c>
      <c r="J379" s="1" t="s">
        <v>7838</v>
      </c>
      <c r="K379" s="6">
        <f t="shared" si="2"/>
        <v>-0.006969632316</v>
      </c>
      <c r="L379" s="7">
        <v>0.00675652008079796</v>
      </c>
      <c r="M379" s="8">
        <f t="shared" si="1"/>
        <v>7889742</v>
      </c>
    </row>
    <row r="380">
      <c r="A380" s="9">
        <v>46063.0</v>
      </c>
      <c r="B380" s="4">
        <v>1401.0</v>
      </c>
      <c r="C380" s="4">
        <v>1409.5</v>
      </c>
      <c r="D380" s="4">
        <v>1395.5</v>
      </c>
      <c r="E380" s="4">
        <v>1396.3</v>
      </c>
      <c r="F380" s="4">
        <v>1406.5</v>
      </c>
      <c r="G380" s="4">
        <v>1403.57</v>
      </c>
      <c r="H380" s="1" t="s">
        <v>7842</v>
      </c>
      <c r="I380" s="1" t="s">
        <v>7843</v>
      </c>
      <c r="J380" s="1" t="s">
        <v>7844</v>
      </c>
      <c r="K380" s="6">
        <f t="shared" si="2"/>
        <v>0.007305020411</v>
      </c>
      <c r="L380" s="7">
        <v>0.0026230027873029725</v>
      </c>
      <c r="M380" s="8">
        <f t="shared" si="1"/>
        <v>16497628</v>
      </c>
    </row>
    <row r="381">
      <c r="A381" s="9">
        <v>46064.0</v>
      </c>
      <c r="B381" s="4">
        <v>1407.4</v>
      </c>
      <c r="C381" s="4">
        <v>1413.0</v>
      </c>
      <c r="D381" s="4">
        <v>1400.4</v>
      </c>
      <c r="E381" s="4">
        <v>1406.5</v>
      </c>
      <c r="F381" s="4">
        <v>1406.1</v>
      </c>
      <c r="G381" s="4">
        <v>1405.32</v>
      </c>
      <c r="H381" s="1" t="s">
        <v>7845</v>
      </c>
      <c r="I381" s="1" t="s">
        <v>7846</v>
      </c>
      <c r="J381" s="1" t="s">
        <v>7847</v>
      </c>
      <c r="K381" s="6">
        <f t="shared" si="2"/>
        <v>-0.0002843938855</v>
      </c>
      <c r="L381" s="7">
        <v>7.210291824029199E-4</v>
      </c>
      <c r="M381" s="8">
        <f t="shared" si="1"/>
        <v>8551341</v>
      </c>
    </row>
    <row r="382">
      <c r="A382" s="9">
        <v>46065.0</v>
      </c>
      <c r="B382" s="4">
        <v>1406.1</v>
      </c>
      <c r="C382" s="4">
        <v>1433.0</v>
      </c>
      <c r="D382" s="4">
        <v>1405.3</v>
      </c>
      <c r="E382" s="4">
        <v>1406.1</v>
      </c>
      <c r="F382" s="4">
        <v>1430.0</v>
      </c>
      <c r="G382" s="4">
        <v>1426.52</v>
      </c>
      <c r="H382" s="1" t="s">
        <v>7851</v>
      </c>
      <c r="I382" s="1" t="s">
        <v>7852</v>
      </c>
      <c r="J382" s="1" t="s">
        <v>7853</v>
      </c>
      <c r="K382" s="6">
        <f t="shared" si="2"/>
        <v>0.01699736861</v>
      </c>
      <c r="L382" s="7">
        <v>-0.005650414100412764</v>
      </c>
      <c r="M382" s="8">
        <f t="shared" si="1"/>
        <v>19646265</v>
      </c>
    </row>
    <row r="383">
      <c r="A383" s="9">
        <v>46066.0</v>
      </c>
      <c r="B383" s="4">
        <v>1425.3</v>
      </c>
      <c r="C383" s="4">
        <v>1434.4</v>
      </c>
      <c r="D383" s="4">
        <v>1410.7</v>
      </c>
      <c r="E383" s="4">
        <v>1430.0</v>
      </c>
      <c r="F383" s="4">
        <v>1414.6</v>
      </c>
      <c r="G383" s="4">
        <v>1417.7</v>
      </c>
      <c r="H383" s="1" t="s">
        <v>7856</v>
      </c>
      <c r="I383" s="1" t="s">
        <v>7858</v>
      </c>
      <c r="J383" s="1" t="s">
        <v>7859</v>
      </c>
      <c r="K383" s="6">
        <f t="shared" si="2"/>
        <v>-0.01076923077</v>
      </c>
      <c r="L383" s="7">
        <v>-0.013023497318577845</v>
      </c>
      <c r="M383" s="8">
        <f t="shared" si="1"/>
        <v>12228083</v>
      </c>
    </row>
    <row r="384">
      <c r="A384" s="9">
        <v>46069.0</v>
      </c>
      <c r="B384" s="4">
        <v>1404.0</v>
      </c>
      <c r="C384" s="4">
        <v>1414.0</v>
      </c>
      <c r="D384" s="4">
        <v>1400.5</v>
      </c>
      <c r="E384" s="4">
        <v>1414.6</v>
      </c>
      <c r="F384" s="4">
        <v>1411.6</v>
      </c>
      <c r="G384" s="4">
        <v>1408.85</v>
      </c>
      <c r="H384" s="1" t="s">
        <v>7861</v>
      </c>
      <c r="I384" s="1" t="s">
        <v>7863</v>
      </c>
      <c r="J384" s="1" t="s">
        <v>7865</v>
      </c>
      <c r="K384" s="6">
        <f t="shared" si="2"/>
        <v>-0.002120740845</v>
      </c>
      <c r="L384" s="7">
        <v>0.008309417339651662</v>
      </c>
      <c r="M384" s="8">
        <f t="shared" si="1"/>
        <v>5000042</v>
      </c>
    </row>
    <row r="385">
      <c r="A385" s="9">
        <v>46070.0</v>
      </c>
      <c r="B385" s="4">
        <v>1406.2</v>
      </c>
      <c r="C385" s="4">
        <v>1413.6</v>
      </c>
      <c r="D385" s="4">
        <v>1393.6</v>
      </c>
      <c r="E385" s="4">
        <v>1411.6</v>
      </c>
      <c r="F385" s="4">
        <v>1407.5</v>
      </c>
      <c r="G385" s="4">
        <v>1404.65</v>
      </c>
      <c r="H385" s="1" t="s">
        <v>7866</v>
      </c>
      <c r="I385" s="1" t="s">
        <v>7867</v>
      </c>
      <c r="J385" s="1" t="s">
        <v>7868</v>
      </c>
      <c r="K385" s="6">
        <f t="shared" si="2"/>
        <v>-0.002904505526</v>
      </c>
      <c r="L385" s="7">
        <v>0.0016606477110123119</v>
      </c>
      <c r="M385" s="8">
        <f t="shared" si="1"/>
        <v>11756187</v>
      </c>
    </row>
    <row r="386">
      <c r="A386" s="9">
        <v>46071.0</v>
      </c>
      <c r="B386" s="4">
        <v>1410.1</v>
      </c>
      <c r="C386" s="4">
        <v>1412.3</v>
      </c>
      <c r="D386" s="4">
        <v>1398.9</v>
      </c>
      <c r="E386" s="4">
        <v>1407.5</v>
      </c>
      <c r="F386" s="4">
        <v>1408.2</v>
      </c>
      <c r="G386" s="4">
        <v>1403.95</v>
      </c>
      <c r="H386" s="1" t="s">
        <v>7872</v>
      </c>
      <c r="I386" s="1" t="s">
        <v>7873</v>
      </c>
      <c r="J386" s="1" t="s">
        <v>7874</v>
      </c>
      <c r="K386" s="6">
        <f t="shared" si="2"/>
        <v>0.0004973357016</v>
      </c>
      <c r="L386" s="7">
        <v>0.003652032621455724</v>
      </c>
      <c r="M386" s="8">
        <f t="shared" si="1"/>
        <v>4758071</v>
      </c>
    </row>
    <row r="387">
      <c r="A387" s="9">
        <v>46072.0</v>
      </c>
      <c r="B387" s="4">
        <v>1408.5</v>
      </c>
      <c r="C387" s="4">
        <v>1412.3</v>
      </c>
      <c r="D387" s="4">
        <v>1384.8</v>
      </c>
      <c r="E387" s="4">
        <v>1408.2</v>
      </c>
      <c r="F387" s="4">
        <v>1388.8</v>
      </c>
      <c r="G387" s="4">
        <v>1394.99</v>
      </c>
      <c r="H387" s="1" t="s">
        <v>7878</v>
      </c>
      <c r="I387" s="1" t="s">
        <v>7879</v>
      </c>
      <c r="J387" s="1" t="s">
        <v>7880</v>
      </c>
      <c r="K387" s="6">
        <f t="shared" si="2"/>
        <v>-0.01377645221</v>
      </c>
      <c r="L387" s="7">
        <v>-0.014136684308474071</v>
      </c>
      <c r="M387" s="8">
        <f t="shared" si="1"/>
        <v>14323091</v>
      </c>
    </row>
    <row r="388">
      <c r="A388" s="9">
        <v>46073.0</v>
      </c>
      <c r="B388" s="4">
        <v>1388.5</v>
      </c>
      <c r="C388" s="4">
        <v>1403.7</v>
      </c>
      <c r="D388" s="4">
        <v>1384.0</v>
      </c>
      <c r="E388" s="4">
        <v>1388.8</v>
      </c>
      <c r="F388" s="4">
        <v>1394.5</v>
      </c>
      <c r="G388" s="4">
        <v>1396.03</v>
      </c>
      <c r="H388" s="1" t="s">
        <v>7884</v>
      </c>
      <c r="I388" s="1" t="s">
        <v>7885</v>
      </c>
      <c r="J388" s="1" t="s">
        <v>7886</v>
      </c>
      <c r="K388" s="6">
        <f t="shared" si="2"/>
        <v>0.004104262673</v>
      </c>
      <c r="L388" s="7">
        <v>0.004592535264110121</v>
      </c>
      <c r="M388" s="8">
        <f t="shared" si="1"/>
        <v>10337877</v>
      </c>
    </row>
    <row r="389">
      <c r="A389" s="9">
        <v>46076.0</v>
      </c>
      <c r="B389" s="4">
        <v>1400.0</v>
      </c>
      <c r="C389" s="4">
        <v>1408.3</v>
      </c>
      <c r="D389" s="4">
        <v>1395.3</v>
      </c>
      <c r="E389" s="4">
        <v>1394.5</v>
      </c>
      <c r="F389" s="4">
        <v>1399.4</v>
      </c>
      <c r="G389" s="4">
        <v>1400.86</v>
      </c>
      <c r="H389" s="1" t="s">
        <v>7890</v>
      </c>
      <c r="I389" s="1" t="s">
        <v>7891</v>
      </c>
      <c r="J389" s="1" t="s">
        <v>7892</v>
      </c>
      <c r="K389" s="6">
        <f t="shared" si="2"/>
        <v>0.003513804231</v>
      </c>
      <c r="L389" s="7">
        <v>0.005543334799824021</v>
      </c>
      <c r="M389" s="8">
        <f t="shared" si="1"/>
        <v>10728445</v>
      </c>
    </row>
    <row r="390">
      <c r="A390" s="9">
        <v>46077.0</v>
      </c>
      <c r="B390" s="4">
        <v>1400.9</v>
      </c>
      <c r="C390" s="4">
        <v>1400.9</v>
      </c>
      <c r="D390" s="4">
        <v>1382.3</v>
      </c>
      <c r="E390" s="4">
        <v>1399.4</v>
      </c>
      <c r="F390" s="4">
        <v>1384.8</v>
      </c>
      <c r="G390" s="4">
        <v>1388.5</v>
      </c>
      <c r="H390" s="1" t="s">
        <v>7895</v>
      </c>
      <c r="I390" s="1" t="s">
        <v>7896</v>
      </c>
      <c r="J390" s="1" t="s">
        <v>7897</v>
      </c>
      <c r="K390" s="6">
        <f t="shared" si="2"/>
        <v>-0.01043304273</v>
      </c>
      <c r="L390" s="7">
        <v>-0.011214171819702039</v>
      </c>
      <c r="M390" s="8">
        <f t="shared" si="1"/>
        <v>18274784</v>
      </c>
    </row>
    <row r="391">
      <c r="A391" s="9">
        <v>46078.0</v>
      </c>
      <c r="B391" s="4">
        <v>1391.8</v>
      </c>
      <c r="C391" s="4">
        <v>1407.4</v>
      </c>
      <c r="D391" s="4">
        <v>1388.2</v>
      </c>
      <c r="E391" s="4">
        <v>1384.8</v>
      </c>
      <c r="F391" s="4">
        <v>1400.5</v>
      </c>
      <c r="G391" s="4">
        <v>1399.92</v>
      </c>
      <c r="H391" s="1" t="s">
        <v>7900</v>
      </c>
      <c r="I391" s="1" t="s">
        <v>7902</v>
      </c>
      <c r="J391" s="1" t="s">
        <v>7903</v>
      </c>
      <c r="K391" s="6">
        <f t="shared" si="2"/>
        <v>0.01133737724</v>
      </c>
      <c r="L391" s="7">
        <v>0.002275350889786036</v>
      </c>
      <c r="M391" s="8">
        <f t="shared" si="1"/>
        <v>16297015</v>
      </c>
    </row>
    <row r="392">
      <c r="A392" s="9">
        <v>46079.0</v>
      </c>
      <c r="B392" s="4">
        <v>1405.1</v>
      </c>
      <c r="C392" s="4">
        <v>1410.0</v>
      </c>
      <c r="D392" s="4">
        <v>1392.1</v>
      </c>
      <c r="E392" s="4">
        <v>1400.5</v>
      </c>
      <c r="F392" s="4">
        <v>1404.9</v>
      </c>
      <c r="G392" s="4">
        <v>1403.62</v>
      </c>
      <c r="H392" s="1" t="s">
        <v>7904</v>
      </c>
      <c r="I392" s="1" t="s">
        <v>7905</v>
      </c>
      <c r="J392" s="1" t="s">
        <v>7906</v>
      </c>
      <c r="K392" s="6">
        <f t="shared" si="2"/>
        <v>0.003141735095</v>
      </c>
      <c r="L392" s="7">
        <v>5.51358775630306E-4</v>
      </c>
      <c r="M392" s="8">
        <f t="shared" si="1"/>
        <v>27288792</v>
      </c>
    </row>
    <row r="393">
      <c r="A393" s="9">
        <v>46080.0</v>
      </c>
      <c r="B393" s="4">
        <v>1400.0</v>
      </c>
      <c r="C393" s="4">
        <v>1402.2</v>
      </c>
      <c r="D393" s="4">
        <v>1376.7</v>
      </c>
      <c r="E393" s="4">
        <v>1404.9</v>
      </c>
      <c r="F393" s="4">
        <v>1378.9</v>
      </c>
      <c r="G393" s="4">
        <v>1385.66</v>
      </c>
      <c r="H393" s="1" t="s">
        <v>7910</v>
      </c>
      <c r="I393" s="1" t="s">
        <v>7911</v>
      </c>
      <c r="J393" s="1" t="s">
        <v>7912</v>
      </c>
      <c r="K393" s="6">
        <f t="shared" si="2"/>
        <v>-0.01850665528</v>
      </c>
      <c r="L393" s="7">
        <v>-0.012468353561560204</v>
      </c>
      <c r="M393" s="8">
        <f t="shared" si="1"/>
        <v>15096898</v>
      </c>
    </row>
    <row r="394">
      <c r="A394" s="3">
        <v>46083.0</v>
      </c>
      <c r="B394" s="4">
        <v>1355.0</v>
      </c>
      <c r="C394" s="4">
        <v>1379.2</v>
      </c>
      <c r="D394" s="4">
        <v>1355.0</v>
      </c>
      <c r="E394" s="4">
        <v>1378.9</v>
      </c>
      <c r="F394" s="4">
        <v>1374.0</v>
      </c>
      <c r="G394" s="4">
        <v>1369.59</v>
      </c>
      <c r="H394" s="1" t="s">
        <v>7916</v>
      </c>
      <c r="I394" s="1" t="s">
        <v>7917</v>
      </c>
      <c r="J394" s="1" t="s">
        <v>7918</v>
      </c>
      <c r="K394" s="6">
        <f t="shared" si="2"/>
        <v>-0.003553557183</v>
      </c>
      <c r="L394" s="7">
        <v>-0.012429181072059094</v>
      </c>
      <c r="M394" s="8">
        <f t="shared" si="1"/>
        <v>16928683</v>
      </c>
    </row>
    <row r="395">
      <c r="A395" s="3">
        <v>46085.0</v>
      </c>
      <c r="B395" s="4">
        <v>1326.0</v>
      </c>
      <c r="C395" s="4">
        <v>1376.0</v>
      </c>
      <c r="D395" s="4">
        <v>1326.0</v>
      </c>
      <c r="E395" s="4">
        <v>1374.0</v>
      </c>
      <c r="F395" s="4">
        <v>1365.4</v>
      </c>
      <c r="G395" s="4">
        <v>1355.31</v>
      </c>
      <c r="H395" s="1" t="s">
        <v>7922</v>
      </c>
      <c r="I395" s="1" t="s">
        <v>7923</v>
      </c>
      <c r="J395" s="1" t="s">
        <v>7924</v>
      </c>
      <c r="K395" s="6">
        <f t="shared" si="2"/>
        <v>-0.006259097525</v>
      </c>
      <c r="L395" s="7">
        <v>-0.015491218827541581</v>
      </c>
      <c r="M395" s="8">
        <f t="shared" si="1"/>
        <v>20009132</v>
      </c>
    </row>
    <row r="396">
      <c r="A396" s="3">
        <v>46086.0</v>
      </c>
      <c r="B396" s="4">
        <v>1368.9</v>
      </c>
      <c r="C396" s="4">
        <v>1370.8</v>
      </c>
      <c r="D396" s="4">
        <v>1347.6</v>
      </c>
      <c r="E396" s="4">
        <v>1365.4</v>
      </c>
      <c r="F396" s="4">
        <v>1357.6</v>
      </c>
      <c r="G396" s="4">
        <v>1356.94</v>
      </c>
      <c r="H396" s="1" t="s">
        <v>7929</v>
      </c>
      <c r="I396" s="1" t="s">
        <v>7932</v>
      </c>
      <c r="J396" s="1" t="s">
        <v>7933</v>
      </c>
      <c r="K396" s="6">
        <f t="shared" si="2"/>
        <v>-0.005712611689</v>
      </c>
      <c r="L396" s="7">
        <v>0.011658258613998957</v>
      </c>
      <c r="M396" s="8">
        <f t="shared" si="1"/>
        <v>17590491</v>
      </c>
    </row>
    <row r="397">
      <c r="A397" s="3">
        <v>46087.0</v>
      </c>
      <c r="B397" s="4">
        <v>1339.0</v>
      </c>
      <c r="C397" s="4">
        <v>1357.6</v>
      </c>
      <c r="D397" s="4">
        <v>1310.4</v>
      </c>
      <c r="E397" s="4">
        <v>1357.6</v>
      </c>
      <c r="F397" s="4">
        <v>1313.4</v>
      </c>
      <c r="G397" s="4">
        <v>1322.85</v>
      </c>
      <c r="H397" s="1" t="s">
        <v>7937</v>
      </c>
      <c r="I397" s="1" t="s">
        <v>7938</v>
      </c>
      <c r="J397" s="1" t="s">
        <v>7940</v>
      </c>
      <c r="K397" s="6">
        <f t="shared" si="2"/>
        <v>-0.03255745433</v>
      </c>
      <c r="L397" s="7">
        <v>-0.01273727181325939</v>
      </c>
      <c r="M397" s="8">
        <f t="shared" si="1"/>
        <v>22778852</v>
      </c>
    </row>
    <row r="398">
      <c r="A398" s="3">
        <v>46090.0</v>
      </c>
      <c r="B398" s="4">
        <v>1272.7</v>
      </c>
      <c r="C398" s="4">
        <v>1282.7</v>
      </c>
      <c r="D398" s="4">
        <v>1251.1</v>
      </c>
      <c r="E398" s="4">
        <v>1313.4</v>
      </c>
      <c r="F398" s="4">
        <v>1278.4</v>
      </c>
      <c r="G398" s="4">
        <v>1271.54</v>
      </c>
      <c r="H398" s="1" t="s">
        <v>7945</v>
      </c>
      <c r="I398" s="1" t="s">
        <v>7946</v>
      </c>
      <c r="J398" s="1" t="s">
        <v>7947</v>
      </c>
      <c r="K398" s="6">
        <f t="shared" si="2"/>
        <v>-0.02664839348</v>
      </c>
      <c r="L398" s="7">
        <v>-0.017275755660938814</v>
      </c>
      <c r="M398" s="8">
        <f t="shared" si="1"/>
        <v>16116652</v>
      </c>
    </row>
    <row r="399">
      <c r="A399" s="9">
        <v>46091.0</v>
      </c>
      <c r="B399" s="4">
        <v>1287.6</v>
      </c>
      <c r="C399" s="4">
        <v>1315.0</v>
      </c>
      <c r="D399" s="4">
        <v>1285.6</v>
      </c>
      <c r="E399" s="4">
        <v>1278.4</v>
      </c>
      <c r="F399" s="4">
        <v>1311.9</v>
      </c>
      <c r="G399" s="4">
        <v>1304.25</v>
      </c>
      <c r="H399" s="1" t="s">
        <v>7951</v>
      </c>
      <c r="I399" s="1" t="s">
        <v>7952</v>
      </c>
      <c r="J399" s="1" t="s">
        <v>7953</v>
      </c>
      <c r="K399" s="6">
        <f t="shared" si="2"/>
        <v>0.02620463079</v>
      </c>
      <c r="L399" s="7">
        <v>0.009719889878704235</v>
      </c>
      <c r="M399" s="8">
        <f t="shared" si="1"/>
        <v>19136143</v>
      </c>
    </row>
    <row r="400">
      <c r="A400" s="9">
        <v>46092.0</v>
      </c>
      <c r="B400" s="4">
        <v>1300.0</v>
      </c>
      <c r="C400" s="4">
        <v>1306.5</v>
      </c>
      <c r="D400" s="4">
        <v>1290.9</v>
      </c>
      <c r="E400" s="4">
        <v>1311.9</v>
      </c>
      <c r="F400" s="4">
        <v>1294.6</v>
      </c>
      <c r="G400" s="4">
        <v>1297.44</v>
      </c>
      <c r="H400" s="1" t="s">
        <v>7957</v>
      </c>
      <c r="I400" s="1" t="s">
        <v>7958</v>
      </c>
      <c r="J400" s="1" t="s">
        <v>7959</v>
      </c>
      <c r="K400" s="6">
        <f t="shared" si="2"/>
        <v>-0.01318698071</v>
      </c>
      <c r="L400" s="7">
        <v>-0.016270567481122433</v>
      </c>
      <c r="M400" s="8">
        <f t="shared" si="1"/>
        <v>13224259</v>
      </c>
    </row>
    <row r="401">
      <c r="A401" s="9">
        <v>46093.0</v>
      </c>
      <c r="B401" s="4">
        <v>1275.7</v>
      </c>
      <c r="C401" s="4">
        <v>1280.5</v>
      </c>
      <c r="D401" s="4">
        <v>1258.3</v>
      </c>
      <c r="E401" s="4">
        <v>1294.6</v>
      </c>
      <c r="F401" s="4">
        <v>1266.5</v>
      </c>
      <c r="G401" s="4">
        <v>1270.55</v>
      </c>
      <c r="H401" s="1" t="s">
        <v>7963</v>
      </c>
      <c r="I401" s="1" t="s">
        <v>7966</v>
      </c>
      <c r="J401" s="1" t="s">
        <v>7968</v>
      </c>
      <c r="K401" s="6">
        <f t="shared" si="2"/>
        <v>-0.02170554611</v>
      </c>
      <c r="L401" s="7">
        <v>-0.00954042950787377</v>
      </c>
      <c r="M401" s="8">
        <f t="shared" si="1"/>
        <v>19676187</v>
      </c>
    </row>
    <row r="402">
      <c r="A402" s="9">
        <v>46094.0</v>
      </c>
      <c r="B402" s="4">
        <v>1251.9</v>
      </c>
      <c r="C402" s="4">
        <v>1262.3</v>
      </c>
      <c r="D402" s="4">
        <v>1248.7</v>
      </c>
      <c r="E402" s="4">
        <v>1266.5</v>
      </c>
      <c r="F402" s="4">
        <v>1254.8</v>
      </c>
      <c r="G402" s="4">
        <v>1254.83</v>
      </c>
      <c r="H402" s="1" t="s">
        <v>7972</v>
      </c>
      <c r="I402" s="1" t="s">
        <v>7973</v>
      </c>
      <c r="J402" s="1" t="s">
        <v>7974</v>
      </c>
      <c r="K402" s="6">
        <f t="shared" si="2"/>
        <v>-0.009238057639</v>
      </c>
      <c r="L402" s="7">
        <v>-0.02064583540440341</v>
      </c>
      <c r="M402" s="8">
        <f t="shared" si="1"/>
        <v>17344394</v>
      </c>
    </row>
    <row r="403">
      <c r="A403" s="9">
        <v>46097.0</v>
      </c>
      <c r="B403" s="4">
        <v>1255.0</v>
      </c>
      <c r="C403" s="4">
        <v>1276.8</v>
      </c>
      <c r="D403" s="4">
        <v>1240.1</v>
      </c>
      <c r="E403" s="4">
        <v>1254.8</v>
      </c>
      <c r="F403" s="4">
        <v>1272.9</v>
      </c>
      <c r="G403" s="4">
        <v>1261.0</v>
      </c>
      <c r="H403" s="1" t="s">
        <v>7978</v>
      </c>
      <c r="I403" s="1" t="s">
        <v>7979</v>
      </c>
      <c r="J403" s="1" t="s">
        <v>7980</v>
      </c>
      <c r="K403" s="6">
        <f t="shared" si="2"/>
        <v>0.0144246095</v>
      </c>
      <c r="L403" s="7">
        <v>0.01113122054675591</v>
      </c>
      <c r="M403" s="8">
        <f t="shared" si="1"/>
        <v>22740688</v>
      </c>
    </row>
    <row r="404">
      <c r="A404" s="9">
        <v>46098.0</v>
      </c>
      <c r="B404" s="4">
        <v>1278.9</v>
      </c>
      <c r="C404" s="4">
        <v>1294.4</v>
      </c>
      <c r="D404" s="4">
        <v>1273.0</v>
      </c>
      <c r="E404" s="4">
        <v>1272.9</v>
      </c>
      <c r="F404" s="4">
        <v>1288.7</v>
      </c>
      <c r="G404" s="4">
        <v>1285.58</v>
      </c>
      <c r="H404" s="1" t="s">
        <v>7984</v>
      </c>
      <c r="I404" s="1" t="s">
        <v>7985</v>
      </c>
      <c r="J404" s="1" t="s">
        <v>7986</v>
      </c>
      <c r="K404" s="6">
        <f t="shared" si="2"/>
        <v>0.01241260115</v>
      </c>
      <c r="L404" s="7">
        <v>0.00736261576842906</v>
      </c>
      <c r="M404" s="8">
        <f t="shared" si="1"/>
        <v>22303102</v>
      </c>
    </row>
    <row r="405">
      <c r="A405" s="9">
        <v>46099.0</v>
      </c>
      <c r="B405" s="4">
        <v>1286.0</v>
      </c>
      <c r="C405" s="4">
        <v>1297.1</v>
      </c>
      <c r="D405" s="4">
        <v>1270.8</v>
      </c>
      <c r="E405" s="4">
        <v>1288.7</v>
      </c>
      <c r="F405" s="4">
        <v>1289.3</v>
      </c>
      <c r="G405" s="4">
        <v>1287.83</v>
      </c>
      <c r="H405" s="1" t="s">
        <v>7990</v>
      </c>
      <c r="I405" s="1" t="s">
        <v>7991</v>
      </c>
      <c r="J405" s="1" t="s">
        <v>7992</v>
      </c>
      <c r="K405" s="6">
        <f t="shared" si="2"/>
        <v>0.0004655854737</v>
      </c>
      <c r="L405" s="7">
        <v>0.00833928794821278</v>
      </c>
      <c r="M405" s="8">
        <f t="shared" si="1"/>
        <v>12961135</v>
      </c>
    </row>
    <row r="406">
      <c r="A406" s="9">
        <v>46100.0</v>
      </c>
      <c r="B406" s="4">
        <v>1267.6</v>
      </c>
      <c r="C406" s="4">
        <v>1285.9</v>
      </c>
      <c r="D406" s="4">
        <v>1243.7</v>
      </c>
      <c r="E406" s="4">
        <v>1289.3</v>
      </c>
      <c r="F406" s="4">
        <v>1250.1</v>
      </c>
      <c r="G406" s="4">
        <v>1258.87</v>
      </c>
      <c r="H406" s="1" t="s">
        <v>7996</v>
      </c>
      <c r="I406" s="1" t="s">
        <v>7997</v>
      </c>
      <c r="J406" s="1" t="s">
        <v>7998</v>
      </c>
      <c r="K406" s="6">
        <f t="shared" si="2"/>
        <v>-0.03040409525</v>
      </c>
      <c r="L406" s="7">
        <v>-0.032620763905828035</v>
      </c>
      <c r="M406" s="8">
        <f t="shared" si="1"/>
        <v>14422899</v>
      </c>
    </row>
    <row r="407">
      <c r="A407" s="9">
        <v>46101.0</v>
      </c>
      <c r="B407" s="4">
        <v>1258.4</v>
      </c>
      <c r="C407" s="4">
        <v>1274.0</v>
      </c>
      <c r="D407" s="4">
        <v>1241.7</v>
      </c>
      <c r="E407" s="4">
        <v>1250.1</v>
      </c>
      <c r="F407" s="4">
        <v>1245.4</v>
      </c>
      <c r="G407" s="4">
        <v>1256.05</v>
      </c>
      <c r="H407" s="1" t="s">
        <v>8002</v>
      </c>
      <c r="I407" s="1" t="s">
        <v>8003</v>
      </c>
      <c r="J407" s="1" t="s">
        <v>8004</v>
      </c>
      <c r="K407" s="6">
        <f t="shared" si="2"/>
        <v>-0.003759699224</v>
      </c>
      <c r="L407" s="7">
        <v>0.004884326030392748</v>
      </c>
      <c r="M407" s="8">
        <f t="shared" si="1"/>
        <v>16421006</v>
      </c>
    </row>
    <row r="408">
      <c r="A408" s="9">
        <v>46104.0</v>
      </c>
      <c r="B408" s="4">
        <v>1226.6</v>
      </c>
      <c r="C408" s="4">
        <v>1234.9</v>
      </c>
      <c r="D408" s="4">
        <v>1218.1</v>
      </c>
      <c r="E408" s="4">
        <v>1245.4</v>
      </c>
      <c r="F408" s="4">
        <v>1222.7</v>
      </c>
      <c r="G408" s="4">
        <v>1225.36</v>
      </c>
      <c r="H408" s="1" t="s">
        <v>8007</v>
      </c>
      <c r="I408" s="1" t="s">
        <v>8008</v>
      </c>
      <c r="J408" s="1" t="s">
        <v>8009</v>
      </c>
      <c r="K408" s="6">
        <f t="shared" si="2"/>
        <v>-0.01822707564</v>
      </c>
      <c r="L408" s="7">
        <v>-0.02603776850029196</v>
      </c>
      <c r="M408" s="8">
        <f t="shared" si="1"/>
        <v>17049534</v>
      </c>
    </row>
    <row r="409">
      <c r="A409" s="9">
        <v>46105.0</v>
      </c>
      <c r="B409" s="4">
        <v>1237.1</v>
      </c>
      <c r="C409" s="4">
        <v>1253.9</v>
      </c>
      <c r="D409" s="4">
        <v>1223.7</v>
      </c>
      <c r="E409" s="4">
        <v>1222.7</v>
      </c>
      <c r="F409" s="4">
        <v>1251.2</v>
      </c>
      <c r="G409" s="4">
        <v>1242.48</v>
      </c>
      <c r="H409" s="1" t="s">
        <v>8013</v>
      </c>
      <c r="I409" s="1" t="s">
        <v>8014</v>
      </c>
      <c r="J409" s="1" t="s">
        <v>8015</v>
      </c>
      <c r="K409" s="6">
        <f t="shared" si="2"/>
        <v>0.02330907009</v>
      </c>
      <c r="L409" s="7">
        <v>0.017756683464629885</v>
      </c>
      <c r="M409" s="8">
        <f t="shared" si="1"/>
        <v>20617782</v>
      </c>
    </row>
    <row r="410">
      <c r="A410" s="9">
        <v>46106.0</v>
      </c>
      <c r="B410" s="4">
        <v>1258.9</v>
      </c>
      <c r="C410" s="4">
        <v>1272.9</v>
      </c>
      <c r="D410" s="4">
        <v>1254.4</v>
      </c>
      <c r="E410" s="4">
        <v>1251.2</v>
      </c>
      <c r="F410" s="4">
        <v>1259.7</v>
      </c>
      <c r="G410" s="4">
        <v>1262.48</v>
      </c>
      <c r="H410" s="1" t="s">
        <v>8018</v>
      </c>
      <c r="I410" s="1" t="s">
        <v>8019</v>
      </c>
      <c r="J410" s="1" t="s">
        <v>8020</v>
      </c>
      <c r="K410" s="6">
        <f t="shared" si="2"/>
        <v>0.006793478261</v>
      </c>
      <c r="L410" s="7">
        <v>0.017198111066496713</v>
      </c>
      <c r="M410" s="8">
        <f t="shared" si="1"/>
        <v>17290030</v>
      </c>
    </row>
    <row r="411">
      <c r="A411" s="9">
        <v>46108.0</v>
      </c>
      <c r="B411" s="4">
        <v>1256.0</v>
      </c>
      <c r="C411" s="4">
        <v>1260.9</v>
      </c>
      <c r="D411" s="4">
        <v>1230.1</v>
      </c>
      <c r="E411" s="4">
        <v>1259.7</v>
      </c>
      <c r="F411" s="4">
        <v>1233.8</v>
      </c>
      <c r="G411" s="4">
        <v>1241.91</v>
      </c>
      <c r="H411" s="1" t="s">
        <v>8024</v>
      </c>
      <c r="I411" s="1" t="s">
        <v>8025</v>
      </c>
      <c r="J411" s="1" t="s">
        <v>8026</v>
      </c>
      <c r="K411" s="6">
        <f t="shared" si="2"/>
        <v>-0.0205604509</v>
      </c>
      <c r="L411" s="7">
        <v>-0.020889067189554914</v>
      </c>
      <c r="M411" s="8">
        <f t="shared" si="1"/>
        <v>23630905</v>
      </c>
    </row>
    <row r="412">
      <c r="A412" s="9">
        <v>46111.0</v>
      </c>
      <c r="B412" s="4">
        <v>1216.5</v>
      </c>
      <c r="C412" s="4">
        <v>1222.6</v>
      </c>
      <c r="D412" s="4">
        <v>1200.4</v>
      </c>
      <c r="E412" s="4">
        <v>1233.8</v>
      </c>
      <c r="F412" s="4">
        <v>1205.9</v>
      </c>
      <c r="G412" s="4">
        <v>1211.37</v>
      </c>
      <c r="H412" s="1" t="s">
        <v>8028</v>
      </c>
      <c r="I412" s="1" t="s">
        <v>8030</v>
      </c>
      <c r="J412" s="1" t="s">
        <v>8031</v>
      </c>
      <c r="K412" s="6">
        <f t="shared" si="2"/>
        <v>-0.02261306533</v>
      </c>
      <c r="L412" s="7">
        <v>-0.02139388946344358</v>
      </c>
      <c r="M412" s="8">
        <f t="shared" si="1"/>
        <v>23952775</v>
      </c>
    </row>
    <row r="413">
      <c r="A413" s="3">
        <v>46113.0</v>
      </c>
      <c r="B413" s="4">
        <v>1228.1</v>
      </c>
      <c r="C413" s="4">
        <v>1234.0</v>
      </c>
      <c r="D413" s="4">
        <v>1210.0</v>
      </c>
      <c r="E413" s="4">
        <v>1205.9</v>
      </c>
      <c r="F413" s="4">
        <v>1212.7</v>
      </c>
      <c r="G413" s="4">
        <v>1219.58</v>
      </c>
      <c r="H413" s="1" t="s">
        <v>8033</v>
      </c>
      <c r="I413" s="1" t="s">
        <v>8034</v>
      </c>
      <c r="J413" s="1" t="s">
        <v>8036</v>
      </c>
      <c r="K413" s="6">
        <f t="shared" si="2"/>
        <v>0.005638941869</v>
      </c>
      <c r="L413" s="7">
        <v>0.015583438566323651</v>
      </c>
      <c r="M413" s="8">
        <f t="shared" si="1"/>
        <v>25472333</v>
      </c>
    </row>
    <row r="414">
      <c r="A414" s="3">
        <v>46114.0</v>
      </c>
      <c r="B414" s="4">
        <v>1196.0</v>
      </c>
      <c r="C414" s="4">
        <v>1222.1</v>
      </c>
      <c r="D414" s="4">
        <v>1187.6</v>
      </c>
      <c r="E414" s="4">
        <v>1212.7</v>
      </c>
      <c r="F414" s="4">
        <v>1215.8</v>
      </c>
      <c r="G414" s="4">
        <v>1204.91</v>
      </c>
      <c r="H414" s="1" t="s">
        <v>8037</v>
      </c>
      <c r="I414" s="1" t="s">
        <v>8039</v>
      </c>
      <c r="J414" s="1" t="s">
        <v>8041</v>
      </c>
      <c r="K414" s="6">
        <f t="shared" si="2"/>
        <v>0.002556279377</v>
      </c>
      <c r="L414" s="7">
        <v>0.001485929962873669</v>
      </c>
      <c r="M414" s="8">
        <f t="shared" si="1"/>
        <v>20851722</v>
      </c>
    </row>
    <row r="415">
      <c r="A415" s="3">
        <v>46118.0</v>
      </c>
      <c r="B415" s="4">
        <v>1213.0</v>
      </c>
      <c r="C415" s="4">
        <v>1234.4</v>
      </c>
      <c r="D415" s="4">
        <v>1200.5</v>
      </c>
      <c r="E415" s="4">
        <v>1215.8</v>
      </c>
      <c r="F415" s="4">
        <v>1231.4</v>
      </c>
      <c r="G415" s="4">
        <v>1218.09</v>
      </c>
      <c r="H415" s="1" t="s">
        <v>8043</v>
      </c>
      <c r="I415" s="1" t="s">
        <v>8044</v>
      </c>
      <c r="J415" s="1" t="s">
        <v>8046</v>
      </c>
      <c r="K415" s="6">
        <f t="shared" si="2"/>
        <v>0.01283105774</v>
      </c>
      <c r="L415" s="7">
        <v>0.011233605276250334</v>
      </c>
      <c r="M415" s="8">
        <f t="shared" si="1"/>
        <v>10058414</v>
      </c>
    </row>
    <row r="416">
      <c r="A416" s="3">
        <v>46119.0</v>
      </c>
      <c r="B416" s="4">
        <v>1229.0</v>
      </c>
      <c r="C416" s="4">
        <v>1250.4</v>
      </c>
      <c r="D416" s="4">
        <v>1216.6</v>
      </c>
      <c r="E416" s="4">
        <v>1231.4</v>
      </c>
      <c r="F416" s="4">
        <v>1245.5</v>
      </c>
      <c r="G416" s="4">
        <v>1235.01</v>
      </c>
      <c r="H416" s="1" t="s">
        <v>8048</v>
      </c>
      <c r="I416" s="1" t="s">
        <v>8049</v>
      </c>
      <c r="J416" s="1" t="s">
        <v>8050</v>
      </c>
      <c r="K416" s="6">
        <f t="shared" si="2"/>
        <v>0.01145038168</v>
      </c>
      <c r="L416" s="7">
        <v>0.0067658615697757316</v>
      </c>
      <c r="M416" s="8">
        <f t="shared" si="1"/>
        <v>25600557</v>
      </c>
    </row>
    <row r="417">
      <c r="A417" s="3">
        <v>46120.0</v>
      </c>
      <c r="B417" s="4">
        <v>1310.0</v>
      </c>
      <c r="C417" s="4">
        <v>1333.5</v>
      </c>
      <c r="D417" s="4">
        <v>1292.4</v>
      </c>
      <c r="E417" s="4">
        <v>1245.5</v>
      </c>
      <c r="F417" s="4">
        <v>1309.2</v>
      </c>
      <c r="G417" s="4">
        <v>1307.02</v>
      </c>
      <c r="H417" s="1" t="s">
        <v>8053</v>
      </c>
      <c r="I417" s="1" t="s">
        <v>8055</v>
      </c>
      <c r="J417" s="1" t="s">
        <v>8057</v>
      </c>
      <c r="K417" s="6">
        <f t="shared" si="2"/>
        <v>0.05114411883</v>
      </c>
      <c r="L417" s="7">
        <v>0.037783827380192876</v>
      </c>
      <c r="M417" s="8">
        <f t="shared" si="1"/>
        <v>25148651</v>
      </c>
    </row>
    <row r="418">
      <c r="A418" s="3">
        <v>46121.0</v>
      </c>
      <c r="B418" s="4">
        <v>1299.9</v>
      </c>
      <c r="C418" s="4">
        <v>1308.0</v>
      </c>
      <c r="D418" s="4">
        <v>1275.9</v>
      </c>
      <c r="E418" s="4">
        <v>1309.2</v>
      </c>
      <c r="F418" s="4">
        <v>1281.3</v>
      </c>
      <c r="G418" s="4">
        <v>1287.04</v>
      </c>
      <c r="H418" s="1" t="s">
        <v>8059</v>
      </c>
      <c r="I418" s="1" t="s">
        <v>8060</v>
      </c>
      <c r="J418" s="1" t="s">
        <v>8062</v>
      </c>
      <c r="K418" s="6">
        <f t="shared" si="2"/>
        <v>-0.02131072411</v>
      </c>
      <c r="L418" s="7">
        <v>-0.009261439283920933</v>
      </c>
      <c r="M418" s="8">
        <f t="shared" si="1"/>
        <v>22923062</v>
      </c>
    </row>
    <row r="419">
      <c r="A419" s="9">
        <v>46122.0</v>
      </c>
      <c r="B419" s="4">
        <v>1289.0</v>
      </c>
      <c r="C419" s="4">
        <v>1324.0</v>
      </c>
      <c r="D419" s="4">
        <v>1288.5</v>
      </c>
      <c r="E419" s="4">
        <v>1281.3</v>
      </c>
      <c r="F419" s="4">
        <v>1321.9</v>
      </c>
      <c r="G419" s="4">
        <v>1317.23</v>
      </c>
      <c r="H419" s="1" t="s">
        <v>8064</v>
      </c>
      <c r="I419" s="1" t="s">
        <v>8065</v>
      </c>
      <c r="J419" s="1" t="s">
        <v>8066</v>
      </c>
      <c r="K419" s="6">
        <f t="shared" si="2"/>
        <v>0.03168656833</v>
      </c>
      <c r="L419" s="7">
        <v>0.01158775357411746</v>
      </c>
      <c r="M419" s="8">
        <f t="shared" si="1"/>
        <v>18174755</v>
      </c>
    </row>
    <row r="420">
      <c r="A420" s="9">
        <v>46125.0</v>
      </c>
      <c r="B420" s="4">
        <v>1304.9</v>
      </c>
      <c r="C420" s="4">
        <v>1357.0</v>
      </c>
      <c r="D420" s="4">
        <v>1296.7</v>
      </c>
      <c r="E420" s="4">
        <v>1321.9</v>
      </c>
      <c r="F420" s="4">
        <v>1351.1</v>
      </c>
      <c r="G420" s="4">
        <v>1336.01</v>
      </c>
      <c r="H420" s="1" t="s">
        <v>8070</v>
      </c>
      <c r="I420" s="1" t="s">
        <v>8071</v>
      </c>
      <c r="J420" s="1" t="s">
        <v>8072</v>
      </c>
      <c r="K420" s="6">
        <f t="shared" si="2"/>
        <v>0.02208941675</v>
      </c>
      <c r="L420" s="7">
        <v>-0.008646353937115794</v>
      </c>
      <c r="M420" s="8">
        <f t="shared" si="1"/>
        <v>30572141</v>
      </c>
    </row>
    <row r="421">
      <c r="A421" s="9">
        <v>46127.0</v>
      </c>
      <c r="B421" s="4">
        <v>1358.0</v>
      </c>
      <c r="C421" s="4">
        <v>1364.8</v>
      </c>
      <c r="D421" s="4">
        <v>1338.0</v>
      </c>
      <c r="E421" s="4">
        <v>1351.1</v>
      </c>
      <c r="F421" s="4">
        <v>1348.1</v>
      </c>
      <c r="G421" s="4">
        <v>1348.45</v>
      </c>
      <c r="H421" s="1" t="s">
        <v>8076</v>
      </c>
      <c r="I421" s="1" t="s">
        <v>8077</v>
      </c>
      <c r="J421" s="1" t="s">
        <v>8078</v>
      </c>
      <c r="K421" s="6">
        <f t="shared" si="2"/>
        <v>-0.002220412997</v>
      </c>
      <c r="L421" s="7">
        <v>0.01630062094607763</v>
      </c>
      <c r="M421" s="8">
        <f t="shared" si="1"/>
        <v>23827473</v>
      </c>
    </row>
    <row r="422">
      <c r="A422" s="9">
        <v>46128.0</v>
      </c>
      <c r="B422" s="4">
        <v>1352.0</v>
      </c>
      <c r="C422" s="4">
        <v>1366.9</v>
      </c>
      <c r="D422" s="4">
        <v>1340.2</v>
      </c>
      <c r="E422" s="4">
        <v>1348.1</v>
      </c>
      <c r="F422" s="4">
        <v>1345.5</v>
      </c>
      <c r="G422" s="4">
        <v>1351.63</v>
      </c>
      <c r="H422" s="1" t="s">
        <v>8082</v>
      </c>
      <c r="I422" s="1" t="s">
        <v>8083</v>
      </c>
      <c r="J422" s="1" t="s">
        <v>8084</v>
      </c>
      <c r="K422" s="6">
        <f t="shared" si="2"/>
        <v>-0.001928640309</v>
      </c>
      <c r="L422" s="7">
        <v>-0.0014258417831482123</v>
      </c>
      <c r="M422" s="8">
        <f t="shared" si="1"/>
        <v>24017236</v>
      </c>
    </row>
    <row r="423">
      <c r="A423" s="9">
        <v>46129.0</v>
      </c>
      <c r="B423" s="4">
        <v>1347.0</v>
      </c>
      <c r="C423" s="4">
        <v>1352.9</v>
      </c>
      <c r="D423" s="4">
        <v>1334.0</v>
      </c>
      <c r="E423" s="4">
        <v>1345.5</v>
      </c>
      <c r="F423" s="4">
        <v>1346.8</v>
      </c>
      <c r="G423" s="4">
        <v>1341.32</v>
      </c>
      <c r="H423" s="1" t="s">
        <v>8088</v>
      </c>
      <c r="I423" s="1" t="s">
        <v>8089</v>
      </c>
      <c r="J423" s="1" t="s">
        <v>8090</v>
      </c>
      <c r="K423" s="6">
        <f t="shared" si="2"/>
        <v>0.0009661835749</v>
      </c>
      <c r="L423" s="7">
        <v>0.006480209118993223</v>
      </c>
      <c r="M423" s="8">
        <f t="shared" si="1"/>
        <v>18151993</v>
      </c>
    </row>
    <row r="424">
      <c r="A424" s="9">
        <v>46132.0</v>
      </c>
      <c r="B424" s="4">
        <v>1364.7</v>
      </c>
      <c r="C424" s="4">
        <v>1376.4</v>
      </c>
      <c r="D424" s="4">
        <v>1353.0</v>
      </c>
      <c r="E424" s="4">
        <v>1346.8</v>
      </c>
      <c r="F424" s="4">
        <v>1356.2</v>
      </c>
      <c r="G424" s="4">
        <v>1362.59</v>
      </c>
      <c r="H424" s="1" t="s">
        <v>8093</v>
      </c>
      <c r="I424" s="1" t="s">
        <v>8095</v>
      </c>
      <c r="J424" s="1" t="s">
        <v>8096</v>
      </c>
      <c r="K424" s="6">
        <f t="shared" si="2"/>
        <v>0.00697950698</v>
      </c>
      <c r="L424" s="7">
        <v>4.639980618841718E-4</v>
      </c>
      <c r="M424" s="8">
        <f t="shared" si="1"/>
        <v>21551520</v>
      </c>
    </row>
    <row r="425">
      <c r="A425" s="9">
        <v>46133.0</v>
      </c>
      <c r="B425" s="4">
        <v>1368.0</v>
      </c>
      <c r="C425" s="4">
        <v>1393.1</v>
      </c>
      <c r="D425" s="4">
        <v>1360.0</v>
      </c>
      <c r="E425" s="4">
        <v>1356.2</v>
      </c>
      <c r="F425" s="4">
        <v>1388.4</v>
      </c>
      <c r="G425" s="4">
        <v>1382.63</v>
      </c>
      <c r="H425" s="1" t="s">
        <v>8099</v>
      </c>
      <c r="I425" s="1" t="s">
        <v>8101</v>
      </c>
      <c r="J425" s="1" t="s">
        <v>8102</v>
      </c>
      <c r="K425" s="6">
        <f t="shared" si="2"/>
        <v>0.02374281079</v>
      </c>
      <c r="L425" s="7">
        <v>0.00869079842477996</v>
      </c>
      <c r="M425" s="8">
        <f t="shared" si="1"/>
        <v>23312455</v>
      </c>
    </row>
    <row r="426">
      <c r="A426" s="9">
        <v>46134.0</v>
      </c>
      <c r="B426" s="4">
        <v>1380.0</v>
      </c>
      <c r="C426" s="4">
        <v>1380.1</v>
      </c>
      <c r="D426" s="4">
        <v>1365.0</v>
      </c>
      <c r="E426" s="4">
        <v>1388.4</v>
      </c>
      <c r="F426" s="4">
        <v>1367.6</v>
      </c>
      <c r="G426" s="4">
        <v>1370.33</v>
      </c>
      <c r="H426" s="1" t="s">
        <v>8106</v>
      </c>
      <c r="I426" s="1" t="s">
        <v>8107</v>
      </c>
      <c r="J426" s="1" t="s">
        <v>8108</v>
      </c>
      <c r="K426" s="6">
        <f t="shared" si="2"/>
        <v>-0.01498127341</v>
      </c>
      <c r="L426" s="7">
        <v>-0.008076788489864343</v>
      </c>
      <c r="M426" s="8">
        <f t="shared" si="1"/>
        <v>13613487</v>
      </c>
    </row>
    <row r="427">
      <c r="A427" s="9">
        <v>46135.0</v>
      </c>
      <c r="B427" s="4">
        <v>1348.4</v>
      </c>
      <c r="C427" s="4">
        <v>1354.0</v>
      </c>
      <c r="D427" s="4">
        <v>1343.5</v>
      </c>
      <c r="E427" s="4">
        <v>1367.6</v>
      </c>
      <c r="F427" s="4">
        <v>1348.0</v>
      </c>
      <c r="G427" s="4">
        <v>1348.93</v>
      </c>
      <c r="H427" s="1" t="s">
        <v>8112</v>
      </c>
      <c r="I427" s="1" t="s">
        <v>8113</v>
      </c>
      <c r="J427" s="1" t="s">
        <v>8114</v>
      </c>
      <c r="K427" s="6">
        <f t="shared" si="2"/>
        <v>-0.01433167593</v>
      </c>
      <c r="L427" s="7">
        <v>-0.008411237955377954</v>
      </c>
      <c r="M427" s="8">
        <f t="shared" si="1"/>
        <v>20111792</v>
      </c>
    </row>
    <row r="428">
      <c r="A428" s="9">
        <v>46136.0</v>
      </c>
      <c r="B428" s="4">
        <v>1336.3</v>
      </c>
      <c r="C428" s="4">
        <v>1348.8</v>
      </c>
      <c r="D428" s="4">
        <v>1324.0</v>
      </c>
      <c r="E428" s="4">
        <v>1348.0</v>
      </c>
      <c r="F428" s="4">
        <v>1326.2</v>
      </c>
      <c r="G428" s="4">
        <v>1332.36</v>
      </c>
      <c r="H428" s="1" t="s">
        <v>8118</v>
      </c>
      <c r="I428" s="1" t="s">
        <v>8119</v>
      </c>
      <c r="J428" s="1" t="s">
        <v>8120</v>
      </c>
      <c r="K428" s="6">
        <f t="shared" si="2"/>
        <v>-0.01617210682</v>
      </c>
      <c r="L428" s="7">
        <v>-0.011380442269386715</v>
      </c>
      <c r="M428" s="8">
        <f t="shared" si="1"/>
        <v>14056743</v>
      </c>
    </row>
    <row r="429">
      <c r="A429" s="9">
        <v>46139.0</v>
      </c>
      <c r="B429" s="4">
        <v>1327.9</v>
      </c>
      <c r="C429" s="4">
        <v>1335.9</v>
      </c>
      <c r="D429" s="4">
        <v>1310.9</v>
      </c>
      <c r="E429" s="4">
        <v>1326.2</v>
      </c>
      <c r="F429" s="4">
        <v>1314.1</v>
      </c>
      <c r="G429" s="4">
        <v>1319.21</v>
      </c>
      <c r="H429" s="1" t="s">
        <v>8123</v>
      </c>
      <c r="I429" s="1" t="s">
        <v>8124</v>
      </c>
      <c r="J429" s="1" t="s">
        <v>8125</v>
      </c>
      <c r="K429" s="6">
        <f t="shared" si="2"/>
        <v>-0.009123812396</v>
      </c>
      <c r="L429" s="7">
        <v>0.008149234557775876</v>
      </c>
      <c r="M429" s="8">
        <f t="shared" si="1"/>
        <v>15385625</v>
      </c>
    </row>
    <row r="430">
      <c r="A430" s="9">
        <v>46140.0</v>
      </c>
      <c r="B430" s="4">
        <v>1314.3</v>
      </c>
      <c r="C430" s="4">
        <v>1317.7</v>
      </c>
      <c r="D430" s="4">
        <v>1286.7</v>
      </c>
      <c r="E430" s="4">
        <v>1314.1</v>
      </c>
      <c r="F430" s="4">
        <v>1292.0</v>
      </c>
      <c r="G430" s="4">
        <v>1300.34</v>
      </c>
      <c r="H430" s="1" t="s">
        <v>8129</v>
      </c>
      <c r="I430" s="1" t="s">
        <v>8130</v>
      </c>
      <c r="J430" s="1" t="s">
        <v>8131</v>
      </c>
      <c r="K430" s="6">
        <f t="shared" si="2"/>
        <v>-0.01681759379</v>
      </c>
      <c r="L430" s="7">
        <v>-0.004026115794410755</v>
      </c>
      <c r="M430" s="8">
        <f t="shared" si="1"/>
        <v>16774778</v>
      </c>
    </row>
    <row r="431">
      <c r="A431" s="9">
        <v>46141.0</v>
      </c>
      <c r="B431" s="4">
        <v>1294.7</v>
      </c>
      <c r="C431" s="4">
        <v>1296.8</v>
      </c>
      <c r="D431" s="4">
        <v>1276.2</v>
      </c>
      <c r="E431" s="4">
        <v>1292.0</v>
      </c>
      <c r="F431" s="4">
        <v>1281.0</v>
      </c>
      <c r="G431" s="4">
        <v>1287.47</v>
      </c>
      <c r="H431" s="1" t="s">
        <v>8135</v>
      </c>
      <c r="I431" s="1" t="s">
        <v>8136</v>
      </c>
      <c r="J431" s="1" t="s">
        <v>8137</v>
      </c>
      <c r="K431" s="6">
        <f t="shared" si="2"/>
        <v>-0.008513931889</v>
      </c>
      <c r="L431" s="7">
        <v>0.007582608550698697</v>
      </c>
      <c r="M431" s="8">
        <f t="shared" si="1"/>
        <v>11716030</v>
      </c>
    </row>
    <row r="432">
      <c r="A432" s="9">
        <v>46142.0</v>
      </c>
      <c r="B432" s="4">
        <v>1261.0</v>
      </c>
      <c r="C432" s="4">
        <v>1272.2</v>
      </c>
      <c r="D432" s="4">
        <v>1259.0</v>
      </c>
      <c r="E432" s="4">
        <v>1281.0</v>
      </c>
      <c r="F432" s="4">
        <v>1263.4</v>
      </c>
      <c r="G432" s="4">
        <v>1264.67</v>
      </c>
      <c r="H432" s="1" t="s">
        <v>8141</v>
      </c>
      <c r="I432" s="1" t="s">
        <v>8142</v>
      </c>
      <c r="J432" s="1" t="s">
        <v>8143</v>
      </c>
      <c r="K432" s="6">
        <f t="shared" si="2"/>
        <v>-0.0137392662</v>
      </c>
      <c r="L432" s="7">
        <v>-0.00744902833815537</v>
      </c>
      <c r="M432" s="8">
        <f t="shared" si="1"/>
        <v>17740110</v>
      </c>
    </row>
    <row r="433">
      <c r="A433" s="12">
        <v>46146.0</v>
      </c>
      <c r="B433" s="4">
        <v>1264.3</v>
      </c>
      <c r="C433" s="4">
        <v>1282.2</v>
      </c>
      <c r="D433" s="4">
        <v>1264.3</v>
      </c>
      <c r="E433" s="4">
        <v>1263.4</v>
      </c>
      <c r="F433" s="4">
        <v>1270.8</v>
      </c>
      <c r="G433" s="4">
        <v>1273.13</v>
      </c>
      <c r="H433" s="1" t="s">
        <v>8146</v>
      </c>
      <c r="I433" s="1" t="s">
        <v>8147</v>
      </c>
      <c r="J433" s="1" t="s">
        <v>8148</v>
      </c>
      <c r="K433" s="6">
        <f t="shared" si="2"/>
        <v>0.005857210701</v>
      </c>
      <c r="L433" s="7">
        <v>0.005073434579780019</v>
      </c>
      <c r="M433" s="8">
        <f t="shared" si="1"/>
        <v>14597051</v>
      </c>
    </row>
    <row r="434">
      <c r="A434" s="12">
        <v>46147.0</v>
      </c>
      <c r="B434" s="4">
        <v>1264.0</v>
      </c>
      <c r="C434" s="4">
        <v>1266.7</v>
      </c>
      <c r="D434" s="4">
        <v>1245.5</v>
      </c>
      <c r="E434" s="4">
        <v>1270.8</v>
      </c>
      <c r="F434" s="4">
        <v>1251.3</v>
      </c>
      <c r="G434" s="4">
        <v>1252.12</v>
      </c>
      <c r="H434" s="1" t="s">
        <v>8152</v>
      </c>
      <c r="I434" s="1" t="s">
        <v>8153</v>
      </c>
      <c r="J434" s="1" t="s">
        <v>8154</v>
      </c>
      <c r="K434" s="6">
        <f t="shared" si="2"/>
        <v>-0.01534466478</v>
      </c>
      <c r="L434" s="7">
        <v>-0.0035863395703855418</v>
      </c>
      <c r="M434" s="8">
        <f t="shared" si="1"/>
        <v>24447935</v>
      </c>
    </row>
    <row r="435">
      <c r="A435" s="12">
        <v>46148.0</v>
      </c>
      <c r="B435" s="4">
        <v>1262.0</v>
      </c>
      <c r="C435" s="4">
        <v>1282.8</v>
      </c>
      <c r="D435" s="4">
        <v>1252.1</v>
      </c>
      <c r="E435" s="4">
        <v>1251.3</v>
      </c>
      <c r="F435" s="4">
        <v>1279.5</v>
      </c>
      <c r="G435" s="4">
        <v>1268.87</v>
      </c>
      <c r="H435" s="1" t="s">
        <v>8157</v>
      </c>
      <c r="I435" s="1" t="s">
        <v>8158</v>
      </c>
      <c r="J435" s="1" t="s">
        <v>8159</v>
      </c>
      <c r="K435" s="6">
        <f t="shared" si="2"/>
        <v>0.02253656198</v>
      </c>
      <c r="L435" s="7">
        <v>0.012405961852135475</v>
      </c>
      <c r="M435" s="8">
        <f t="shared" si="1"/>
        <v>22909586</v>
      </c>
    </row>
    <row r="436">
      <c r="A436" s="12">
        <v>46149.0</v>
      </c>
      <c r="B436" s="4">
        <v>1284.7</v>
      </c>
      <c r="C436" s="4">
        <v>1294.0</v>
      </c>
      <c r="D436" s="4">
        <v>1273.2</v>
      </c>
      <c r="E436" s="4">
        <v>1279.5</v>
      </c>
      <c r="F436" s="4">
        <v>1279.0</v>
      </c>
      <c r="G436" s="4">
        <v>1282.68</v>
      </c>
      <c r="H436" s="1" t="s">
        <v>8163</v>
      </c>
      <c r="I436" s="1" t="s">
        <v>8164</v>
      </c>
      <c r="J436" s="1" t="s">
        <v>8165</v>
      </c>
      <c r="K436" s="6">
        <f t="shared" si="2"/>
        <v>-0.0003907776475</v>
      </c>
      <c r="L436" s="7">
        <v>-1.7672963858785917E-4</v>
      </c>
      <c r="M436" s="8">
        <f t="shared" si="1"/>
        <v>25028552</v>
      </c>
    </row>
    <row r="437">
      <c r="A437" s="12">
        <v>46150.0</v>
      </c>
      <c r="B437" s="4">
        <v>1279.6</v>
      </c>
      <c r="C437" s="4">
        <v>1279.6</v>
      </c>
      <c r="D437" s="4">
        <v>1261.2</v>
      </c>
      <c r="E437" s="4">
        <v>1279.0</v>
      </c>
      <c r="F437" s="4">
        <v>1264.8</v>
      </c>
      <c r="G437" s="4">
        <v>1266.0</v>
      </c>
      <c r="H437" s="1" t="s">
        <v>8169</v>
      </c>
      <c r="I437" s="1" t="s">
        <v>8170</v>
      </c>
      <c r="J437" s="1" t="s">
        <v>8171</v>
      </c>
      <c r="K437" s="6">
        <f t="shared" si="2"/>
        <v>-0.01110242377</v>
      </c>
      <c r="L437" s="7">
        <v>-0.006186630711585853</v>
      </c>
      <c r="M437" s="8">
        <f t="shared" si="1"/>
        <v>11137424</v>
      </c>
    </row>
    <row r="438">
      <c r="A438" s="13">
        <v>46153.0</v>
      </c>
      <c r="B438" s="4">
        <v>1259.4</v>
      </c>
      <c r="C438" s="4">
        <v>1275.7</v>
      </c>
      <c r="D438" s="4">
        <v>1252.0</v>
      </c>
      <c r="E438" s="4">
        <v>1264.8</v>
      </c>
      <c r="F438" s="4">
        <v>1266.4</v>
      </c>
      <c r="G438" s="4">
        <v>1267.94</v>
      </c>
      <c r="H438" s="1" t="s">
        <v>8175</v>
      </c>
      <c r="I438" s="1" t="s">
        <v>8176</v>
      </c>
      <c r="J438" s="1" t="s">
        <v>8177</v>
      </c>
      <c r="K438" s="6">
        <f t="shared" si="2"/>
        <v>0.001265022138</v>
      </c>
      <c r="L438" s="7">
        <v>-0.01490311732844158</v>
      </c>
      <c r="M438" s="8">
        <f t="shared" si="1"/>
        <v>18980488</v>
      </c>
    </row>
    <row r="439">
      <c r="A439" s="13">
        <v>46154.0</v>
      </c>
      <c r="B439" s="4">
        <v>1256.0</v>
      </c>
      <c r="C439" s="4">
        <v>1259.9</v>
      </c>
      <c r="D439" s="4">
        <v>1236.3</v>
      </c>
      <c r="E439" s="4">
        <v>1266.4</v>
      </c>
      <c r="F439" s="4">
        <v>1240.3</v>
      </c>
      <c r="G439" s="4">
        <v>1244.35</v>
      </c>
      <c r="H439" s="1" t="s">
        <v>8181</v>
      </c>
      <c r="I439" s="1" t="s">
        <v>8182</v>
      </c>
      <c r="J439" s="1" t="s">
        <v>8183</v>
      </c>
      <c r="K439" s="6">
        <f t="shared" si="2"/>
        <v>-0.02060960202</v>
      </c>
      <c r="L439" s="7">
        <v>-0.018319732447088777</v>
      </c>
      <c r="M439" s="8">
        <f t="shared" si="1"/>
        <v>21110708</v>
      </c>
    </row>
    <row r="440">
      <c r="A440" s="13">
        <v>46155.0</v>
      </c>
      <c r="B440" s="4">
        <v>1238.3</v>
      </c>
      <c r="C440" s="4">
        <v>1249.2</v>
      </c>
      <c r="D440" s="4">
        <v>1227.2</v>
      </c>
      <c r="E440" s="4">
        <v>1240.3</v>
      </c>
      <c r="F440" s="4">
        <v>1235.6</v>
      </c>
      <c r="G440" s="4">
        <v>1238.85</v>
      </c>
      <c r="H440" s="1" t="s">
        <v>8186</v>
      </c>
      <c r="I440" s="1" t="s">
        <v>8187</v>
      </c>
      <c r="J440" s="1" t="s">
        <v>8188</v>
      </c>
      <c r="K440" s="6">
        <f t="shared" si="2"/>
        <v>-0.003789405789</v>
      </c>
      <c r="L440" s="7">
        <v>0.0014136285771111624</v>
      </c>
      <c r="M440" s="8">
        <f t="shared" si="1"/>
        <v>19490295</v>
      </c>
    </row>
    <row r="441">
      <c r="A441" s="13">
        <v>46156.0</v>
      </c>
      <c r="B441" s="4">
        <v>1239.1</v>
      </c>
      <c r="C441" s="4">
        <v>1256.7</v>
      </c>
      <c r="D441" s="4">
        <v>1236.0</v>
      </c>
      <c r="E441" s="4">
        <v>1235.6</v>
      </c>
      <c r="F441" s="4">
        <v>1246.0</v>
      </c>
      <c r="G441" s="4">
        <v>1248.25</v>
      </c>
      <c r="H441" s="1" t="s">
        <v>8192</v>
      </c>
      <c r="I441" s="1" t="s">
        <v>8193</v>
      </c>
      <c r="J441" s="1" t="s">
        <v>8194</v>
      </c>
      <c r="K441" s="6">
        <f t="shared" si="2"/>
        <v>0.008416963419</v>
      </c>
      <c r="L441" s="7">
        <v>0.011831236171975774</v>
      </c>
      <c r="M441" s="8">
        <f t="shared" si="1"/>
        <v>16535600</v>
      </c>
    </row>
    <row r="442">
      <c r="A442" s="13">
        <v>46157.0</v>
      </c>
      <c r="B442" s="4">
        <v>1246.6</v>
      </c>
      <c r="C442" s="4">
        <v>1258.0</v>
      </c>
      <c r="D442" s="4">
        <v>1242.0</v>
      </c>
      <c r="E442" s="4">
        <v>1246.0</v>
      </c>
      <c r="F442" s="4">
        <v>1244.5</v>
      </c>
      <c r="G442" s="4">
        <v>1247.98</v>
      </c>
      <c r="H442" s="1" t="s">
        <v>8197</v>
      </c>
      <c r="I442" s="1" t="s">
        <v>8198</v>
      </c>
      <c r="J442" s="1" t="s">
        <v>8199</v>
      </c>
      <c r="K442" s="6">
        <f t="shared" si="2"/>
        <v>-0.001203852327</v>
      </c>
      <c r="L442" s="7">
        <v>-0.0019460016209644126</v>
      </c>
      <c r="M442" s="8">
        <f t="shared" si="1"/>
        <v>11745614</v>
      </c>
    </row>
    <row r="443">
      <c r="A443" s="13">
        <v>46160.0</v>
      </c>
      <c r="B443" s="4">
        <v>1235.5</v>
      </c>
      <c r="C443" s="4">
        <v>1253.7</v>
      </c>
      <c r="D443" s="4">
        <v>1232.0</v>
      </c>
      <c r="E443" s="4">
        <v>1244.5</v>
      </c>
      <c r="F443" s="4">
        <v>1251.1</v>
      </c>
      <c r="G443" s="4">
        <v>1243.71</v>
      </c>
      <c r="H443" s="1" t="s">
        <v>8202</v>
      </c>
      <c r="I443" s="1" t="s">
        <v>8203</v>
      </c>
      <c r="J443" s="1" t="s">
        <v>8204</v>
      </c>
      <c r="K443" s="6">
        <f t="shared" si="2"/>
        <v>0.005303334673</v>
      </c>
      <c r="L443" s="7">
        <v>2.728022500899075E-4</v>
      </c>
      <c r="M443" s="8">
        <f t="shared" si="1"/>
        <v>13918850</v>
      </c>
    </row>
    <row r="444">
      <c r="A444" s="13">
        <v>46161.0</v>
      </c>
      <c r="B444" s="4">
        <v>1251.1</v>
      </c>
      <c r="C444" s="4">
        <v>1256.3</v>
      </c>
      <c r="D444" s="4">
        <v>1229.8</v>
      </c>
      <c r="E444" s="4">
        <v>1251.1</v>
      </c>
      <c r="F444" s="4">
        <v>1240.8</v>
      </c>
      <c r="G444" s="4">
        <v>1236.56</v>
      </c>
      <c r="H444" s="1" t="s">
        <v>8207</v>
      </c>
      <c r="I444" s="1" t="s">
        <v>8208</v>
      </c>
      <c r="J444" s="1" t="s">
        <v>8209</v>
      </c>
      <c r="K444" s="6">
        <f t="shared" si="2"/>
        <v>-0.008232755175</v>
      </c>
      <c r="L444" s="7">
        <v>-0.0013509542303472408</v>
      </c>
      <c r="M444" s="8">
        <f t="shared" si="1"/>
        <v>38929053</v>
      </c>
    </row>
    <row r="445">
      <c r="A445" s="13">
        <v>46162.0</v>
      </c>
      <c r="B445" s="4">
        <v>1230.0</v>
      </c>
      <c r="C445" s="4">
        <v>1239.7</v>
      </c>
      <c r="D445" s="4">
        <v>1223.3</v>
      </c>
      <c r="E445" s="4">
        <v>1240.8</v>
      </c>
      <c r="F445" s="4">
        <v>1237.3</v>
      </c>
      <c r="G445" s="4">
        <v>1232.55</v>
      </c>
      <c r="H445" s="1" t="s">
        <v>8213</v>
      </c>
      <c r="I445" s="1" t="s">
        <v>8214</v>
      </c>
      <c r="J445" s="1" t="s">
        <v>8215</v>
      </c>
      <c r="K445" s="6">
        <f t="shared" si="2"/>
        <v>-0.002820760799</v>
      </c>
      <c r="L445" s="7">
        <v>0.0017359640951816412</v>
      </c>
      <c r="M445" s="8">
        <f t="shared" si="1"/>
        <v>14953103</v>
      </c>
    </row>
    <row r="446">
      <c r="A446" s="13">
        <v>46163.0</v>
      </c>
      <c r="B446" s="4">
        <v>1245.3</v>
      </c>
      <c r="C446" s="4">
        <v>1248.3</v>
      </c>
      <c r="D446" s="4">
        <v>1234.4</v>
      </c>
      <c r="E446" s="4">
        <v>1237.3</v>
      </c>
      <c r="F446" s="4">
        <v>1242.8</v>
      </c>
      <c r="G446" s="4">
        <v>1242.5</v>
      </c>
      <c r="H446" s="1" t="s">
        <v>8218</v>
      </c>
      <c r="I446" s="1" t="s">
        <v>8219</v>
      </c>
      <c r="J446" s="1" t="s">
        <v>8220</v>
      </c>
      <c r="K446" s="6">
        <f t="shared" si="2"/>
        <v>0.004445162855</v>
      </c>
      <c r="L446" s="7">
        <v>-1.817490172872595E-4</v>
      </c>
      <c r="M446" s="8">
        <f t="shared" si="1"/>
        <v>14394386</v>
      </c>
    </row>
    <row r="447">
      <c r="A447" s="13">
        <v>46164.0</v>
      </c>
      <c r="B447" s="4">
        <v>1242.0</v>
      </c>
      <c r="C447" s="4">
        <v>1270.8</v>
      </c>
      <c r="D447" s="4">
        <v>1242.0</v>
      </c>
      <c r="E447" s="4">
        <v>1242.8</v>
      </c>
      <c r="F447" s="4">
        <v>1264.3</v>
      </c>
      <c r="G447" s="4">
        <v>1264.35</v>
      </c>
      <c r="H447" s="1" t="s">
        <v>8224</v>
      </c>
      <c r="I447" s="1" t="s">
        <v>8225</v>
      </c>
      <c r="J447" s="1" t="s">
        <v>8226</v>
      </c>
      <c r="K447" s="6">
        <f t="shared" si="2"/>
        <v>0.01729964596</v>
      </c>
      <c r="L447" s="7">
        <v>0.0027309583296342183</v>
      </c>
      <c r="M447" s="8">
        <f t="shared" si="1"/>
        <v>11601085</v>
      </c>
    </row>
    <row r="448">
      <c r="A448" s="13">
        <v>46167.0</v>
      </c>
      <c r="B448" s="4">
        <v>1271.0</v>
      </c>
      <c r="C448" s="4">
        <v>1293.5</v>
      </c>
      <c r="D448" s="4">
        <v>1270.9</v>
      </c>
      <c r="E448" s="4">
        <v>1264.3</v>
      </c>
      <c r="F448" s="4">
        <v>1291.8</v>
      </c>
      <c r="G448" s="4">
        <v>1282.46</v>
      </c>
      <c r="H448" s="1" t="s">
        <v>8230</v>
      </c>
      <c r="I448" s="1" t="s">
        <v>8231</v>
      </c>
      <c r="J448" s="1" t="s">
        <v>8232</v>
      </c>
      <c r="K448" s="6">
        <f t="shared" si="2"/>
        <v>0.02175116665</v>
      </c>
      <c r="L448" s="7">
        <v>0.013170709085006786</v>
      </c>
      <c r="M448" s="8">
        <f t="shared" si="1"/>
        <v>13853923</v>
      </c>
    </row>
    <row r="449">
      <c r="A449" s="13">
        <v>46168.0</v>
      </c>
      <c r="B449" s="4">
        <v>1290.0</v>
      </c>
      <c r="C449" s="4">
        <v>1301.8</v>
      </c>
      <c r="D449" s="4">
        <v>1276.2</v>
      </c>
      <c r="E449" s="4">
        <v>1291.8</v>
      </c>
      <c r="F449" s="4">
        <v>1279.1</v>
      </c>
      <c r="G449" s="4">
        <v>1287.57</v>
      </c>
      <c r="H449" s="1" t="s">
        <v>8236</v>
      </c>
      <c r="I449" s="1" t="s">
        <v>8237</v>
      </c>
      <c r="J449" s="1" t="s">
        <v>8238</v>
      </c>
      <c r="K449" s="6">
        <f t="shared" si="2"/>
        <v>-0.009831243227</v>
      </c>
      <c r="L449" s="7">
        <v>-0.004910181135749863</v>
      </c>
      <c r="M449" s="8">
        <f t="shared" si="1"/>
        <v>18400405</v>
      </c>
    </row>
    <row r="450">
      <c r="A450" s="13">
        <v>46169.0</v>
      </c>
      <c r="B450" s="4">
        <v>1286.0</v>
      </c>
      <c r="C450" s="4">
        <v>1293.4</v>
      </c>
      <c r="D450" s="4">
        <v>1266.7</v>
      </c>
      <c r="E450" s="4">
        <v>1279.1</v>
      </c>
      <c r="F450" s="4">
        <v>1272.7</v>
      </c>
      <c r="G450" s="4">
        <v>1277.96</v>
      </c>
      <c r="H450" s="1" t="s">
        <v>8242</v>
      </c>
      <c r="I450" s="1" t="s">
        <v>8243</v>
      </c>
      <c r="J450" s="1" t="s">
        <v>8244</v>
      </c>
      <c r="K450" s="6">
        <f t="shared" si="2"/>
        <v>-0.005003518099</v>
      </c>
      <c r="L450" s="7">
        <v>-2.7390157106592757E-4</v>
      </c>
      <c r="M450" s="8">
        <f t="shared" si="1"/>
        <v>18366272</v>
      </c>
    </row>
    <row r="451">
      <c r="A451" s="13">
        <v>46171.0</v>
      </c>
      <c r="B451" s="4">
        <v>1275.1</v>
      </c>
      <c r="C451" s="4">
        <v>1287.8</v>
      </c>
      <c r="D451" s="4">
        <v>1247.9</v>
      </c>
      <c r="E451" s="4">
        <v>1272.7</v>
      </c>
      <c r="F451" s="4">
        <v>1256.4</v>
      </c>
      <c r="G451" s="4">
        <v>1263.53</v>
      </c>
      <c r="H451" s="1" t="s">
        <v>8248</v>
      </c>
      <c r="I451" s="1" t="s">
        <v>8249</v>
      </c>
      <c r="J451" s="1" t="s">
        <v>8251</v>
      </c>
      <c r="K451" s="6">
        <f t="shared" si="2"/>
        <v>-0.0128074173</v>
      </c>
      <c r="L451" s="7">
        <v>-0.015033159535954785</v>
      </c>
      <c r="M451" s="8">
        <f t="shared" si="1"/>
        <v>31007884</v>
      </c>
    </row>
    <row r="452">
      <c r="A452" s="3">
        <v>46174.0</v>
      </c>
      <c r="B452" s="4">
        <v>1257.1</v>
      </c>
      <c r="C452" s="4">
        <v>1261.9</v>
      </c>
      <c r="D452" s="4">
        <v>1235.9</v>
      </c>
      <c r="E452" s="4">
        <v>1256.4</v>
      </c>
      <c r="F452" s="4">
        <v>1239.7</v>
      </c>
      <c r="G452" s="4">
        <v>1245.36</v>
      </c>
      <c r="H452" s="1" t="s">
        <v>8255</v>
      </c>
      <c r="I452" s="1" t="s">
        <v>8257</v>
      </c>
      <c r="J452" s="1" t="s">
        <v>8259</v>
      </c>
      <c r="K452" s="6">
        <f t="shared" si="2"/>
        <v>-0.01329194524</v>
      </c>
      <c r="L452" s="7">
        <v>-0.007013408924419593</v>
      </c>
      <c r="M452" s="8">
        <f t="shared" si="1"/>
        <v>9911975</v>
      </c>
    </row>
    <row r="453">
      <c r="A453" s="3">
        <v>46175.0</v>
      </c>
      <c r="B453" s="4">
        <v>1233.0</v>
      </c>
      <c r="C453" s="4">
        <v>1237.7</v>
      </c>
      <c r="D453" s="4">
        <v>1220.7</v>
      </c>
      <c r="E453" s="4">
        <v>1239.7</v>
      </c>
      <c r="F453" s="4">
        <v>1226.6</v>
      </c>
      <c r="G453" s="4">
        <v>1229.0</v>
      </c>
      <c r="H453" s="1" t="s">
        <v>8261</v>
      </c>
      <c r="I453" s="1" t="s">
        <v>8263</v>
      </c>
      <c r="J453" s="1" t="s">
        <v>8265</v>
      </c>
      <c r="K453" s="6">
        <f t="shared" si="2"/>
        <v>-0.01056707268</v>
      </c>
      <c r="L453" s="7">
        <v>0.0043173128736753285</v>
      </c>
      <c r="M453" s="8">
        <f t="shared" si="1"/>
        <v>17920892</v>
      </c>
    </row>
    <row r="454">
      <c r="A454" s="3">
        <v>46176.0</v>
      </c>
      <c r="B454" s="4">
        <v>1219.9</v>
      </c>
      <c r="C454" s="4">
        <v>1248.3</v>
      </c>
      <c r="D454" s="4">
        <v>1213.7</v>
      </c>
      <c r="E454" s="4">
        <v>1226.6</v>
      </c>
      <c r="F454" s="4">
        <v>1242.0</v>
      </c>
      <c r="G454" s="4">
        <v>1231.5</v>
      </c>
      <c r="H454" s="1" t="s">
        <v>8267</v>
      </c>
      <c r="I454" s="1" t="s">
        <v>8269</v>
      </c>
      <c r="J454" s="1" t="s">
        <v>8271</v>
      </c>
      <c r="K454" s="6">
        <f t="shared" si="2"/>
        <v>0.01255503016</v>
      </c>
      <c r="L454" s="7">
        <v>-0.0033193448179683538</v>
      </c>
      <c r="M454" s="8">
        <f t="shared" si="1"/>
        <v>13934754</v>
      </c>
    </row>
    <row r="455">
      <c r="A455" s="3">
        <v>46177.0</v>
      </c>
      <c r="B455" s="4">
        <v>1232.2</v>
      </c>
      <c r="C455" s="4">
        <v>1262.3</v>
      </c>
      <c r="D455" s="4">
        <v>1232.2</v>
      </c>
      <c r="E455" s="4">
        <v>1242.0</v>
      </c>
      <c r="F455" s="4">
        <v>1251.7</v>
      </c>
      <c r="G455" s="4">
        <v>1251.91</v>
      </c>
      <c r="H455" s="1" t="s">
        <v>8273</v>
      </c>
      <c r="I455" s="1" t="s">
        <v>8275</v>
      </c>
      <c r="J455" s="1" t="s">
        <v>8276</v>
      </c>
      <c r="K455" s="6">
        <f t="shared" si="2"/>
        <v>0.007809983897</v>
      </c>
      <c r="L455" s="7">
        <v>4.678367570154462E-4</v>
      </c>
      <c r="M455" s="8">
        <f t="shared" si="1"/>
        <v>19461560</v>
      </c>
    </row>
    <row r="456">
      <c r="A456" s="3">
        <v>46178.0</v>
      </c>
      <c r="B456" s="4">
        <v>1257.0</v>
      </c>
      <c r="C456" s="4">
        <v>1265.0</v>
      </c>
      <c r="D456" s="4">
        <v>1250.0</v>
      </c>
      <c r="E456" s="4">
        <v>1251.7</v>
      </c>
      <c r="F456" s="4">
        <v>1262.1</v>
      </c>
      <c r="G456" s="4">
        <v>1258.93</v>
      </c>
      <c r="H456" s="1" t="s">
        <v>8279</v>
      </c>
      <c r="I456" s="1" t="s">
        <v>8281</v>
      </c>
      <c r="J456" s="1" t="s">
        <v>8283</v>
      </c>
      <c r="K456" s="6">
        <f t="shared" si="2"/>
        <v>0.008308700168</v>
      </c>
      <c r="L456" s="7">
        <v>-0.0021288362290772357</v>
      </c>
      <c r="M456" s="8">
        <f t="shared" si="1"/>
        <v>10166393</v>
      </c>
    </row>
    <row r="457">
      <c r="A457" s="3">
        <v>46181.0</v>
      </c>
      <c r="B457" s="4">
        <v>1246.4</v>
      </c>
      <c r="C457" s="4">
        <v>1254.0</v>
      </c>
      <c r="D457" s="4">
        <v>1243.1</v>
      </c>
      <c r="E457" s="4">
        <v>1262.1</v>
      </c>
      <c r="F457" s="4">
        <v>1250.2</v>
      </c>
      <c r="G457" s="4">
        <v>1249.97</v>
      </c>
      <c r="H457" s="1" t="s">
        <v>8287</v>
      </c>
      <c r="I457" s="1" t="s">
        <v>8288</v>
      </c>
      <c r="J457" s="1" t="s">
        <v>8289</v>
      </c>
      <c r="K457" s="6">
        <f t="shared" si="2"/>
        <v>-0.009428729895</v>
      </c>
      <c r="L457" s="7">
        <v>-0.010429371712736533</v>
      </c>
      <c r="M457" s="8">
        <f t="shared" si="1"/>
        <v>10714196</v>
      </c>
    </row>
    <row r="458">
      <c r="A458" s="3">
        <v>46182.0</v>
      </c>
      <c r="B458" s="4">
        <v>1255.0</v>
      </c>
      <c r="C458" s="4">
        <v>1279.9</v>
      </c>
      <c r="D458" s="4">
        <v>1252.7</v>
      </c>
      <c r="E458" s="4">
        <v>1250.2</v>
      </c>
      <c r="F458" s="4">
        <v>1275.0</v>
      </c>
      <c r="G458" s="4">
        <v>1271.49</v>
      </c>
      <c r="H458" s="1" t="s">
        <v>8295</v>
      </c>
      <c r="I458" s="1" t="s">
        <v>8296</v>
      </c>
      <c r="J458" s="1" t="s">
        <v>8297</v>
      </c>
      <c r="K458" s="6">
        <f t="shared" si="2"/>
        <v>0.01983682611</v>
      </c>
      <c r="L458" s="7">
        <v>0.005150715737577241</v>
      </c>
      <c r="M458" s="8">
        <f t="shared" si="1"/>
        <v>22368579</v>
      </c>
    </row>
    <row r="459">
      <c r="A459" s="9">
        <v>46183.0</v>
      </c>
      <c r="B459" s="4">
        <v>1271.3</v>
      </c>
      <c r="C459" s="4">
        <v>1306.0</v>
      </c>
      <c r="D459" s="4">
        <v>1271.3</v>
      </c>
      <c r="E459" s="4">
        <v>1275.0</v>
      </c>
      <c r="F459" s="4">
        <v>1293.3</v>
      </c>
      <c r="G459" s="4">
        <v>1294.82</v>
      </c>
      <c r="H459" s="1" t="s">
        <v>8301</v>
      </c>
      <c r="I459" s="1" t="s">
        <v>8302</v>
      </c>
      <c r="J459" s="1" t="s">
        <v>8303</v>
      </c>
      <c r="K459" s="6">
        <f t="shared" si="2"/>
        <v>0.01435294118</v>
      </c>
      <c r="L459" s="7">
        <v>-0.0011681388514806243</v>
      </c>
      <c r="M459" s="8">
        <f t="shared" si="1"/>
        <v>25951584</v>
      </c>
    </row>
    <row r="460">
      <c r="A460" s="9">
        <v>46184.0</v>
      </c>
      <c r="B460" s="4">
        <v>1286.5</v>
      </c>
      <c r="C460" s="4">
        <v>1333.0</v>
      </c>
      <c r="D460" s="4">
        <v>1286.5</v>
      </c>
      <c r="E460" s="4">
        <v>1293.3</v>
      </c>
      <c r="F460" s="4">
        <v>1317.0</v>
      </c>
      <c r="G460" s="4">
        <v>1316.68</v>
      </c>
      <c r="H460" s="1" t="s">
        <v>8307</v>
      </c>
      <c r="I460" s="1" t="s">
        <v>8308</v>
      </c>
      <c r="J460" s="1" t="s">
        <v>8309</v>
      </c>
      <c r="K460" s="6">
        <f t="shared" si="2"/>
        <v>0.01832521457</v>
      </c>
      <c r="L460" s="7">
        <v>-0.002298088085479494</v>
      </c>
      <c r="M460" s="8">
        <f t="shared" si="1"/>
        <v>35919374</v>
      </c>
    </row>
    <row r="461">
      <c r="A461" s="9">
        <v>46185.0</v>
      </c>
      <c r="B461" s="4">
        <v>1330.0</v>
      </c>
      <c r="C461" s="4">
        <v>1344.3</v>
      </c>
      <c r="D461" s="4">
        <v>1318.7</v>
      </c>
      <c r="E461" s="4">
        <v>1317.0</v>
      </c>
      <c r="F461" s="4">
        <v>1340.8</v>
      </c>
      <c r="G461" s="4">
        <v>1333.0</v>
      </c>
      <c r="H461" s="1" t="s">
        <v>8313</v>
      </c>
      <c r="I461" s="1" t="s">
        <v>8314</v>
      </c>
      <c r="J461" s="1" t="s">
        <v>8315</v>
      </c>
      <c r="K461" s="6">
        <f t="shared" si="2"/>
        <v>0.01807137434</v>
      </c>
      <c r="L461" s="7">
        <v>0.019916586073501094</v>
      </c>
      <c r="M461" s="8">
        <f t="shared" si="1"/>
        <v>18339846</v>
      </c>
    </row>
    <row r="462">
      <c r="A462" s="9">
        <v>46188.0</v>
      </c>
      <c r="B462" s="4">
        <v>1354.6</v>
      </c>
      <c r="C462" s="4">
        <v>1362.7</v>
      </c>
      <c r="D462" s="4">
        <v>1325.3</v>
      </c>
      <c r="E462" s="4">
        <v>1340.8</v>
      </c>
      <c r="F462" s="4">
        <v>1327.6</v>
      </c>
      <c r="G462" s="4">
        <v>1339.75</v>
      </c>
      <c r="H462" s="1" t="s">
        <v>8320</v>
      </c>
      <c r="I462" s="1" t="s">
        <v>8321</v>
      </c>
      <c r="J462" s="1" t="s">
        <v>8322</v>
      </c>
      <c r="K462" s="6">
        <f t="shared" si="2"/>
        <v>-0.009844868735</v>
      </c>
      <c r="L462" s="7">
        <v>0.00977864699084363</v>
      </c>
      <c r="M462" s="8">
        <f t="shared" si="1"/>
        <v>16172921</v>
      </c>
    </row>
    <row r="463">
      <c r="A463" s="9">
        <v>46189.0</v>
      </c>
      <c r="B463" s="4">
        <v>1331.9</v>
      </c>
      <c r="C463" s="4">
        <v>1337.3</v>
      </c>
      <c r="D463" s="4">
        <v>1326.3</v>
      </c>
      <c r="E463" s="4">
        <v>1327.6</v>
      </c>
      <c r="F463" s="4">
        <v>1334.3</v>
      </c>
      <c r="G463" s="4">
        <v>1331.53</v>
      </c>
      <c r="H463" s="1" t="s">
        <v>8327</v>
      </c>
      <c r="I463" s="1" t="s">
        <v>8328</v>
      </c>
      <c r="J463" s="1" t="s">
        <v>8334</v>
      </c>
      <c r="K463" s="6">
        <f t="shared" si="2"/>
        <v>0.005046700813</v>
      </c>
      <c r="L463" s="7">
        <v>0.005669932380030099</v>
      </c>
      <c r="M463" s="8">
        <f t="shared" si="1"/>
        <v>13069159</v>
      </c>
    </row>
    <row r="464">
      <c r="A464" s="9">
        <v>46190.0</v>
      </c>
      <c r="B464" s="4">
        <v>1342.0</v>
      </c>
      <c r="C464" s="4">
        <v>1346.0</v>
      </c>
      <c r="D464" s="4">
        <v>1333.4</v>
      </c>
      <c r="E464" s="4">
        <v>1334.3</v>
      </c>
      <c r="F464" s="4">
        <v>1336.8</v>
      </c>
      <c r="G464" s="4">
        <v>1338.65</v>
      </c>
      <c r="H464" s="1" t="s">
        <v>8338</v>
      </c>
      <c r="I464" s="1" t="s">
        <v>8339</v>
      </c>
      <c r="J464" s="1" t="s">
        <v>8340</v>
      </c>
      <c r="K464" s="6">
        <f t="shared" si="2"/>
        <v>0.00187364161</v>
      </c>
      <c r="L464" s="7">
        <v>0.004024736182815951</v>
      </c>
      <c r="M464" s="8">
        <f t="shared" si="1"/>
        <v>8026424</v>
      </c>
    </row>
    <row r="465">
      <c r="A465" s="9">
        <v>46191.0</v>
      </c>
      <c r="B465" s="4">
        <v>1333.6</v>
      </c>
      <c r="C465" s="4">
        <v>1346.9</v>
      </c>
      <c r="D465" s="4">
        <v>1331.4</v>
      </c>
      <c r="E465" s="4">
        <v>1336.8</v>
      </c>
      <c r="F465" s="4">
        <v>1342.3</v>
      </c>
      <c r="G465" s="4">
        <v>1340.81</v>
      </c>
      <c r="H465" s="1" t="s">
        <v>8344</v>
      </c>
      <c r="I465" s="1" t="s">
        <v>8345</v>
      </c>
      <c r="J465" s="1" t="s">
        <v>8346</v>
      </c>
      <c r="K465" s="6">
        <f t="shared" si="2"/>
        <v>0.004114302813</v>
      </c>
      <c r="L465" s="7">
        <v>0.0034169652532415194</v>
      </c>
      <c r="M465" s="8">
        <f t="shared" si="1"/>
        <v>13467985</v>
      </c>
    </row>
    <row r="466">
      <c r="A466" s="9">
        <v>46192.0</v>
      </c>
      <c r="B466" s="4">
        <v>1340.5</v>
      </c>
      <c r="C466" s="4">
        <v>1352.3</v>
      </c>
      <c r="D466" s="4">
        <v>1332.0</v>
      </c>
      <c r="E466" s="4">
        <v>1342.3</v>
      </c>
      <c r="F466" s="4">
        <v>1346.5</v>
      </c>
      <c r="G466" s="4">
        <v>1346.35</v>
      </c>
      <c r="H466" s="1" t="s">
        <v>8350</v>
      </c>
      <c r="I466" s="1" t="s">
        <v>8351</v>
      </c>
      <c r="J466" s="1" t="s">
        <v>8352</v>
      </c>
      <c r="K466" s="6">
        <f t="shared" si="2"/>
        <v>0.003128957759</v>
      </c>
      <c r="L466" s="7">
        <v>-0.006409301555776293</v>
      </c>
      <c r="M466" s="8">
        <f t="shared" si="1"/>
        <v>9057322</v>
      </c>
    </row>
    <row r="467">
      <c r="A467" s="9">
        <v>46195.0</v>
      </c>
      <c r="B467" s="4">
        <v>1353.0</v>
      </c>
      <c r="C467" s="4">
        <v>1362.7</v>
      </c>
      <c r="D467" s="4">
        <v>1348.4</v>
      </c>
      <c r="E467" s="4">
        <v>1346.5</v>
      </c>
      <c r="F467" s="4">
        <v>1352.4</v>
      </c>
      <c r="G467" s="4">
        <v>1355.63</v>
      </c>
      <c r="H467" s="1" t="s">
        <v>8360</v>
      </c>
      <c r="I467" s="1" t="s">
        <v>8362</v>
      </c>
      <c r="J467" s="1" t="s">
        <v>8364</v>
      </c>
      <c r="K467" s="6">
        <f t="shared" si="2"/>
        <v>0.004381730412</v>
      </c>
      <c r="L467" s="7">
        <v>0.003739625454439573</v>
      </c>
      <c r="M467" s="8">
        <f t="shared" si="1"/>
        <v>4814845</v>
      </c>
    </row>
    <row r="468">
      <c r="A468" s="9">
        <v>46196.0</v>
      </c>
      <c r="B468" s="4">
        <v>1358.0</v>
      </c>
      <c r="C468" s="4">
        <v>1369.1</v>
      </c>
      <c r="D468" s="4">
        <v>1331.5</v>
      </c>
      <c r="E468" s="4">
        <v>1352.4</v>
      </c>
      <c r="F468" s="4">
        <v>1338.3</v>
      </c>
      <c r="G468" s="4">
        <v>1352.91</v>
      </c>
      <c r="H468" s="1" t="s">
        <v>8368</v>
      </c>
      <c r="I468" s="1" t="s">
        <v>8370</v>
      </c>
      <c r="J468" s="1" t="s">
        <v>8372</v>
      </c>
      <c r="K468" s="6">
        <f t="shared" si="2"/>
        <v>-0.01042590949</v>
      </c>
      <c r="L468" s="7">
        <v>-0.011567072841857325</v>
      </c>
      <c r="M468" s="8">
        <f t="shared" si="1"/>
        <v>11884879</v>
      </c>
    </row>
    <row r="469">
      <c r="A469" s="9">
        <v>46197.0</v>
      </c>
      <c r="B469" s="4">
        <v>1340.6</v>
      </c>
      <c r="C469" s="4">
        <v>1377.6</v>
      </c>
      <c r="D469" s="4">
        <v>1340.6</v>
      </c>
      <c r="E469" s="4">
        <v>1338.3</v>
      </c>
      <c r="F469" s="4">
        <v>1373.6</v>
      </c>
      <c r="G469" s="4">
        <v>1369.98</v>
      </c>
      <c r="H469" s="1" t="s">
        <v>8374</v>
      </c>
      <c r="I469" s="1" t="s">
        <v>8375</v>
      </c>
      <c r="J469" s="1" t="s">
        <v>8376</v>
      </c>
      <c r="K469" s="6">
        <f t="shared" si="2"/>
        <v>0.02637674662</v>
      </c>
      <c r="L469" s="7">
        <v>0.008292023623138038</v>
      </c>
      <c r="M469" s="8">
        <f t="shared" si="1"/>
        <v>16440708</v>
      </c>
    </row>
    <row r="470">
      <c r="A470" s="9">
        <v>46198.0</v>
      </c>
      <c r="B470" s="4">
        <v>1381.9</v>
      </c>
      <c r="C470" s="4">
        <v>1404.0</v>
      </c>
      <c r="D470" s="4">
        <v>1380.1</v>
      </c>
      <c r="E470" s="4">
        <v>1373.6</v>
      </c>
      <c r="F470" s="4">
        <v>1387.5</v>
      </c>
      <c r="G470" s="4">
        <v>1390.64</v>
      </c>
      <c r="H470" s="1" t="s">
        <v>8380</v>
      </c>
      <c r="I470" s="1" t="s">
        <v>8381</v>
      </c>
      <c r="J470" s="1" t="s">
        <v>8382</v>
      </c>
      <c r="K470" s="6">
        <f t="shared" si="2"/>
        <v>0.01011939429</v>
      </c>
      <c r="L470" s="7">
        <v>0.0014299600568653088</v>
      </c>
      <c r="M470" s="8">
        <f t="shared" si="1"/>
        <v>17173209</v>
      </c>
    </row>
    <row r="471">
      <c r="A471" s="9">
        <v>46202.0</v>
      </c>
      <c r="B471" s="4">
        <v>1390.0</v>
      </c>
      <c r="C471" s="4">
        <v>1402.0</v>
      </c>
      <c r="D471" s="4">
        <v>1383.2</v>
      </c>
      <c r="E471" s="4">
        <v>1387.5</v>
      </c>
      <c r="F471" s="4">
        <v>1387.6</v>
      </c>
      <c r="G471" s="4">
        <v>1389.31</v>
      </c>
      <c r="H471" s="1" t="s">
        <v>8384</v>
      </c>
      <c r="I471" s="1" t="s">
        <v>8385</v>
      </c>
      <c r="J471" s="1" t="s">
        <v>8386</v>
      </c>
      <c r="K471" s="6">
        <f t="shared" si="2"/>
        <v>0.00007207207207</v>
      </c>
      <c r="L471" s="7">
        <v>-0.004562271366810775</v>
      </c>
      <c r="M471" s="8">
        <f t="shared" si="1"/>
        <v>13249405</v>
      </c>
    </row>
    <row r="472">
      <c r="A472" s="9">
        <v>46203.0</v>
      </c>
      <c r="B472" s="4">
        <v>1402.0</v>
      </c>
      <c r="C472" s="4">
        <v>1402.0</v>
      </c>
      <c r="D472" s="4">
        <v>1366.1</v>
      </c>
      <c r="E472" s="4">
        <v>1387.6</v>
      </c>
      <c r="F472" s="4">
        <v>1375.2</v>
      </c>
      <c r="G472" s="4">
        <v>1377.88</v>
      </c>
      <c r="H472" s="1" t="s">
        <v>8393</v>
      </c>
      <c r="I472" s="1" t="s">
        <v>8394</v>
      </c>
      <c r="J472" s="1" t="s">
        <v>8395</v>
      </c>
      <c r="K472" s="6">
        <f t="shared" si="2"/>
        <v>-0.00893629288</v>
      </c>
      <c r="L472" s="7">
        <v>-0.0033616954637991333</v>
      </c>
      <c r="M472" s="8">
        <f t="shared" si="1"/>
        <v>18398057</v>
      </c>
    </row>
    <row r="473">
      <c r="A473" s="3">
        <v>46204.0</v>
      </c>
      <c r="B473" s="4">
        <v>1371.4</v>
      </c>
      <c r="C473" s="4">
        <v>1385.1</v>
      </c>
      <c r="D473" s="4">
        <v>1367.7</v>
      </c>
      <c r="E473" s="4">
        <v>1375.2</v>
      </c>
      <c r="F473" s="4">
        <v>1379.8</v>
      </c>
      <c r="G473" s="4">
        <v>1377.17</v>
      </c>
      <c r="H473" s="1" t="s">
        <v>8401</v>
      </c>
      <c r="I473" s="1" t="s">
        <v>8402</v>
      </c>
      <c r="J473" s="1" t="s">
        <v>8403</v>
      </c>
      <c r="K473" s="6">
        <f t="shared" si="2"/>
        <v>0.003344968005</v>
      </c>
      <c r="L473" s="7">
        <v>0.005870337198705196</v>
      </c>
      <c r="M473" s="8">
        <f t="shared" si="1"/>
        <v>11948034</v>
      </c>
    </row>
    <row r="474">
      <c r="A474" s="3">
        <v>46205.0</v>
      </c>
      <c r="B474" s="4">
        <v>1381.9</v>
      </c>
      <c r="C474" s="4">
        <v>1405.0</v>
      </c>
      <c r="D474" s="4">
        <v>1376.8</v>
      </c>
      <c r="E474" s="4">
        <v>1379.8</v>
      </c>
      <c r="F474" s="4">
        <v>1400.0</v>
      </c>
      <c r="G474" s="4">
        <v>1395.35</v>
      </c>
      <c r="H474" s="1" t="s">
        <v>8407</v>
      </c>
      <c r="I474" s="1" t="s">
        <v>8408</v>
      </c>
      <c r="J474" s="1" t="s">
        <v>8409</v>
      </c>
      <c r="K474" s="6">
        <f t="shared" si="2"/>
        <v>0.01463980287</v>
      </c>
      <c r="L474" s="7">
        <v>0.007075358714646729</v>
      </c>
      <c r="M474" s="8">
        <f t="shared" si="1"/>
        <v>15779429</v>
      </c>
    </row>
    <row r="475">
      <c r="A475" s="3">
        <v>46206.0</v>
      </c>
      <c r="B475" s="4">
        <v>1414.0</v>
      </c>
      <c r="C475" s="4">
        <v>1420.0</v>
      </c>
      <c r="D475" s="4">
        <v>1405.9</v>
      </c>
      <c r="E475" s="4">
        <v>1400.0</v>
      </c>
      <c r="F475" s="4">
        <v>1411.4</v>
      </c>
      <c r="G475" s="4">
        <v>1412.3</v>
      </c>
      <c r="H475" s="1" t="s">
        <v>8413</v>
      </c>
      <c r="I475" s="1" t="s">
        <v>8414</v>
      </c>
      <c r="J475" s="1" t="s">
        <v>8415</v>
      </c>
      <c r="K475" s="6">
        <f t="shared" si="2"/>
        <v>0.008142857143</v>
      </c>
      <c r="L475" s="7">
        <v>0.003935770215546926</v>
      </c>
      <c r="M475" s="8">
        <f t="shared" si="1"/>
        <v>12901785</v>
      </c>
    </row>
    <row r="476">
      <c r="A476" s="3">
        <v>46209.0</v>
      </c>
      <c r="B476" s="4">
        <v>1412.0</v>
      </c>
      <c r="C476" s="4">
        <v>1431.6</v>
      </c>
      <c r="D476" s="4">
        <v>1411.6</v>
      </c>
      <c r="E476" s="4">
        <v>1411.4</v>
      </c>
      <c r="F476" s="4">
        <v>1426.9</v>
      </c>
      <c r="G476" s="4">
        <v>1425.91</v>
      </c>
      <c r="H476" s="1" t="s">
        <v>8418</v>
      </c>
      <c r="I476" s="1" t="s">
        <v>8419</v>
      </c>
      <c r="J476" s="1" t="s">
        <v>8420</v>
      </c>
      <c r="K476" s="6">
        <f t="shared" si="2"/>
        <v>0.01098200368</v>
      </c>
      <c r="L476" s="7">
        <v>0.0065716693070082014</v>
      </c>
      <c r="M476" s="8">
        <f t="shared" si="1"/>
        <v>12306949</v>
      </c>
    </row>
    <row r="477">
      <c r="A477" s="3">
        <v>46210.0</v>
      </c>
      <c r="B477" s="4">
        <v>1431.6</v>
      </c>
      <c r="C477" s="4">
        <v>1433.0</v>
      </c>
      <c r="D477" s="4">
        <v>1410.0</v>
      </c>
      <c r="E477" s="4">
        <v>1426.9</v>
      </c>
      <c r="F477" s="4">
        <v>1414.7</v>
      </c>
      <c r="G477" s="4">
        <v>1421.4</v>
      </c>
      <c r="H477" s="1" t="s">
        <v>8424</v>
      </c>
      <c r="I477" s="1" t="s">
        <v>8425</v>
      </c>
      <c r="J477" s="1" t="s">
        <v>8426</v>
      </c>
      <c r="K477" s="6">
        <f t="shared" si="2"/>
        <v>-0.008550003504</v>
      </c>
      <c r="L477" s="7">
        <v>-0.0012955197121612182</v>
      </c>
      <c r="M477" s="8">
        <f t="shared" si="1"/>
        <v>15664178</v>
      </c>
    </row>
    <row r="478">
      <c r="A478" s="3">
        <v>46211.0</v>
      </c>
      <c r="B478" s="4">
        <v>1410.3</v>
      </c>
      <c r="C478" s="4">
        <v>1418.3</v>
      </c>
      <c r="D478" s="4">
        <v>1375.9</v>
      </c>
      <c r="E478" s="4">
        <v>1414.7</v>
      </c>
      <c r="F478" s="4">
        <v>1380.6</v>
      </c>
      <c r="G478" s="4">
        <v>1396.85</v>
      </c>
      <c r="H478" s="1" t="s">
        <v>8430</v>
      </c>
      <c r="I478" s="1" t="s">
        <v>8431</v>
      </c>
      <c r="J478" s="1" t="s">
        <v>8432</v>
      </c>
      <c r="K478" s="6">
        <f t="shared" si="2"/>
        <v>-0.02410405033</v>
      </c>
      <c r="L478" s="7">
        <v>-0.02117530852053599</v>
      </c>
      <c r="M478" s="8">
        <f t="shared" si="1"/>
        <v>10573142</v>
      </c>
    </row>
    <row r="479">
      <c r="A479" s="3">
        <v>46212.0</v>
      </c>
      <c r="B479" s="4">
        <v>1382.9</v>
      </c>
      <c r="C479" s="4">
        <v>1403.6</v>
      </c>
      <c r="D479" s="4">
        <v>1377.3</v>
      </c>
      <c r="E479" s="4">
        <v>1380.6</v>
      </c>
      <c r="F479" s="4">
        <v>1380.7</v>
      </c>
      <c r="G479" s="4">
        <v>1386.99</v>
      </c>
      <c r="H479" s="1" t="s">
        <v>8436</v>
      </c>
      <c r="I479" s="1" t="s">
        <v>8437</v>
      </c>
      <c r="J479" s="1" t="s">
        <v>8438</v>
      </c>
      <c r="K479" s="6">
        <f t="shared" si="2"/>
        <v>0.00007243227582</v>
      </c>
      <c r="L479" s="7">
        <v>0.0033812005250805524</v>
      </c>
      <c r="M479" s="8">
        <f t="shared" si="1"/>
        <v>13948838</v>
      </c>
    </row>
    <row r="480">
      <c r="A480" s="9">
        <v>46213.0</v>
      </c>
      <c r="B480" s="4">
        <v>1389.7</v>
      </c>
      <c r="C480" s="4">
        <v>1408.2</v>
      </c>
      <c r="D480" s="4">
        <v>1389.6</v>
      </c>
      <c r="E480" s="4">
        <v>1380.7</v>
      </c>
      <c r="F480" s="4">
        <v>1401.2</v>
      </c>
      <c r="G480" s="4">
        <v>1402.11</v>
      </c>
      <c r="H480" s="1" t="s">
        <v>8441</v>
      </c>
      <c r="I480" s="1" t="s">
        <v>8442</v>
      </c>
      <c r="J480" s="1" t="s">
        <v>8443</v>
      </c>
      <c r="K480" s="6">
        <f t="shared" si="2"/>
        <v>0.0148475411</v>
      </c>
      <c r="L480" s="7">
        <v>0.010186622598360884</v>
      </c>
      <c r="M480" s="8">
        <f t="shared" si="1"/>
        <v>6409645</v>
      </c>
    </row>
    <row r="481">
      <c r="A481" s="9">
        <v>46216.0</v>
      </c>
      <c r="B481" s="4">
        <v>1393.5</v>
      </c>
      <c r="C481" s="4">
        <v>1413.0</v>
      </c>
      <c r="D481" s="4">
        <v>1386.3</v>
      </c>
      <c r="E481" s="4">
        <v>1401.2</v>
      </c>
      <c r="F481" s="4">
        <v>1409.5</v>
      </c>
      <c r="G481" s="4">
        <v>1403.36</v>
      </c>
      <c r="H481" s="1" t="s">
        <v>8448</v>
      </c>
      <c r="I481" s="1" t="s">
        <v>8450</v>
      </c>
      <c r="J481" s="1" t="s">
        <v>8452</v>
      </c>
      <c r="K481" s="6">
        <f t="shared" si="2"/>
        <v>0.005923494148</v>
      </c>
      <c r="L481" s="7">
        <v>1.6937319524592347E-4</v>
      </c>
      <c r="M481" s="8">
        <f t="shared" si="1"/>
        <v>10091437</v>
      </c>
    </row>
    <row r="482">
      <c r="A482" s="9">
        <v>46217.0</v>
      </c>
      <c r="B482" s="4">
        <v>1400.0</v>
      </c>
      <c r="C482" s="4">
        <v>1411.8</v>
      </c>
      <c r="D482" s="4">
        <v>1392.0</v>
      </c>
      <c r="E482" s="4">
        <v>1409.5</v>
      </c>
      <c r="F482" s="4">
        <v>1407.7</v>
      </c>
      <c r="G482" s="4">
        <v>1404.33</v>
      </c>
      <c r="H482" s="1" t="s">
        <v>8456</v>
      </c>
      <c r="I482" s="1" t="s">
        <v>8457</v>
      </c>
      <c r="J482" s="1" t="s">
        <v>8458</v>
      </c>
      <c r="K482" s="6">
        <f t="shared" si="2"/>
        <v>-0.001277048599</v>
      </c>
      <c r="L482" s="7">
        <v>-0.0065651976374375585</v>
      </c>
      <c r="M482" s="8">
        <f t="shared" si="1"/>
        <v>14133017</v>
      </c>
    </row>
    <row r="483">
      <c r="A483" s="9">
        <v>46218.0</v>
      </c>
      <c r="B483" s="4">
        <v>1412.9</v>
      </c>
      <c r="C483" s="4">
        <v>1428.0</v>
      </c>
      <c r="D483" s="4">
        <v>1409.2</v>
      </c>
      <c r="E483" s="4">
        <v>1407.7</v>
      </c>
      <c r="F483" s="4">
        <v>1416.2</v>
      </c>
      <c r="G483" s="4">
        <v>1418.03</v>
      </c>
      <c r="H483" s="1" t="s">
        <v>8462</v>
      </c>
      <c r="I483" s="1" t="s">
        <v>8463</v>
      </c>
      <c r="J483" s="1" t="s">
        <v>8464</v>
      </c>
      <c r="K483" s="6">
        <f t="shared" si="2"/>
        <v>0.00603821837</v>
      </c>
      <c r="L483" s="7">
        <v>0.0010996983625096708</v>
      </c>
      <c r="M483" s="8">
        <f t="shared" si="1"/>
        <v>12961648</v>
      </c>
    </row>
    <row r="484">
      <c r="A484" s="9">
        <v>46219.0</v>
      </c>
      <c r="B484" s="4">
        <v>1420.1</v>
      </c>
      <c r="C484" s="4">
        <v>1423.7</v>
      </c>
      <c r="D484" s="4">
        <v>1406.2</v>
      </c>
      <c r="E484" s="4">
        <v>1416.2</v>
      </c>
      <c r="F484" s="4">
        <v>1418.2</v>
      </c>
      <c r="G484" s="4">
        <v>1413.86</v>
      </c>
      <c r="H484" s="1" t="s">
        <v>8468</v>
      </c>
      <c r="I484" s="1" t="s">
        <v>8469</v>
      </c>
      <c r="J484" s="1" t="s">
        <v>8471</v>
      </c>
      <c r="K484" s="6">
        <f t="shared" si="2"/>
        <v>0.001412229911</v>
      </c>
      <c r="L484" s="7">
        <v>-2.3880225097078306E-4</v>
      </c>
      <c r="M484" s="8">
        <f t="shared" si="1"/>
        <v>10165264</v>
      </c>
    </row>
    <row r="485">
      <c r="A485" s="9">
        <v>46220.0</v>
      </c>
      <c r="B485" s="4">
        <v>1422.1</v>
      </c>
      <c r="C485" s="4">
        <v>1455.1</v>
      </c>
      <c r="D485" s="4">
        <v>1419.7</v>
      </c>
      <c r="E485" s="4">
        <v>1418.2</v>
      </c>
      <c r="F485" s="4">
        <v>1444.3</v>
      </c>
      <c r="G485" s="4">
        <v>1438.3</v>
      </c>
      <c r="H485" s="1" t="s">
        <v>8476</v>
      </c>
      <c r="I485" s="1" t="s">
        <v>8478</v>
      </c>
      <c r="J485" s="1" t="s">
        <v>8479</v>
      </c>
      <c r="K485" s="6">
        <f t="shared" si="2"/>
        <v>0.01840361021</v>
      </c>
      <c r="L485" s="7">
        <v>0.010864982189405003</v>
      </c>
      <c r="M485" s="8">
        <f t="shared" si="1"/>
        <v>11112550</v>
      </c>
    </row>
    <row r="486">
      <c r="A486" s="9">
        <v>46223.0</v>
      </c>
      <c r="B486" s="4">
        <v>1444.5</v>
      </c>
      <c r="C486" s="4">
        <v>1480.0</v>
      </c>
      <c r="D486" s="4">
        <v>1439.5</v>
      </c>
      <c r="E486" s="4">
        <v>1444.3</v>
      </c>
      <c r="F486" s="4">
        <v>1460.2</v>
      </c>
      <c r="G486" s="4">
        <v>1457.49</v>
      </c>
      <c r="H486" s="1" t="s">
        <v>8481</v>
      </c>
      <c r="I486" s="1" t="s">
        <v>8483</v>
      </c>
      <c r="J486" s="1" t="s">
        <v>8485</v>
      </c>
      <c r="K486" s="6">
        <f t="shared" si="2"/>
        <v>0.01100879319</v>
      </c>
      <c r="L486" s="7">
        <v>-0.003936829906757099</v>
      </c>
      <c r="M486" s="8">
        <f t="shared" si="1"/>
        <v>22236415</v>
      </c>
    </row>
    <row r="487">
      <c r="A487" s="9">
        <v>46224.0</v>
      </c>
      <c r="B487" s="4">
        <v>1470.0</v>
      </c>
      <c r="C487" s="4">
        <v>1473.9</v>
      </c>
      <c r="D487" s="4">
        <v>1456.6</v>
      </c>
      <c r="E487" s="4">
        <v>1460.2</v>
      </c>
      <c r="F487" s="4">
        <v>1463.1</v>
      </c>
      <c r="G487" s="4">
        <v>1463.91</v>
      </c>
      <c r="H487" s="1" t="s">
        <v>8489</v>
      </c>
      <c r="I487" s="1" t="s">
        <v>8490</v>
      </c>
      <c r="J487" s="1" t="s">
        <v>8491</v>
      </c>
      <c r="K487" s="6">
        <f t="shared" si="2"/>
        <v>0.001986029311</v>
      </c>
      <c r="L487" s="7">
        <v>-0.0020958392639808267</v>
      </c>
      <c r="M487" s="8">
        <f t="shared" si="1"/>
        <v>18269907</v>
      </c>
    </row>
    <row r="488">
      <c r="A488" s="9">
        <v>46225.0</v>
      </c>
      <c r="B488" s="4">
        <v>1466.4</v>
      </c>
      <c r="C488" s="4">
        <v>1466.4</v>
      </c>
      <c r="D488" s="4">
        <v>1438.4</v>
      </c>
      <c r="E488" s="4">
        <v>1463.1</v>
      </c>
      <c r="F488" s="4">
        <v>1440.7</v>
      </c>
      <c r="G488" s="4">
        <v>1444.85</v>
      </c>
      <c r="H488" s="1" t="s">
        <v>8495</v>
      </c>
      <c r="I488" s="1" t="s">
        <v>8496</v>
      </c>
      <c r="J488" s="1" t="s">
        <v>8497</v>
      </c>
      <c r="K488" s="6">
        <f t="shared" si="2"/>
        <v>-0.01530995831</v>
      </c>
      <c r="L488" s="7">
        <v>-0.007915180029519166</v>
      </c>
      <c r="M488" s="8">
        <f t="shared" si="1"/>
        <v>8345136</v>
      </c>
    </row>
    <row r="489">
      <c r="A489" s="9">
        <v>46226.0</v>
      </c>
      <c r="B489" s="4">
        <v>1432.5</v>
      </c>
      <c r="C489" s="4">
        <v>1446.0</v>
      </c>
      <c r="D489" s="4">
        <v>1426.6</v>
      </c>
      <c r="E489" s="4">
        <v>1440.7</v>
      </c>
      <c r="F489" s="4">
        <v>1434.6</v>
      </c>
      <c r="G489" s="4">
        <v>1435.23</v>
      </c>
      <c r="H489" s="1" t="s">
        <v>8501</v>
      </c>
      <c r="I489" s="1" t="s">
        <v>8502</v>
      </c>
      <c r="J489" s="1" t="s">
        <v>8503</v>
      </c>
      <c r="K489" s="6">
        <f t="shared" si="2"/>
        <v>-0.004234052891</v>
      </c>
      <c r="L489" s="7">
        <v>-0.005277908006459403</v>
      </c>
      <c r="M489" s="8">
        <f t="shared" si="1"/>
        <v>12409328</v>
      </c>
    </row>
    <row r="490">
      <c r="A490" s="9">
        <v>46227.0</v>
      </c>
      <c r="B490" s="4">
        <v>1428.0</v>
      </c>
      <c r="C490" s="4">
        <v>1440.0</v>
      </c>
      <c r="D490" s="4">
        <v>1415.4</v>
      </c>
      <c r="E490" s="4">
        <v>1434.6</v>
      </c>
      <c r="F490" s="4">
        <v>1432.9</v>
      </c>
      <c r="G490" s="4">
        <v>1428.15</v>
      </c>
      <c r="H490" s="1" t="s">
        <v>8507</v>
      </c>
      <c r="I490" s="1" t="s">
        <v>8508</v>
      </c>
      <c r="J490" s="1" t="s">
        <v>8509</v>
      </c>
      <c r="K490" s="6">
        <f t="shared" si="2"/>
        <v>-0.001184999303</v>
      </c>
      <c r="L490" s="7">
        <v>-0.00427950196065279</v>
      </c>
      <c r="M490" s="8">
        <f t="shared" si="1"/>
        <v>10870914</v>
      </c>
    </row>
    <row r="491">
      <c r="A491" s="9">
        <v>46230.0</v>
      </c>
      <c r="B491" s="4">
        <v>1435.7</v>
      </c>
      <c r="C491" s="4">
        <v>1449.0</v>
      </c>
      <c r="D491" s="4">
        <v>1428.8</v>
      </c>
      <c r="E491" s="4">
        <v>1432.9</v>
      </c>
      <c r="F491" s="4">
        <v>1445.7</v>
      </c>
      <c r="G491" s="4">
        <v>1439.49</v>
      </c>
      <c r="H491" s="1" t="s">
        <v>8513</v>
      </c>
      <c r="I491" s="1" t="s">
        <v>8514</v>
      </c>
      <c r="J491" s="1" t="s">
        <v>8515</v>
      </c>
      <c r="K491" s="6">
        <f t="shared" si="2"/>
        <v>0.008932933212</v>
      </c>
      <c r="L491" s="7">
        <v>0.009613988879749406</v>
      </c>
      <c r="M491" s="8">
        <f t="shared" si="1"/>
        <v>10608300</v>
      </c>
    </row>
    <row r="492">
      <c r="A492" s="9">
        <v>46231.0</v>
      </c>
      <c r="B492" s="4">
        <v>1442.3</v>
      </c>
      <c r="C492" s="4">
        <v>1445.9</v>
      </c>
      <c r="D492" s="4">
        <v>1417.6</v>
      </c>
      <c r="E492" s="4">
        <v>1445.7</v>
      </c>
      <c r="F492" s="4">
        <v>1430.8</v>
      </c>
      <c r="G492" s="4">
        <v>1431.3</v>
      </c>
      <c r="H492" s="1" t="s">
        <v>8519</v>
      </c>
      <c r="I492" s="1" t="s">
        <v>8520</v>
      </c>
      <c r="J492" s="1" t="s">
        <v>8521</v>
      </c>
      <c r="K492" s="6">
        <f t="shared" si="2"/>
        <v>-0.01030642595</v>
      </c>
      <c r="L492" s="7">
        <v>-4.417412104960288E-4</v>
      </c>
      <c r="M492" s="8">
        <f t="shared" si="1"/>
        <v>19486209</v>
      </c>
    </row>
    <row r="493">
      <c r="A493" s="9">
        <v>46232.0</v>
      </c>
      <c r="B493" s="4">
        <v>1442.5</v>
      </c>
      <c r="C493" s="4">
        <v>1448.5</v>
      </c>
      <c r="D493" s="4">
        <v>1428.5</v>
      </c>
      <c r="E493" s="4">
        <v>1430.8</v>
      </c>
      <c r="F493" s="4">
        <v>1437.9</v>
      </c>
      <c r="G493" s="4">
        <v>1438.32</v>
      </c>
      <c r="H493" s="1" t="s">
        <v>8525</v>
      </c>
      <c r="I493" s="1" t="s">
        <v>8526</v>
      </c>
      <c r="J493" s="1" t="s">
        <v>8527</v>
      </c>
      <c r="K493" s="6">
        <f t="shared" si="2"/>
        <v>0.004962258876</v>
      </c>
      <c r="L493" s="7">
        <v>0.01104215698332533</v>
      </c>
      <c r="M493" s="8">
        <f t="shared" si="1"/>
        <v>10856166</v>
      </c>
    </row>
    <row r="494">
      <c r="A494" s="9">
        <v>46233.0</v>
      </c>
      <c r="B494" s="4">
        <v>1431.1</v>
      </c>
      <c r="C494" s="4">
        <v>1442.2</v>
      </c>
      <c r="D494" s="4">
        <v>1422.6</v>
      </c>
      <c r="E494" s="4">
        <v>1437.9</v>
      </c>
      <c r="F494" s="4">
        <v>1433.9</v>
      </c>
      <c r="G494" s="4">
        <v>1430.78</v>
      </c>
      <c r="H494" s="1" t="s">
        <v>8531</v>
      </c>
      <c r="I494" s="1" t="s">
        <v>8532</v>
      </c>
      <c r="J494" s="1" t="s">
        <v>8533</v>
      </c>
      <c r="K494" s="6">
        <f t="shared" si="2"/>
        <v>-0.00278183462</v>
      </c>
      <c r="L494" s="7">
        <v>0.002760801972767265</v>
      </c>
      <c r="M494" s="8">
        <f t="shared" si="1"/>
        <v>14141173</v>
      </c>
    </row>
    <row r="495">
      <c r="A495" s="9">
        <v>46234.0</v>
      </c>
      <c r="B495" s="4">
        <v>1434.3</v>
      </c>
      <c r="C495" s="4">
        <v>1441.9</v>
      </c>
      <c r="D495" s="4">
        <v>1431.4</v>
      </c>
      <c r="E495" s="4">
        <v>1433.9</v>
      </c>
      <c r="F495" s="4">
        <v>1435.4</v>
      </c>
      <c r="G495" s="4">
        <v>1434.95</v>
      </c>
      <c r="H495" s="1" t="s">
        <v>8537</v>
      </c>
      <c r="I495" s="1" t="s">
        <v>8538</v>
      </c>
      <c r="J495" s="1" t="s">
        <v>8539</v>
      </c>
      <c r="K495" s="6">
        <f t="shared" si="2"/>
        <v>0.001046098054</v>
      </c>
      <c r="L495" s="7">
        <v>0.002732639310116403</v>
      </c>
      <c r="M495" s="8">
        <f t="shared" si="1"/>
        <v>8752440</v>
      </c>
    </row>
    <row r="496">
      <c r="A496" s="3">
        <v>46237.0</v>
      </c>
      <c r="B496" s="4">
        <v>1442.0</v>
      </c>
      <c r="C496" s="4">
        <v>1460.0</v>
      </c>
      <c r="D496" s="4">
        <v>1433.0</v>
      </c>
      <c r="E496" s="4">
        <v>1435.4</v>
      </c>
      <c r="F496" s="4">
        <v>1460.0</v>
      </c>
      <c r="G496" s="4">
        <v>1445.87</v>
      </c>
      <c r="H496" s="1" t="s">
        <v>8543</v>
      </c>
      <c r="I496" s="1" t="s">
        <v>8544</v>
      </c>
      <c r="J496" s="1" t="s">
        <v>8545</v>
      </c>
      <c r="K496" s="6">
        <f t="shared" si="2"/>
        <v>0.01713807998</v>
      </c>
      <c r="L496" s="7">
        <v>0.01602306468281963</v>
      </c>
      <c r="M496" s="8">
        <f t="shared" si="1"/>
        <v>7706747</v>
      </c>
    </row>
    <row r="497">
      <c r="K497" s="6"/>
    </row>
    <row r="498">
      <c r="K498" s="6"/>
    </row>
    <row r="499">
      <c r="K499" s="6"/>
    </row>
    <row r="500">
      <c r="K500" s="6"/>
    </row>
    <row r="501">
      <c r="K501" s="6"/>
    </row>
    <row r="502">
      <c r="K502" s="6"/>
    </row>
    <row r="503">
      <c r="K503" s="6"/>
    </row>
    <row r="504">
      <c r="K504" s="6"/>
    </row>
    <row r="505">
      <c r="K505" s="6"/>
    </row>
    <row r="506">
      <c r="K506" s="6"/>
    </row>
    <row r="507">
      <c r="K507" s="6"/>
    </row>
    <row r="508">
      <c r="K508" s="6"/>
    </row>
    <row r="509">
      <c r="K509" s="6"/>
    </row>
    <row r="510">
      <c r="K510" s="6"/>
    </row>
    <row r="511">
      <c r="K511" s="6"/>
    </row>
    <row r="512">
      <c r="K512" s="6"/>
    </row>
    <row r="513">
      <c r="K513" s="6"/>
    </row>
    <row r="514">
      <c r="K514" s="6"/>
    </row>
    <row r="515">
      <c r="K515" s="6"/>
    </row>
    <row r="516">
      <c r="K516" s="6"/>
    </row>
    <row r="517">
      <c r="K517" s="6"/>
    </row>
    <row r="518">
      <c r="K518" s="6"/>
    </row>
    <row r="519">
      <c r="K519" s="6"/>
    </row>
    <row r="520">
      <c r="K520" s="6"/>
    </row>
    <row r="521">
      <c r="K521" s="6"/>
    </row>
    <row r="522">
      <c r="K522" s="6"/>
    </row>
    <row r="523">
      <c r="K523" s="6"/>
    </row>
    <row r="524">
      <c r="K524" s="6"/>
    </row>
    <row r="525">
      <c r="K525" s="6"/>
    </row>
    <row r="526">
      <c r="K526" s="6"/>
    </row>
    <row r="527">
      <c r="K527" s="6"/>
    </row>
    <row r="528">
      <c r="K528" s="6"/>
    </row>
    <row r="529">
      <c r="K529" s="6"/>
    </row>
    <row r="530">
      <c r="K530" s="6"/>
    </row>
    <row r="531">
      <c r="K531" s="6"/>
    </row>
    <row r="532">
      <c r="K532" s="6"/>
    </row>
    <row r="533">
      <c r="K533" s="6"/>
    </row>
    <row r="534">
      <c r="K534" s="6"/>
    </row>
    <row r="535">
      <c r="K535" s="6"/>
    </row>
    <row r="536">
      <c r="K536" s="6"/>
    </row>
    <row r="537">
      <c r="K537" s="6"/>
    </row>
    <row r="538">
      <c r="K538" s="6"/>
    </row>
    <row r="539">
      <c r="K539" s="6"/>
    </row>
    <row r="540">
      <c r="K540" s="6"/>
    </row>
    <row r="541">
      <c r="K541" s="6"/>
    </row>
    <row r="542">
      <c r="K542" s="6"/>
    </row>
    <row r="543">
      <c r="K543" s="6"/>
    </row>
    <row r="544">
      <c r="K544" s="6"/>
    </row>
    <row r="545">
      <c r="K545" s="6"/>
    </row>
    <row r="546">
      <c r="K546" s="6"/>
    </row>
    <row r="547">
      <c r="K547" s="6"/>
    </row>
    <row r="548">
      <c r="K548" s="6"/>
    </row>
    <row r="549">
      <c r="K549" s="6"/>
    </row>
    <row r="550">
      <c r="K550" s="6"/>
    </row>
    <row r="551">
      <c r="K551" s="6"/>
    </row>
    <row r="552">
      <c r="K552" s="6"/>
    </row>
    <row r="553">
      <c r="K553" s="6"/>
    </row>
    <row r="554">
      <c r="K554" s="6"/>
    </row>
    <row r="555">
      <c r="K555" s="6"/>
    </row>
    <row r="556">
      <c r="K556" s="6"/>
    </row>
    <row r="557">
      <c r="K557" s="6"/>
    </row>
    <row r="558">
      <c r="K558" s="6"/>
    </row>
    <row r="559">
      <c r="K559" s="6"/>
    </row>
    <row r="560">
      <c r="K560" s="6"/>
    </row>
    <row r="561">
      <c r="K561" s="6"/>
    </row>
    <row r="562">
      <c r="K562" s="6"/>
    </row>
    <row r="563">
      <c r="K563" s="6"/>
    </row>
    <row r="564">
      <c r="K564" s="6"/>
    </row>
    <row r="565">
      <c r="K565" s="6"/>
    </row>
    <row r="566">
      <c r="K566" s="6"/>
    </row>
    <row r="567">
      <c r="K567" s="6"/>
    </row>
    <row r="568">
      <c r="K568" s="6"/>
    </row>
    <row r="569">
      <c r="K569" s="6"/>
    </row>
    <row r="570">
      <c r="K570" s="6"/>
    </row>
    <row r="571">
      <c r="K571" s="6"/>
    </row>
    <row r="572">
      <c r="K572" s="6"/>
    </row>
    <row r="573">
      <c r="K573" s="6"/>
    </row>
    <row r="574">
      <c r="K574" s="6"/>
    </row>
    <row r="575">
      <c r="K575" s="6"/>
    </row>
    <row r="576">
      <c r="K576" s="6"/>
    </row>
    <row r="577">
      <c r="K577" s="6"/>
    </row>
    <row r="578">
      <c r="K578" s="6"/>
    </row>
    <row r="579">
      <c r="K579" s="6"/>
    </row>
    <row r="580">
      <c r="K580" s="6"/>
    </row>
    <row r="581">
      <c r="K581" s="6"/>
    </row>
    <row r="582">
      <c r="K582" s="6"/>
    </row>
    <row r="583">
      <c r="K583" s="6"/>
    </row>
    <row r="584">
      <c r="K584" s="6"/>
    </row>
    <row r="585">
      <c r="K585" s="6"/>
    </row>
    <row r="586">
      <c r="K586" s="6"/>
    </row>
    <row r="587">
      <c r="K587" s="6"/>
    </row>
    <row r="588">
      <c r="K588" s="6"/>
    </row>
    <row r="589">
      <c r="K589" s="6"/>
    </row>
    <row r="590">
      <c r="K590" s="6"/>
    </row>
    <row r="591">
      <c r="K591" s="6"/>
    </row>
    <row r="592">
      <c r="K592" s="6"/>
    </row>
    <row r="593">
      <c r="K593" s="6"/>
    </row>
    <row r="594">
      <c r="K594" s="6"/>
    </row>
    <row r="595">
      <c r="K595" s="6"/>
    </row>
    <row r="596">
      <c r="K596" s="6"/>
    </row>
    <row r="597">
      <c r="K597" s="6"/>
    </row>
    <row r="598">
      <c r="K598" s="6"/>
    </row>
    <row r="599">
      <c r="K599" s="6"/>
    </row>
    <row r="600">
      <c r="K600" s="6"/>
    </row>
    <row r="601">
      <c r="K601" s="6"/>
    </row>
    <row r="602">
      <c r="K602" s="6"/>
    </row>
    <row r="603">
      <c r="K603" s="6"/>
    </row>
    <row r="604">
      <c r="K604" s="6"/>
    </row>
    <row r="605">
      <c r="K605" s="6"/>
    </row>
    <row r="606">
      <c r="K606" s="6"/>
    </row>
    <row r="607">
      <c r="K607" s="6"/>
    </row>
    <row r="608">
      <c r="K608" s="6"/>
    </row>
    <row r="609">
      <c r="K609" s="6"/>
    </row>
    <row r="610">
      <c r="K610" s="6"/>
    </row>
    <row r="611">
      <c r="K611" s="6"/>
    </row>
    <row r="612">
      <c r="K612" s="6"/>
    </row>
    <row r="613">
      <c r="K613" s="6"/>
    </row>
    <row r="614">
      <c r="K614" s="6"/>
    </row>
    <row r="615">
      <c r="K615" s="6"/>
    </row>
    <row r="616">
      <c r="K616" s="6"/>
    </row>
    <row r="617">
      <c r="K617" s="6"/>
    </row>
    <row r="618">
      <c r="K618" s="6"/>
    </row>
    <row r="619">
      <c r="K619" s="6"/>
    </row>
    <row r="620">
      <c r="K620" s="6"/>
    </row>
    <row r="621">
      <c r="K621" s="6"/>
    </row>
    <row r="622">
      <c r="K622" s="6"/>
    </row>
    <row r="623">
      <c r="K623" s="6"/>
    </row>
    <row r="624">
      <c r="K624" s="6"/>
    </row>
    <row r="625">
      <c r="K625" s="6"/>
    </row>
    <row r="626">
      <c r="K626" s="6"/>
    </row>
    <row r="627">
      <c r="K627" s="6"/>
    </row>
    <row r="628">
      <c r="K628" s="6"/>
    </row>
    <row r="629">
      <c r="K629" s="6"/>
    </row>
    <row r="630">
      <c r="K630" s="6"/>
    </row>
    <row r="631">
      <c r="K631" s="6"/>
    </row>
    <row r="632">
      <c r="K632" s="6"/>
    </row>
    <row r="633">
      <c r="K633" s="6"/>
    </row>
    <row r="634">
      <c r="K634" s="6"/>
    </row>
    <row r="635">
      <c r="K635" s="6"/>
    </row>
    <row r="636">
      <c r="K636" s="6"/>
    </row>
    <row r="637">
      <c r="K637" s="6"/>
    </row>
    <row r="638">
      <c r="K638" s="6"/>
    </row>
    <row r="639">
      <c r="K639" s="6"/>
    </row>
    <row r="640">
      <c r="K640" s="6"/>
    </row>
    <row r="641">
      <c r="K641" s="6"/>
    </row>
    <row r="642">
      <c r="K642" s="6"/>
    </row>
    <row r="643">
      <c r="K643" s="6"/>
    </row>
    <row r="644">
      <c r="K644" s="6"/>
    </row>
    <row r="645">
      <c r="K645" s="6"/>
    </row>
    <row r="646">
      <c r="K646" s="6"/>
    </row>
    <row r="647">
      <c r="K647" s="6"/>
    </row>
    <row r="648">
      <c r="K648" s="6"/>
    </row>
    <row r="649">
      <c r="K649" s="6"/>
    </row>
    <row r="650">
      <c r="K650" s="6"/>
    </row>
    <row r="651">
      <c r="K651" s="6"/>
    </row>
    <row r="652">
      <c r="K652" s="6"/>
    </row>
    <row r="653">
      <c r="K653" s="6"/>
    </row>
    <row r="654">
      <c r="K654" s="6"/>
    </row>
    <row r="655">
      <c r="K655" s="6"/>
    </row>
    <row r="656">
      <c r="K656" s="6"/>
    </row>
    <row r="657">
      <c r="K657" s="6"/>
    </row>
    <row r="658">
      <c r="K658" s="6"/>
    </row>
    <row r="659">
      <c r="K659" s="6"/>
    </row>
    <row r="660">
      <c r="K660" s="6"/>
    </row>
    <row r="661">
      <c r="K661" s="6"/>
    </row>
    <row r="662">
      <c r="K662" s="6"/>
    </row>
    <row r="663">
      <c r="K663" s="6"/>
    </row>
    <row r="664">
      <c r="K664" s="6"/>
    </row>
    <row r="665">
      <c r="K665" s="6"/>
    </row>
    <row r="666">
      <c r="K666" s="6"/>
    </row>
    <row r="667">
      <c r="K667" s="6"/>
    </row>
    <row r="668">
      <c r="K668" s="6"/>
    </row>
    <row r="669">
      <c r="K669" s="6"/>
    </row>
    <row r="670">
      <c r="K670" s="6"/>
    </row>
    <row r="671">
      <c r="K671" s="6"/>
    </row>
    <row r="672">
      <c r="K672" s="6"/>
    </row>
    <row r="673">
      <c r="K673" s="6"/>
    </row>
    <row r="674">
      <c r="K674" s="6"/>
    </row>
    <row r="675">
      <c r="K675" s="6"/>
    </row>
    <row r="676">
      <c r="K676" s="6"/>
    </row>
    <row r="677">
      <c r="K677" s="6"/>
    </row>
    <row r="678">
      <c r="K678" s="6"/>
    </row>
    <row r="679">
      <c r="K679" s="6"/>
    </row>
    <row r="680">
      <c r="K680" s="6"/>
    </row>
    <row r="681">
      <c r="K681" s="6"/>
    </row>
    <row r="682">
      <c r="K682" s="6"/>
    </row>
    <row r="683">
      <c r="K683" s="6"/>
    </row>
    <row r="684">
      <c r="K684" s="6"/>
    </row>
    <row r="685">
      <c r="K685" s="6"/>
    </row>
    <row r="686">
      <c r="K686" s="6"/>
    </row>
    <row r="687">
      <c r="K687" s="6"/>
    </row>
    <row r="688">
      <c r="K688" s="6"/>
    </row>
    <row r="689">
      <c r="K689" s="6"/>
    </row>
    <row r="690">
      <c r="K690" s="6"/>
    </row>
    <row r="691">
      <c r="K691" s="6"/>
    </row>
    <row r="692">
      <c r="K692" s="6"/>
    </row>
    <row r="693">
      <c r="K693" s="6"/>
    </row>
    <row r="694">
      <c r="K694" s="6"/>
    </row>
    <row r="695">
      <c r="K695" s="6"/>
    </row>
    <row r="696">
      <c r="K696" s="6"/>
    </row>
    <row r="697">
      <c r="K697" s="6"/>
    </row>
    <row r="698">
      <c r="K698" s="6"/>
    </row>
    <row r="699">
      <c r="K699" s="6"/>
    </row>
    <row r="700">
      <c r="K700" s="6"/>
    </row>
    <row r="701">
      <c r="K701" s="6"/>
    </row>
    <row r="702">
      <c r="K702" s="6"/>
    </row>
    <row r="703">
      <c r="K703" s="6"/>
    </row>
    <row r="704">
      <c r="K704" s="6"/>
    </row>
    <row r="705">
      <c r="K705" s="6"/>
    </row>
    <row r="706">
      <c r="K706" s="6"/>
    </row>
    <row r="707">
      <c r="K707" s="6"/>
    </row>
    <row r="708">
      <c r="K708" s="6"/>
    </row>
    <row r="709">
      <c r="K709" s="6"/>
    </row>
    <row r="710">
      <c r="K710" s="6"/>
    </row>
    <row r="711">
      <c r="K711" s="6"/>
    </row>
    <row r="712">
      <c r="K712" s="6"/>
    </row>
    <row r="713">
      <c r="K713" s="6"/>
    </row>
    <row r="714">
      <c r="K714" s="6"/>
    </row>
    <row r="715">
      <c r="K715" s="6"/>
    </row>
    <row r="716">
      <c r="K716" s="6"/>
    </row>
    <row r="717">
      <c r="K717" s="6"/>
    </row>
    <row r="718">
      <c r="K718" s="6"/>
    </row>
    <row r="719">
      <c r="K719" s="6"/>
    </row>
    <row r="720">
      <c r="K720" s="6"/>
    </row>
    <row r="721">
      <c r="K721" s="6"/>
    </row>
    <row r="722">
      <c r="K722" s="6"/>
    </row>
    <row r="723">
      <c r="K723" s="6"/>
    </row>
    <row r="724">
      <c r="K724" s="6"/>
    </row>
    <row r="725">
      <c r="K725" s="6"/>
    </row>
    <row r="726">
      <c r="K726" s="6"/>
    </row>
    <row r="727">
      <c r="K727" s="6"/>
    </row>
    <row r="728">
      <c r="K728" s="6"/>
    </row>
    <row r="729">
      <c r="K729" s="6"/>
    </row>
    <row r="730">
      <c r="K730" s="6"/>
    </row>
    <row r="731">
      <c r="K731" s="6"/>
    </row>
    <row r="732">
      <c r="K732" s="6"/>
    </row>
    <row r="733">
      <c r="K733" s="6"/>
    </row>
    <row r="734">
      <c r="K734" s="6"/>
    </row>
    <row r="735">
      <c r="K735" s="6"/>
    </row>
    <row r="736">
      <c r="K736" s="6"/>
    </row>
    <row r="737">
      <c r="K737" s="6"/>
    </row>
    <row r="738">
      <c r="K738" s="6"/>
    </row>
    <row r="739">
      <c r="K739" s="6"/>
    </row>
    <row r="740">
      <c r="K740" s="6"/>
    </row>
    <row r="741">
      <c r="K741" s="6"/>
    </row>
    <row r="742">
      <c r="K742" s="6"/>
    </row>
    <row r="743">
      <c r="K743" s="6"/>
    </row>
    <row r="744">
      <c r="K744" s="6"/>
    </row>
    <row r="745">
      <c r="K745" s="6"/>
    </row>
    <row r="746">
      <c r="K746" s="6"/>
    </row>
    <row r="747">
      <c r="K747" s="6"/>
    </row>
    <row r="748">
      <c r="K748" s="6"/>
    </row>
    <row r="749">
      <c r="K749" s="6"/>
    </row>
    <row r="750">
      <c r="K750" s="6"/>
    </row>
    <row r="751">
      <c r="K751" s="6"/>
    </row>
    <row r="752">
      <c r="K752" s="6"/>
    </row>
    <row r="753">
      <c r="K753" s="6"/>
    </row>
    <row r="754">
      <c r="K754" s="6"/>
    </row>
    <row r="755">
      <c r="K755" s="6"/>
    </row>
    <row r="756">
      <c r="K756" s="6"/>
    </row>
    <row r="757">
      <c r="K757" s="6"/>
    </row>
    <row r="758">
      <c r="K758" s="6"/>
    </row>
    <row r="759">
      <c r="K759" s="6"/>
    </row>
    <row r="760">
      <c r="K760" s="6"/>
    </row>
    <row r="761">
      <c r="K761" s="6"/>
    </row>
    <row r="762">
      <c r="K762" s="6"/>
    </row>
    <row r="763">
      <c r="K763" s="6"/>
    </row>
    <row r="764">
      <c r="K764" s="6"/>
    </row>
    <row r="765">
      <c r="K765" s="6"/>
    </row>
    <row r="766">
      <c r="K766" s="6"/>
    </row>
    <row r="767">
      <c r="K767" s="6"/>
    </row>
    <row r="768">
      <c r="K768" s="6"/>
    </row>
    <row r="769">
      <c r="K769" s="6"/>
    </row>
    <row r="770">
      <c r="K770" s="6"/>
    </row>
    <row r="771">
      <c r="K771" s="6"/>
    </row>
    <row r="772">
      <c r="K772" s="6"/>
    </row>
    <row r="773">
      <c r="K773" s="6"/>
    </row>
    <row r="774">
      <c r="K774" s="6"/>
    </row>
    <row r="775">
      <c r="K775" s="6"/>
    </row>
    <row r="776">
      <c r="K776" s="6"/>
    </row>
    <row r="777">
      <c r="K777" s="6"/>
    </row>
    <row r="778">
      <c r="K778" s="6"/>
    </row>
    <row r="779">
      <c r="K779" s="6"/>
    </row>
    <row r="780">
      <c r="K780" s="6"/>
    </row>
    <row r="781">
      <c r="K781" s="6"/>
    </row>
    <row r="782">
      <c r="K782" s="6"/>
    </row>
    <row r="783">
      <c r="K783" s="6"/>
    </row>
    <row r="784">
      <c r="K784" s="6"/>
    </row>
    <row r="785">
      <c r="K785" s="6"/>
    </row>
    <row r="786">
      <c r="K786" s="6"/>
    </row>
    <row r="787">
      <c r="K787" s="6"/>
    </row>
    <row r="788">
      <c r="K788" s="6"/>
    </row>
    <row r="789">
      <c r="K789" s="6"/>
    </row>
    <row r="790">
      <c r="K790" s="6"/>
    </row>
    <row r="791">
      <c r="K791" s="6"/>
    </row>
    <row r="792">
      <c r="K792" s="6"/>
    </row>
    <row r="793">
      <c r="K793" s="6"/>
    </row>
    <row r="794">
      <c r="K794" s="6"/>
    </row>
    <row r="795">
      <c r="K795" s="6"/>
    </row>
    <row r="796">
      <c r="K796" s="6"/>
    </row>
    <row r="797">
      <c r="K797" s="6"/>
    </row>
    <row r="798">
      <c r="K798" s="6"/>
    </row>
    <row r="799">
      <c r="K799" s="6"/>
    </row>
    <row r="800">
      <c r="K800" s="6"/>
    </row>
    <row r="801">
      <c r="K801" s="6"/>
    </row>
    <row r="802">
      <c r="K802" s="6"/>
    </row>
    <row r="803">
      <c r="K803" s="6"/>
    </row>
    <row r="804">
      <c r="K804" s="6"/>
    </row>
    <row r="805">
      <c r="K805" s="6"/>
    </row>
    <row r="806">
      <c r="K806" s="6"/>
    </row>
    <row r="807">
      <c r="K807" s="6"/>
    </row>
    <row r="808">
      <c r="K808" s="6"/>
    </row>
    <row r="809">
      <c r="K809" s="6"/>
    </row>
    <row r="810">
      <c r="K810" s="6"/>
    </row>
    <row r="811">
      <c r="K811" s="6"/>
    </row>
    <row r="812">
      <c r="K812" s="6"/>
    </row>
    <row r="813">
      <c r="K813" s="6"/>
    </row>
    <row r="814">
      <c r="K814" s="6"/>
    </row>
    <row r="815">
      <c r="K815" s="6"/>
    </row>
    <row r="816">
      <c r="K816" s="6"/>
    </row>
    <row r="817">
      <c r="K817" s="6"/>
    </row>
    <row r="818">
      <c r="K818" s="6"/>
    </row>
    <row r="819">
      <c r="K819" s="6"/>
    </row>
    <row r="820">
      <c r="K820" s="6"/>
    </row>
    <row r="821">
      <c r="K821" s="6"/>
    </row>
    <row r="822">
      <c r="K822" s="6"/>
    </row>
    <row r="823">
      <c r="K823" s="6"/>
    </row>
    <row r="824">
      <c r="K824" s="6"/>
    </row>
    <row r="825">
      <c r="K825" s="6"/>
    </row>
    <row r="826">
      <c r="K826" s="6"/>
    </row>
    <row r="827">
      <c r="K827" s="6"/>
    </row>
    <row r="828">
      <c r="K828" s="6"/>
    </row>
    <row r="829">
      <c r="K829" s="6"/>
    </row>
    <row r="830">
      <c r="K830" s="6"/>
    </row>
    <row r="831">
      <c r="K831" s="6"/>
    </row>
    <row r="832">
      <c r="K832" s="6"/>
    </row>
    <row r="833">
      <c r="K833" s="6"/>
    </row>
    <row r="834">
      <c r="K834" s="6"/>
    </row>
    <row r="835">
      <c r="K835" s="6"/>
    </row>
    <row r="836">
      <c r="K836" s="6"/>
    </row>
    <row r="837">
      <c r="K837" s="6"/>
    </row>
    <row r="838">
      <c r="K838" s="6"/>
    </row>
    <row r="839">
      <c r="K839" s="6"/>
    </row>
    <row r="840">
      <c r="K840" s="6"/>
    </row>
    <row r="841">
      <c r="K841" s="6"/>
    </row>
    <row r="842">
      <c r="K842" s="6"/>
    </row>
    <row r="843">
      <c r="K843" s="6"/>
    </row>
    <row r="844">
      <c r="K844" s="6"/>
    </row>
    <row r="845">
      <c r="K845" s="6"/>
    </row>
    <row r="846">
      <c r="K846" s="6"/>
    </row>
    <row r="847">
      <c r="K847" s="6"/>
    </row>
    <row r="848">
      <c r="K848" s="6"/>
    </row>
    <row r="849">
      <c r="K849" s="6"/>
    </row>
    <row r="850">
      <c r="K850" s="6"/>
    </row>
    <row r="851">
      <c r="K851" s="6"/>
    </row>
    <row r="852">
      <c r="K852" s="6"/>
    </row>
    <row r="853">
      <c r="K853" s="6"/>
    </row>
    <row r="854">
      <c r="K854" s="6"/>
    </row>
    <row r="855">
      <c r="K855" s="6"/>
    </row>
    <row r="856">
      <c r="K856" s="6"/>
    </row>
    <row r="857">
      <c r="K857" s="6"/>
    </row>
    <row r="858">
      <c r="K858" s="6"/>
    </row>
    <row r="859">
      <c r="K859" s="6"/>
    </row>
    <row r="860">
      <c r="K860" s="6"/>
    </row>
    <row r="861">
      <c r="K861" s="6"/>
    </row>
    <row r="862">
      <c r="K862" s="6"/>
    </row>
    <row r="863">
      <c r="K863" s="6"/>
    </row>
    <row r="864">
      <c r="K864" s="6"/>
    </row>
    <row r="865">
      <c r="K865" s="6"/>
    </row>
    <row r="866">
      <c r="K866" s="6"/>
    </row>
    <row r="867">
      <c r="K867" s="6"/>
    </row>
    <row r="868">
      <c r="K868" s="6"/>
    </row>
    <row r="869">
      <c r="K869" s="6"/>
    </row>
    <row r="870">
      <c r="K870" s="6"/>
    </row>
    <row r="871">
      <c r="K871" s="6"/>
    </row>
    <row r="872">
      <c r="K872" s="6"/>
    </row>
    <row r="873">
      <c r="K873" s="6"/>
    </row>
    <row r="874">
      <c r="K874" s="6"/>
    </row>
    <row r="875">
      <c r="K875" s="6"/>
    </row>
    <row r="876">
      <c r="K876" s="6"/>
    </row>
    <row r="877">
      <c r="K877" s="6"/>
    </row>
    <row r="878">
      <c r="K878" s="6"/>
    </row>
    <row r="879">
      <c r="K879" s="6"/>
    </row>
    <row r="880">
      <c r="K880" s="6"/>
    </row>
    <row r="881">
      <c r="K881" s="6"/>
    </row>
    <row r="882">
      <c r="K882" s="6"/>
    </row>
    <row r="883">
      <c r="K883" s="6"/>
    </row>
    <row r="884">
      <c r="K884" s="6"/>
    </row>
    <row r="885">
      <c r="K885" s="6"/>
    </row>
    <row r="886">
      <c r="K886" s="6"/>
    </row>
    <row r="887">
      <c r="K887" s="6"/>
    </row>
    <row r="888">
      <c r="K888" s="6"/>
    </row>
    <row r="889">
      <c r="K889" s="6"/>
    </row>
    <row r="890">
      <c r="K890" s="6"/>
    </row>
    <row r="891">
      <c r="K891" s="6"/>
    </row>
    <row r="892">
      <c r="K892" s="6"/>
    </row>
    <row r="893">
      <c r="K893" s="6"/>
    </row>
    <row r="894">
      <c r="K894" s="6"/>
    </row>
    <row r="895">
      <c r="K895" s="6"/>
    </row>
    <row r="896">
      <c r="K896" s="6"/>
    </row>
    <row r="897">
      <c r="K897" s="6"/>
    </row>
    <row r="898">
      <c r="K898" s="6"/>
    </row>
    <row r="899">
      <c r="K899" s="6"/>
    </row>
    <row r="900">
      <c r="K900" s="6"/>
    </row>
    <row r="901">
      <c r="K901" s="6"/>
    </row>
    <row r="902">
      <c r="K902" s="6"/>
    </row>
    <row r="903">
      <c r="K903" s="6"/>
    </row>
    <row r="904">
      <c r="K904" s="6"/>
    </row>
    <row r="905">
      <c r="K905" s="6"/>
    </row>
    <row r="906">
      <c r="K906" s="6"/>
    </row>
    <row r="907">
      <c r="K907" s="6"/>
    </row>
    <row r="908">
      <c r="K908" s="6"/>
    </row>
    <row r="909">
      <c r="K909" s="6"/>
    </row>
    <row r="910">
      <c r="K910" s="6"/>
    </row>
    <row r="911">
      <c r="K911" s="6"/>
    </row>
    <row r="912">
      <c r="K912" s="6"/>
    </row>
    <row r="913">
      <c r="K913" s="6"/>
    </row>
    <row r="914">
      <c r="K914" s="6"/>
    </row>
    <row r="915">
      <c r="K915" s="6"/>
    </row>
    <row r="916">
      <c r="K916" s="6"/>
    </row>
    <row r="917">
      <c r="K917" s="6"/>
    </row>
    <row r="918">
      <c r="K918" s="6"/>
    </row>
    <row r="919">
      <c r="K919" s="6"/>
    </row>
    <row r="920">
      <c r="K920" s="6"/>
    </row>
    <row r="921">
      <c r="K921" s="6"/>
    </row>
    <row r="922">
      <c r="K922" s="6"/>
    </row>
    <row r="923">
      <c r="K923" s="6"/>
    </row>
    <row r="924">
      <c r="K924" s="6"/>
    </row>
    <row r="925">
      <c r="K925" s="6"/>
    </row>
    <row r="926">
      <c r="K926" s="6"/>
    </row>
    <row r="927">
      <c r="K927" s="6"/>
    </row>
    <row r="928">
      <c r="K928" s="6"/>
    </row>
    <row r="929">
      <c r="K929" s="6"/>
    </row>
    <row r="930">
      <c r="K930" s="6"/>
    </row>
    <row r="931">
      <c r="K931" s="6"/>
    </row>
    <row r="932">
      <c r="K932" s="6"/>
    </row>
    <row r="933">
      <c r="K933" s="6"/>
    </row>
    <row r="934">
      <c r="K934" s="6"/>
    </row>
    <row r="935">
      <c r="K935" s="6"/>
    </row>
    <row r="936">
      <c r="K936" s="6"/>
    </row>
    <row r="937">
      <c r="K937" s="6"/>
    </row>
    <row r="938">
      <c r="K938" s="6"/>
    </row>
    <row r="939">
      <c r="K939" s="6"/>
    </row>
    <row r="940">
      <c r="K940" s="6"/>
    </row>
    <row r="941">
      <c r="K941" s="6"/>
    </row>
    <row r="942">
      <c r="K942" s="6"/>
    </row>
    <row r="943">
      <c r="K943" s="6"/>
    </row>
    <row r="944">
      <c r="K944" s="6"/>
    </row>
    <row r="945">
      <c r="K945" s="6"/>
    </row>
    <row r="946">
      <c r="K946" s="6"/>
    </row>
    <row r="947">
      <c r="K947" s="6"/>
    </row>
    <row r="948">
      <c r="K948" s="6"/>
    </row>
    <row r="949">
      <c r="K949" s="6"/>
    </row>
    <row r="950">
      <c r="K950" s="6"/>
    </row>
    <row r="951">
      <c r="K951" s="6"/>
    </row>
    <row r="952">
      <c r="K952" s="6"/>
    </row>
    <row r="953">
      <c r="K953" s="6"/>
    </row>
    <row r="954">
      <c r="K954" s="6"/>
    </row>
    <row r="955">
      <c r="K955" s="6"/>
    </row>
    <row r="956">
      <c r="K956" s="6"/>
    </row>
    <row r="957">
      <c r="K957" s="6"/>
    </row>
    <row r="958">
      <c r="K958" s="6"/>
    </row>
    <row r="959">
      <c r="K959" s="6"/>
    </row>
    <row r="960">
      <c r="K960" s="6"/>
    </row>
    <row r="961">
      <c r="K961" s="6"/>
    </row>
    <row r="962">
      <c r="K962" s="6"/>
    </row>
    <row r="963">
      <c r="K963" s="6"/>
    </row>
    <row r="964">
      <c r="K964" s="6"/>
    </row>
    <row r="965">
      <c r="K965" s="6"/>
    </row>
    <row r="966">
      <c r="K966" s="6"/>
    </row>
    <row r="967">
      <c r="K967" s="6"/>
    </row>
    <row r="968">
      <c r="K968" s="6"/>
    </row>
    <row r="969">
      <c r="K969" s="6"/>
    </row>
    <row r="970">
      <c r="K970" s="6"/>
    </row>
    <row r="971">
      <c r="K971" s="6"/>
    </row>
    <row r="972">
      <c r="K972" s="6"/>
    </row>
    <row r="973">
      <c r="K973" s="6"/>
    </row>
    <row r="974">
      <c r="K974" s="6"/>
    </row>
    <row r="975">
      <c r="K975" s="6"/>
    </row>
    <row r="976">
      <c r="K976" s="6"/>
    </row>
    <row r="977">
      <c r="K977" s="6"/>
    </row>
    <row r="978">
      <c r="K978" s="6"/>
    </row>
    <row r="979">
      <c r="K979" s="6"/>
    </row>
    <row r="980">
      <c r="K980" s="6"/>
    </row>
    <row r="981">
      <c r="K981" s="6"/>
    </row>
    <row r="982">
      <c r="K982" s="6"/>
    </row>
    <row r="983">
      <c r="K983" s="6"/>
    </row>
    <row r="984">
      <c r="K984" s="6"/>
    </row>
    <row r="985">
      <c r="K985" s="6"/>
    </row>
    <row r="986">
      <c r="K986" s="6"/>
    </row>
    <row r="987">
      <c r="K987" s="6"/>
    </row>
    <row r="988">
      <c r="K988" s="6"/>
    </row>
    <row r="989">
      <c r="K989" s="6"/>
    </row>
    <row r="990">
      <c r="K990" s="6"/>
    </row>
    <row r="991">
      <c r="K991" s="6"/>
    </row>
    <row r="992">
      <c r="K992" s="6"/>
    </row>
    <row r="993">
      <c r="K993" s="6"/>
    </row>
    <row r="994">
      <c r="K994" s="6"/>
    </row>
    <row r="995">
      <c r="K995" s="6"/>
    </row>
    <row r="996">
      <c r="K996" s="6"/>
    </row>
    <row r="997">
      <c r="K997" s="6"/>
    </row>
    <row r="998">
      <c r="K998" s="6"/>
    </row>
    <row r="999">
      <c r="K999" s="6"/>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2" t="s">
        <v>10</v>
      </c>
      <c r="L1" s="1" t="s">
        <v>11</v>
      </c>
    </row>
    <row r="2">
      <c r="A2" s="3">
        <v>45509.0</v>
      </c>
      <c r="B2" s="1">
        <v>480.05</v>
      </c>
      <c r="C2" s="1">
        <v>491.9</v>
      </c>
      <c r="D2" s="1">
        <v>479.55</v>
      </c>
      <c r="E2" s="1">
        <v>489.1</v>
      </c>
      <c r="F2" s="1">
        <v>486.0</v>
      </c>
      <c r="G2" s="1">
        <v>485.81</v>
      </c>
      <c r="H2" s="1" t="s">
        <v>5907</v>
      </c>
      <c r="I2" s="1" t="s">
        <v>5909</v>
      </c>
      <c r="J2" s="1" t="s">
        <v>5911</v>
      </c>
      <c r="K2" s="6"/>
      <c r="L2" s="7"/>
      <c r="M2" s="8">
        <f t="shared" ref="M2:M496" si="1">VALUE(SUBSTITUTE(H2,",",""))</f>
        <v>24094139</v>
      </c>
    </row>
    <row r="3">
      <c r="A3" s="3">
        <v>45510.0</v>
      </c>
      <c r="B3" s="1">
        <v>486.25</v>
      </c>
      <c r="C3" s="1">
        <v>491.7</v>
      </c>
      <c r="D3" s="1">
        <v>484.05</v>
      </c>
      <c r="E3" s="1">
        <v>486.0</v>
      </c>
      <c r="F3" s="1">
        <v>486.3</v>
      </c>
      <c r="G3" s="1">
        <v>487.52</v>
      </c>
      <c r="H3" s="1" t="s">
        <v>5929</v>
      </c>
      <c r="I3" s="1" t="s">
        <v>5930</v>
      </c>
      <c r="J3" s="1" t="s">
        <v>5931</v>
      </c>
      <c r="K3" s="6">
        <f t="shared" ref="K3:K496" si="2">(F3-F2)/F2</f>
        <v>0.0006172839506</v>
      </c>
      <c r="L3" s="7">
        <v>-0.0026210113237665773</v>
      </c>
      <c r="M3" s="8">
        <f t="shared" si="1"/>
        <v>13722855</v>
      </c>
    </row>
    <row r="4">
      <c r="A4" s="3">
        <v>45511.0</v>
      </c>
      <c r="B4" s="1">
        <v>490.0</v>
      </c>
      <c r="C4" s="1">
        <v>495.6</v>
      </c>
      <c r="D4" s="1">
        <v>488.1</v>
      </c>
      <c r="E4" s="1">
        <v>486.3</v>
      </c>
      <c r="F4" s="1">
        <v>492.65</v>
      </c>
      <c r="G4" s="1">
        <v>491.96</v>
      </c>
      <c r="H4" s="1" t="s">
        <v>5944</v>
      </c>
      <c r="I4" s="1" t="s">
        <v>5945</v>
      </c>
      <c r="J4" s="1" t="s">
        <v>5946</v>
      </c>
      <c r="K4" s="6">
        <f t="shared" si="2"/>
        <v>0.01305778326</v>
      </c>
      <c r="L4" s="7">
        <v>0.012710195456506321</v>
      </c>
      <c r="M4" s="8">
        <f t="shared" si="1"/>
        <v>10900585</v>
      </c>
    </row>
    <row r="5">
      <c r="A5" s="3">
        <v>45512.0</v>
      </c>
      <c r="B5" s="1">
        <v>494.0</v>
      </c>
      <c r="C5" s="1">
        <v>498.0</v>
      </c>
      <c r="D5" s="1">
        <v>492.5</v>
      </c>
      <c r="E5" s="1">
        <v>492.65</v>
      </c>
      <c r="F5" s="1">
        <v>494.75</v>
      </c>
      <c r="G5" s="1">
        <v>494.99</v>
      </c>
      <c r="H5" s="1" t="s">
        <v>5953</v>
      </c>
      <c r="I5" s="1" t="s">
        <v>5954</v>
      </c>
      <c r="J5" s="1" t="s">
        <v>5955</v>
      </c>
      <c r="K5" s="6">
        <f t="shared" si="2"/>
        <v>0.004262661118</v>
      </c>
      <c r="L5" s="7">
        <v>-0.007428747813561066</v>
      </c>
      <c r="M5" s="8">
        <f t="shared" si="1"/>
        <v>20558134</v>
      </c>
    </row>
    <row r="6">
      <c r="A6" s="3">
        <v>45513.0</v>
      </c>
      <c r="B6" s="1">
        <v>498.0</v>
      </c>
      <c r="C6" s="1">
        <v>498.0</v>
      </c>
      <c r="D6" s="1">
        <v>493.1</v>
      </c>
      <c r="E6" s="1">
        <v>494.75</v>
      </c>
      <c r="F6" s="1">
        <v>495.9</v>
      </c>
      <c r="G6" s="1">
        <v>495.38</v>
      </c>
      <c r="H6" s="1" t="s">
        <v>5962</v>
      </c>
      <c r="I6" s="1" t="s">
        <v>5964</v>
      </c>
      <c r="J6" s="1" t="s">
        <v>5966</v>
      </c>
      <c r="K6" s="6">
        <f t="shared" si="2"/>
        <v>0.002324406266</v>
      </c>
      <c r="L6" s="7">
        <v>0.010386864037815649</v>
      </c>
      <c r="M6" s="8">
        <f t="shared" si="1"/>
        <v>9201793</v>
      </c>
    </row>
    <row r="7">
      <c r="A7" s="9">
        <v>45516.0</v>
      </c>
      <c r="B7" s="1">
        <v>492.0</v>
      </c>
      <c r="C7" s="1">
        <v>500.0</v>
      </c>
      <c r="D7" s="1">
        <v>492.0</v>
      </c>
      <c r="E7" s="1">
        <v>495.9</v>
      </c>
      <c r="F7" s="1">
        <v>494.6</v>
      </c>
      <c r="G7" s="1">
        <v>497.04</v>
      </c>
      <c r="H7" s="1" t="s">
        <v>5973</v>
      </c>
      <c r="I7" s="1" t="s">
        <v>5975</v>
      </c>
      <c r="J7" s="1" t="s">
        <v>5977</v>
      </c>
      <c r="K7" s="6">
        <f t="shared" si="2"/>
        <v>-0.002621496269</v>
      </c>
      <c r="L7" s="7">
        <v>-8.412844977941931E-4</v>
      </c>
      <c r="M7" s="8">
        <f t="shared" si="1"/>
        <v>9076097</v>
      </c>
    </row>
    <row r="8">
      <c r="A8" s="9">
        <v>45517.0</v>
      </c>
      <c r="B8" s="1">
        <v>495.95</v>
      </c>
      <c r="C8" s="1">
        <v>497.85</v>
      </c>
      <c r="D8" s="1">
        <v>488.25</v>
      </c>
      <c r="E8" s="1">
        <v>494.6</v>
      </c>
      <c r="F8" s="1">
        <v>490.0</v>
      </c>
      <c r="G8" s="1">
        <v>493.29</v>
      </c>
      <c r="H8" s="1" t="s">
        <v>5983</v>
      </c>
      <c r="I8" s="1" t="s">
        <v>5985</v>
      </c>
      <c r="J8" s="1" t="s">
        <v>5987</v>
      </c>
      <c r="K8" s="6">
        <f t="shared" si="2"/>
        <v>-0.009300444804</v>
      </c>
      <c r="L8" s="7">
        <v>-0.008543146999630345</v>
      </c>
      <c r="M8" s="8">
        <f t="shared" si="1"/>
        <v>7757706</v>
      </c>
    </row>
    <row r="9">
      <c r="A9" s="9">
        <v>45518.0</v>
      </c>
      <c r="B9" s="1">
        <v>491.95</v>
      </c>
      <c r="C9" s="1">
        <v>499.0</v>
      </c>
      <c r="D9" s="1">
        <v>489.9</v>
      </c>
      <c r="E9" s="1">
        <v>490.0</v>
      </c>
      <c r="F9" s="1">
        <v>492.2</v>
      </c>
      <c r="G9" s="1">
        <v>494.04</v>
      </c>
      <c r="H9" s="1" t="s">
        <v>5995</v>
      </c>
      <c r="I9" s="1" t="s">
        <v>5996</v>
      </c>
      <c r="J9" s="1" t="s">
        <v>5997</v>
      </c>
      <c r="K9" s="6">
        <f t="shared" si="2"/>
        <v>0.004489795918</v>
      </c>
      <c r="L9" s="7">
        <v>1.9677699987571978E-4</v>
      </c>
      <c r="M9" s="8">
        <f t="shared" si="1"/>
        <v>9253598</v>
      </c>
    </row>
    <row r="10">
      <c r="A10" s="9">
        <v>45520.0</v>
      </c>
      <c r="B10" s="1">
        <v>494.5</v>
      </c>
      <c r="C10" s="1">
        <v>504.2</v>
      </c>
      <c r="D10" s="1">
        <v>492.65</v>
      </c>
      <c r="E10" s="1">
        <v>492.2</v>
      </c>
      <c r="F10" s="1">
        <v>502.65</v>
      </c>
      <c r="G10" s="1">
        <v>498.53</v>
      </c>
      <c r="H10" s="1" t="s">
        <v>6003</v>
      </c>
      <c r="I10" s="1" t="s">
        <v>6004</v>
      </c>
      <c r="J10" s="1" t="s">
        <v>6005</v>
      </c>
      <c r="K10" s="6">
        <f t="shared" si="2"/>
        <v>0.02123120683</v>
      </c>
      <c r="L10" s="7">
        <v>0.01645974631115719</v>
      </c>
      <c r="M10" s="8">
        <f t="shared" si="1"/>
        <v>13137392</v>
      </c>
    </row>
    <row r="11">
      <c r="A11" s="9">
        <v>45523.0</v>
      </c>
      <c r="B11" s="1">
        <v>504.75</v>
      </c>
      <c r="C11" s="1">
        <v>509.3</v>
      </c>
      <c r="D11" s="1">
        <v>499.6</v>
      </c>
      <c r="E11" s="1">
        <v>502.65</v>
      </c>
      <c r="F11" s="1">
        <v>501.45</v>
      </c>
      <c r="G11" s="1">
        <v>504.39</v>
      </c>
      <c r="H11" s="1" t="s">
        <v>6012</v>
      </c>
      <c r="I11" s="1" t="s">
        <v>6013</v>
      </c>
      <c r="J11" s="1" t="s">
        <v>6014</v>
      </c>
      <c r="K11" s="6">
        <f t="shared" si="2"/>
        <v>-0.002387347061</v>
      </c>
      <c r="L11" s="7">
        <v>0.0012835584314508488</v>
      </c>
      <c r="M11" s="8">
        <f t="shared" si="1"/>
        <v>10198725</v>
      </c>
    </row>
    <row r="12">
      <c r="A12" s="9">
        <v>45524.0</v>
      </c>
      <c r="B12" s="1">
        <v>501.0</v>
      </c>
      <c r="C12" s="1">
        <v>503.4</v>
      </c>
      <c r="D12" s="1">
        <v>497.7</v>
      </c>
      <c r="E12" s="1">
        <v>501.45</v>
      </c>
      <c r="F12" s="1">
        <v>498.8</v>
      </c>
      <c r="G12" s="1">
        <v>499.95</v>
      </c>
      <c r="H12" s="1" t="s">
        <v>6020</v>
      </c>
      <c r="I12" s="1" t="s">
        <v>6021</v>
      </c>
      <c r="J12" s="1" t="s">
        <v>6022</v>
      </c>
      <c r="K12" s="6">
        <f t="shared" si="2"/>
        <v>-0.005284674444</v>
      </c>
      <c r="L12" s="7">
        <v>0.005135791215029599</v>
      </c>
      <c r="M12" s="8">
        <f t="shared" si="1"/>
        <v>6633171</v>
      </c>
    </row>
    <row r="13">
      <c r="A13" s="9">
        <v>45525.0</v>
      </c>
      <c r="B13" s="1">
        <v>500.0</v>
      </c>
      <c r="C13" s="1">
        <v>509.0</v>
      </c>
      <c r="D13" s="1">
        <v>499.05</v>
      </c>
      <c r="E13" s="1">
        <v>498.8</v>
      </c>
      <c r="F13" s="1">
        <v>505.4</v>
      </c>
      <c r="G13" s="1">
        <v>505.03</v>
      </c>
      <c r="H13" s="1" t="s">
        <v>6028</v>
      </c>
      <c r="I13" s="1" t="s">
        <v>6029</v>
      </c>
      <c r="J13" s="1" t="s">
        <v>6030</v>
      </c>
      <c r="K13" s="6">
        <f t="shared" si="2"/>
        <v>0.01323175621</v>
      </c>
      <c r="L13" s="7">
        <v>0.0028887984663254437</v>
      </c>
      <c r="M13" s="8">
        <f t="shared" si="1"/>
        <v>8474830</v>
      </c>
    </row>
    <row r="14">
      <c r="A14" s="9">
        <v>45526.0</v>
      </c>
      <c r="B14" s="1">
        <v>507.85</v>
      </c>
      <c r="C14" s="1">
        <v>508.5</v>
      </c>
      <c r="D14" s="1">
        <v>501.45</v>
      </c>
      <c r="E14" s="1">
        <v>505.4</v>
      </c>
      <c r="F14" s="1">
        <v>504.55</v>
      </c>
      <c r="G14" s="1">
        <v>504.67</v>
      </c>
      <c r="H14" s="1" t="s">
        <v>6037</v>
      </c>
      <c r="I14" s="1" t="s">
        <v>6039</v>
      </c>
      <c r="J14" s="1" t="s">
        <v>6041</v>
      </c>
      <c r="K14" s="6">
        <f t="shared" si="2"/>
        <v>-0.001681836169</v>
      </c>
      <c r="L14" s="7">
        <v>0.0016673260611540994</v>
      </c>
      <c r="M14" s="8">
        <f t="shared" si="1"/>
        <v>8364290</v>
      </c>
    </row>
    <row r="15">
      <c r="A15" s="9">
        <v>45527.0</v>
      </c>
      <c r="B15" s="1">
        <v>505.05</v>
      </c>
      <c r="C15" s="1">
        <v>506.95</v>
      </c>
      <c r="D15" s="1">
        <v>499.95</v>
      </c>
      <c r="E15" s="1">
        <v>504.55</v>
      </c>
      <c r="F15" s="1">
        <v>505.8</v>
      </c>
      <c r="G15" s="1">
        <v>504.2</v>
      </c>
      <c r="H15" s="1" t="s">
        <v>6048</v>
      </c>
      <c r="I15" s="1" t="s">
        <v>6050</v>
      </c>
      <c r="J15" s="1" t="s">
        <v>6051</v>
      </c>
      <c r="K15" s="6">
        <f t="shared" si="2"/>
        <v>0.002477455158</v>
      </c>
      <c r="L15" s="7">
        <v>4.695403341193179E-4</v>
      </c>
      <c r="M15" s="8">
        <f t="shared" si="1"/>
        <v>7891446</v>
      </c>
    </row>
    <row r="16">
      <c r="A16" s="9">
        <v>45530.0</v>
      </c>
      <c r="B16" s="1">
        <v>506.0</v>
      </c>
      <c r="C16" s="1">
        <v>508.0</v>
      </c>
      <c r="D16" s="1">
        <v>502.0</v>
      </c>
      <c r="E16" s="1">
        <v>505.8</v>
      </c>
      <c r="F16" s="1">
        <v>505.7</v>
      </c>
      <c r="G16" s="1">
        <v>505.93</v>
      </c>
      <c r="H16" s="1" t="s">
        <v>6058</v>
      </c>
      <c r="I16" s="1" t="s">
        <v>6059</v>
      </c>
      <c r="J16" s="1" t="s">
        <v>6060</v>
      </c>
      <c r="K16" s="6">
        <f t="shared" si="2"/>
        <v>-0.0001977066034</v>
      </c>
      <c r="L16" s="7">
        <v>0.0075514187361393325</v>
      </c>
      <c r="M16" s="8">
        <f t="shared" si="1"/>
        <v>7825037</v>
      </c>
    </row>
    <row r="17">
      <c r="A17" s="9">
        <v>45531.0</v>
      </c>
      <c r="B17" s="1">
        <v>507.55</v>
      </c>
      <c r="C17" s="1">
        <v>507.6</v>
      </c>
      <c r="D17" s="1">
        <v>500.0</v>
      </c>
      <c r="E17" s="1">
        <v>505.7</v>
      </c>
      <c r="F17" s="1">
        <v>500.6</v>
      </c>
      <c r="G17" s="1">
        <v>502.17</v>
      </c>
      <c r="H17" s="1" t="s">
        <v>6067</v>
      </c>
      <c r="I17" s="1" t="s">
        <v>6068</v>
      </c>
      <c r="J17" s="1" t="s">
        <v>6069</v>
      </c>
      <c r="K17" s="6">
        <f t="shared" si="2"/>
        <v>-0.01008503065</v>
      </c>
      <c r="L17" s="7">
        <v>2.858787873942031E-4</v>
      </c>
      <c r="M17" s="8">
        <f t="shared" si="1"/>
        <v>7954114</v>
      </c>
    </row>
    <row r="18">
      <c r="A18" s="9">
        <v>45532.0</v>
      </c>
      <c r="B18" s="1">
        <v>500.4</v>
      </c>
      <c r="C18" s="1">
        <v>502.3</v>
      </c>
      <c r="D18" s="1">
        <v>496.5</v>
      </c>
      <c r="E18" s="1">
        <v>500.6</v>
      </c>
      <c r="F18" s="1">
        <v>497.3</v>
      </c>
      <c r="G18" s="1">
        <v>498.8</v>
      </c>
      <c r="H18" s="1" t="s">
        <v>6076</v>
      </c>
      <c r="I18" s="1" t="s">
        <v>6077</v>
      </c>
      <c r="J18" s="1" t="s">
        <v>6078</v>
      </c>
      <c r="K18" s="6">
        <f t="shared" si="2"/>
        <v>-0.006592089493</v>
      </c>
      <c r="L18" s="7">
        <v>0.0013830180571793446</v>
      </c>
      <c r="M18" s="8">
        <f t="shared" si="1"/>
        <v>7782216</v>
      </c>
    </row>
    <row r="19">
      <c r="A19" s="9">
        <v>45533.0</v>
      </c>
      <c r="B19" s="1">
        <v>498.0</v>
      </c>
      <c r="C19" s="1">
        <v>507.7</v>
      </c>
      <c r="D19" s="1">
        <v>497.35</v>
      </c>
      <c r="E19" s="1">
        <v>497.3</v>
      </c>
      <c r="F19" s="1">
        <v>505.1</v>
      </c>
      <c r="G19" s="1">
        <v>503.72</v>
      </c>
      <c r="H19" s="1" t="s">
        <v>6085</v>
      </c>
      <c r="I19" s="1" t="s">
        <v>6087</v>
      </c>
      <c r="J19" s="1" t="s">
        <v>6090</v>
      </c>
      <c r="K19" s="6">
        <f t="shared" si="2"/>
        <v>0.01568469737</v>
      </c>
      <c r="L19" s="7">
        <v>0.003975674936682674</v>
      </c>
      <c r="M19" s="8">
        <f t="shared" si="1"/>
        <v>18670632</v>
      </c>
    </row>
    <row r="20">
      <c r="A20" s="9">
        <v>45534.0</v>
      </c>
      <c r="B20" s="1">
        <v>501.95</v>
      </c>
      <c r="C20" s="1">
        <v>509.15</v>
      </c>
      <c r="D20" s="1">
        <v>500.2</v>
      </c>
      <c r="E20" s="1">
        <v>505.1</v>
      </c>
      <c r="F20" s="1">
        <v>501.9</v>
      </c>
      <c r="G20" s="1">
        <v>502.57</v>
      </c>
      <c r="H20" s="1" t="s">
        <v>6097</v>
      </c>
      <c r="I20" s="1" t="s">
        <v>6100</v>
      </c>
      <c r="J20" s="1" t="s">
        <v>6101</v>
      </c>
      <c r="K20" s="6">
        <f t="shared" si="2"/>
        <v>-0.006335379133</v>
      </c>
      <c r="L20" s="7">
        <v>0.00333771337808801</v>
      </c>
      <c r="M20" s="8">
        <f t="shared" si="1"/>
        <v>14947670</v>
      </c>
    </row>
    <row r="21">
      <c r="A21" s="3">
        <v>45537.0</v>
      </c>
      <c r="B21" s="1">
        <v>504.0</v>
      </c>
      <c r="C21" s="1">
        <v>512.9</v>
      </c>
      <c r="D21" s="1">
        <v>503.3</v>
      </c>
      <c r="E21" s="1">
        <v>501.9</v>
      </c>
      <c r="F21" s="1">
        <v>510.05</v>
      </c>
      <c r="G21" s="1">
        <v>509.98</v>
      </c>
      <c r="H21" s="1" t="s">
        <v>6110</v>
      </c>
      <c r="I21" s="1" t="s">
        <v>6112</v>
      </c>
      <c r="J21" s="1" t="s">
        <v>6114</v>
      </c>
      <c r="K21" s="6">
        <f t="shared" si="2"/>
        <v>0.01623829448</v>
      </c>
      <c r="L21" s="7">
        <v>0.0016959965763059478</v>
      </c>
      <c r="M21" s="8">
        <f t="shared" si="1"/>
        <v>15885469</v>
      </c>
    </row>
    <row r="22">
      <c r="A22" s="3">
        <v>45538.0</v>
      </c>
      <c r="B22" s="1">
        <v>510.05</v>
      </c>
      <c r="C22" s="1">
        <v>515.95</v>
      </c>
      <c r="D22" s="1">
        <v>507.9</v>
      </c>
      <c r="E22" s="1">
        <v>510.05</v>
      </c>
      <c r="F22" s="1">
        <v>509.4</v>
      </c>
      <c r="G22" s="1">
        <v>512.57</v>
      </c>
      <c r="H22" s="1" t="s">
        <v>6120</v>
      </c>
      <c r="I22" s="1" t="s">
        <v>6121</v>
      </c>
      <c r="J22" s="1" t="s">
        <v>6122</v>
      </c>
      <c r="K22" s="6">
        <f t="shared" si="2"/>
        <v>-0.001274384864</v>
      </c>
      <c r="L22" s="7">
        <v>4.549284575543114E-5</v>
      </c>
      <c r="M22" s="8">
        <f t="shared" si="1"/>
        <v>12018677</v>
      </c>
    </row>
    <row r="23">
      <c r="A23" s="3">
        <v>45539.0</v>
      </c>
      <c r="B23" s="1">
        <v>500.0</v>
      </c>
      <c r="C23" s="1">
        <v>510.05</v>
      </c>
      <c r="D23" s="1">
        <v>499.95</v>
      </c>
      <c r="E23" s="1">
        <v>509.4</v>
      </c>
      <c r="F23" s="1">
        <v>506.35</v>
      </c>
      <c r="G23" s="1">
        <v>506.14</v>
      </c>
      <c r="H23" s="1" t="s">
        <v>6129</v>
      </c>
      <c r="I23" s="1" t="s">
        <v>6130</v>
      </c>
      <c r="J23" s="1" t="s">
        <v>6131</v>
      </c>
      <c r="K23" s="6">
        <f t="shared" si="2"/>
        <v>-0.005987436199</v>
      </c>
      <c r="L23" s="7">
        <v>-0.0032100665154262318</v>
      </c>
      <c r="M23" s="8">
        <f t="shared" si="1"/>
        <v>8414967</v>
      </c>
    </row>
    <row r="24">
      <c r="A24" s="3">
        <v>45540.0</v>
      </c>
      <c r="B24" s="1">
        <v>508.35</v>
      </c>
      <c r="C24" s="1">
        <v>511.9</v>
      </c>
      <c r="D24" s="1">
        <v>507.05</v>
      </c>
      <c r="E24" s="1">
        <v>506.35</v>
      </c>
      <c r="F24" s="1">
        <v>511.2</v>
      </c>
      <c r="G24" s="1">
        <v>510.32</v>
      </c>
      <c r="H24" s="1" t="s">
        <v>6138</v>
      </c>
      <c r="I24" s="1" t="s">
        <v>6139</v>
      </c>
      <c r="J24" s="1" t="s">
        <v>6140</v>
      </c>
      <c r="K24" s="6">
        <f t="shared" si="2"/>
        <v>0.009578354893</v>
      </c>
      <c r="L24" s="7">
        <v>-0.0021270938580165715</v>
      </c>
      <c r="M24" s="8">
        <f t="shared" si="1"/>
        <v>10898888</v>
      </c>
    </row>
    <row r="25">
      <c r="A25" s="3">
        <v>45541.0</v>
      </c>
      <c r="B25" s="1">
        <v>512.0</v>
      </c>
      <c r="C25" s="1">
        <v>512.0</v>
      </c>
      <c r="D25" s="1">
        <v>497.15</v>
      </c>
      <c r="E25" s="1">
        <v>511.2</v>
      </c>
      <c r="F25" s="1">
        <v>501.7</v>
      </c>
      <c r="G25" s="1">
        <v>502.2</v>
      </c>
      <c r="H25" s="1" t="s">
        <v>6149</v>
      </c>
      <c r="I25" s="1" t="s">
        <v>6151</v>
      </c>
      <c r="J25" s="1" t="s">
        <v>6152</v>
      </c>
      <c r="K25" s="6">
        <f t="shared" si="2"/>
        <v>-0.01858372457</v>
      </c>
      <c r="L25" s="7">
        <v>-0.011650381187587128</v>
      </c>
      <c r="M25" s="8">
        <f t="shared" si="1"/>
        <v>13716752</v>
      </c>
    </row>
    <row r="26">
      <c r="A26" s="3">
        <v>45544.0</v>
      </c>
      <c r="B26" s="1">
        <v>502.0</v>
      </c>
      <c r="C26" s="1">
        <v>512.65</v>
      </c>
      <c r="D26" s="1">
        <v>500.35</v>
      </c>
      <c r="E26" s="1">
        <v>501.7</v>
      </c>
      <c r="F26" s="1">
        <v>511.75</v>
      </c>
      <c r="G26" s="1">
        <v>509.47</v>
      </c>
      <c r="H26" s="1" t="s">
        <v>6159</v>
      </c>
      <c r="I26" s="1" t="s">
        <v>6160</v>
      </c>
      <c r="J26" s="1" t="s">
        <v>6161</v>
      </c>
      <c r="K26" s="6">
        <f t="shared" si="2"/>
        <v>0.02003189157</v>
      </c>
      <c r="L26" s="7">
        <v>0.0033900487482974306</v>
      </c>
      <c r="M26" s="8">
        <f t="shared" si="1"/>
        <v>13736044</v>
      </c>
    </row>
    <row r="27">
      <c r="A27" s="9">
        <v>45545.0</v>
      </c>
      <c r="B27" s="1">
        <v>511.9</v>
      </c>
      <c r="C27" s="1">
        <v>515.0</v>
      </c>
      <c r="D27" s="1">
        <v>508.75</v>
      </c>
      <c r="E27" s="1">
        <v>511.75</v>
      </c>
      <c r="F27" s="1">
        <v>513.6</v>
      </c>
      <c r="G27" s="1">
        <v>512.86</v>
      </c>
      <c r="H27" s="1" t="s">
        <v>6168</v>
      </c>
      <c r="I27" s="1" t="s">
        <v>6170</v>
      </c>
      <c r="J27" s="1" t="s">
        <v>6172</v>
      </c>
      <c r="K27" s="6">
        <f t="shared" si="2"/>
        <v>0.003615046409</v>
      </c>
      <c r="L27" s="7">
        <v>0.0041986814455974835</v>
      </c>
      <c r="M27" s="8">
        <f t="shared" si="1"/>
        <v>10911995</v>
      </c>
    </row>
    <row r="28">
      <c r="A28" s="9">
        <v>45546.0</v>
      </c>
      <c r="B28" s="1">
        <v>513.0</v>
      </c>
      <c r="C28" s="1">
        <v>519.5</v>
      </c>
      <c r="D28" s="1">
        <v>511.95</v>
      </c>
      <c r="E28" s="1">
        <v>513.6</v>
      </c>
      <c r="F28" s="1">
        <v>514.35</v>
      </c>
      <c r="G28" s="1">
        <v>516.48</v>
      </c>
      <c r="H28" s="1" t="s">
        <v>6179</v>
      </c>
      <c r="I28" s="1" t="s">
        <v>6181</v>
      </c>
      <c r="J28" s="1" t="s">
        <v>6182</v>
      </c>
      <c r="K28" s="6">
        <f t="shared" si="2"/>
        <v>0.001460280374</v>
      </c>
      <c r="L28" s="7">
        <v>-0.004897947773859688</v>
      </c>
      <c r="M28" s="8">
        <f t="shared" si="1"/>
        <v>14922832</v>
      </c>
    </row>
    <row r="29">
      <c r="A29" s="9">
        <v>45547.0</v>
      </c>
      <c r="B29" s="1">
        <v>515.1</v>
      </c>
      <c r="C29" s="1">
        <v>520.5</v>
      </c>
      <c r="D29" s="1">
        <v>508.55</v>
      </c>
      <c r="E29" s="1">
        <v>514.35</v>
      </c>
      <c r="F29" s="1">
        <v>519.5</v>
      </c>
      <c r="G29" s="1">
        <v>515.6</v>
      </c>
      <c r="H29" s="1" t="s">
        <v>6187</v>
      </c>
      <c r="I29" s="1" t="s">
        <v>6189</v>
      </c>
      <c r="J29" s="1" t="s">
        <v>6190</v>
      </c>
      <c r="K29" s="6">
        <f t="shared" si="2"/>
        <v>0.01001263731</v>
      </c>
      <c r="L29" s="7">
        <v>0.018879585206945083</v>
      </c>
      <c r="M29" s="8">
        <f t="shared" si="1"/>
        <v>18377550</v>
      </c>
    </row>
    <row r="30">
      <c r="A30" s="9">
        <v>45548.0</v>
      </c>
      <c r="B30" s="1">
        <v>519.5</v>
      </c>
      <c r="C30" s="1">
        <v>520.0</v>
      </c>
      <c r="D30" s="1">
        <v>512.0</v>
      </c>
      <c r="E30" s="1">
        <v>519.5</v>
      </c>
      <c r="F30" s="1">
        <v>513.85</v>
      </c>
      <c r="G30" s="1">
        <v>513.81</v>
      </c>
      <c r="H30" s="1" t="s">
        <v>6194</v>
      </c>
      <c r="I30" s="1" t="s">
        <v>6195</v>
      </c>
      <c r="J30" s="1" t="s">
        <v>6196</v>
      </c>
      <c r="K30" s="6">
        <f t="shared" si="2"/>
        <v>-0.01087584216</v>
      </c>
      <c r="L30" s="7">
        <v>-0.0012761482380095812</v>
      </c>
      <c r="M30" s="8">
        <f t="shared" si="1"/>
        <v>8825193</v>
      </c>
    </row>
    <row r="31">
      <c r="A31" s="9">
        <v>45551.0</v>
      </c>
      <c r="B31" s="1">
        <v>515.9</v>
      </c>
      <c r="C31" s="1">
        <v>517.0</v>
      </c>
      <c r="D31" s="1">
        <v>509.7</v>
      </c>
      <c r="E31" s="1">
        <v>513.85</v>
      </c>
      <c r="F31" s="1">
        <v>511.1</v>
      </c>
      <c r="G31" s="1">
        <v>513.15</v>
      </c>
      <c r="H31" s="1" t="s">
        <v>6203</v>
      </c>
      <c r="I31" s="1" t="s">
        <v>6204</v>
      </c>
      <c r="J31" s="11">
        <v>80552.0</v>
      </c>
      <c r="K31" s="6">
        <f t="shared" si="2"/>
        <v>-0.005351756349</v>
      </c>
      <c r="L31" s="7">
        <v>0.0010746751326089958</v>
      </c>
      <c r="M31" s="8">
        <f t="shared" si="1"/>
        <v>7531604</v>
      </c>
    </row>
    <row r="32">
      <c r="A32" s="9">
        <v>45552.0</v>
      </c>
      <c r="B32" s="1">
        <v>511.05</v>
      </c>
      <c r="C32" s="1">
        <v>513.55</v>
      </c>
      <c r="D32" s="1">
        <v>506.25</v>
      </c>
      <c r="E32" s="1">
        <v>511.1</v>
      </c>
      <c r="F32" s="1">
        <v>507.75</v>
      </c>
      <c r="G32" s="1">
        <v>508.55</v>
      </c>
      <c r="H32" s="1" t="s">
        <v>6211</v>
      </c>
      <c r="I32" s="1" t="s">
        <v>6212</v>
      </c>
      <c r="J32" s="1" t="s">
        <v>6213</v>
      </c>
      <c r="K32" s="6">
        <f t="shared" si="2"/>
        <v>-0.006554490315</v>
      </c>
      <c r="L32" s="7">
        <v>0.0013709558280395637</v>
      </c>
      <c r="M32" s="8">
        <f t="shared" si="1"/>
        <v>10486015</v>
      </c>
    </row>
    <row r="33">
      <c r="A33" s="9">
        <v>45553.0</v>
      </c>
      <c r="B33" s="1">
        <v>507.85</v>
      </c>
      <c r="C33" s="1">
        <v>512.4</v>
      </c>
      <c r="D33" s="1">
        <v>505.1</v>
      </c>
      <c r="E33" s="1">
        <v>507.75</v>
      </c>
      <c r="F33" s="1">
        <v>507.35</v>
      </c>
      <c r="G33" s="1">
        <v>509.15</v>
      </c>
      <c r="H33" s="1" t="s">
        <v>6220</v>
      </c>
      <c r="I33" s="1" t="s">
        <v>6221</v>
      </c>
      <c r="J33" s="11">
        <v>98908.0</v>
      </c>
      <c r="K33" s="6">
        <f t="shared" si="2"/>
        <v>-0.0007877892664</v>
      </c>
      <c r="L33" s="7">
        <v>-0.001612995233795791</v>
      </c>
      <c r="M33" s="8">
        <f t="shared" si="1"/>
        <v>5429619</v>
      </c>
    </row>
    <row r="34">
      <c r="A34" s="9">
        <v>45554.0</v>
      </c>
      <c r="B34" s="1">
        <v>510.0</v>
      </c>
      <c r="C34" s="1">
        <v>514.8</v>
      </c>
      <c r="D34" s="1">
        <v>507.5</v>
      </c>
      <c r="E34" s="1">
        <v>507.35</v>
      </c>
      <c r="F34" s="1">
        <v>508.25</v>
      </c>
      <c r="G34" s="1">
        <v>510.59</v>
      </c>
      <c r="H34" s="1" t="s">
        <v>6228</v>
      </c>
      <c r="I34" s="1" t="s">
        <v>6229</v>
      </c>
      <c r="J34" s="1" t="s">
        <v>6230</v>
      </c>
      <c r="K34" s="6">
        <f t="shared" si="2"/>
        <v>0.001773923327</v>
      </c>
      <c r="L34" s="7">
        <v>0.0015072376963103215</v>
      </c>
      <c r="M34" s="8">
        <f t="shared" si="1"/>
        <v>13925311</v>
      </c>
    </row>
    <row r="35">
      <c r="A35" s="9">
        <v>45555.0</v>
      </c>
      <c r="B35" s="1">
        <v>512.0</v>
      </c>
      <c r="C35" s="1">
        <v>517.35</v>
      </c>
      <c r="D35" s="1">
        <v>508.0</v>
      </c>
      <c r="E35" s="1">
        <v>508.25</v>
      </c>
      <c r="F35" s="1">
        <v>514.4</v>
      </c>
      <c r="G35" s="1">
        <v>513.97</v>
      </c>
      <c r="H35" s="1" t="s">
        <v>6236</v>
      </c>
      <c r="I35" s="1" t="s">
        <v>6238</v>
      </c>
      <c r="J35" s="1" t="s">
        <v>6239</v>
      </c>
      <c r="K35" s="6">
        <f t="shared" si="2"/>
        <v>0.01210034432</v>
      </c>
      <c r="L35" s="7">
        <v>0.014760503308965348</v>
      </c>
      <c r="M35" s="8">
        <f t="shared" si="1"/>
        <v>23808194</v>
      </c>
    </row>
    <row r="36">
      <c r="A36" s="9">
        <v>45558.0</v>
      </c>
      <c r="B36" s="1">
        <v>515.45</v>
      </c>
      <c r="C36" s="1">
        <v>519.45</v>
      </c>
      <c r="D36" s="1">
        <v>513.6</v>
      </c>
      <c r="E36" s="1">
        <v>514.4</v>
      </c>
      <c r="F36" s="1">
        <v>516.95</v>
      </c>
      <c r="G36" s="1">
        <v>516.88</v>
      </c>
      <c r="H36" s="1" t="s">
        <v>6244</v>
      </c>
      <c r="I36" s="1" t="s">
        <v>6246</v>
      </c>
      <c r="J36" s="1" t="s">
        <v>6248</v>
      </c>
      <c r="K36" s="6">
        <f t="shared" si="2"/>
        <v>0.004957231726</v>
      </c>
      <c r="L36" s="7">
        <v>0.005742324342453401</v>
      </c>
      <c r="M36" s="8">
        <f t="shared" si="1"/>
        <v>7804918</v>
      </c>
    </row>
    <row r="37">
      <c r="A37" s="9">
        <v>45559.0</v>
      </c>
      <c r="B37" s="1">
        <v>517.0</v>
      </c>
      <c r="C37" s="1">
        <v>517.8</v>
      </c>
      <c r="D37" s="1">
        <v>514.15</v>
      </c>
      <c r="E37" s="1">
        <v>516.95</v>
      </c>
      <c r="F37" s="1">
        <v>515.25</v>
      </c>
      <c r="G37" s="1">
        <v>515.47</v>
      </c>
      <c r="H37" s="1" t="s">
        <v>6252</v>
      </c>
      <c r="I37" s="1" t="s">
        <v>6253</v>
      </c>
      <c r="J37" s="1" t="s">
        <v>6255</v>
      </c>
      <c r="K37" s="6">
        <f t="shared" si="2"/>
        <v>-0.003288519199</v>
      </c>
      <c r="L37" s="7">
        <v>5.2045082607195824E-5</v>
      </c>
      <c r="M37" s="8">
        <f t="shared" si="1"/>
        <v>6755320</v>
      </c>
    </row>
    <row r="38">
      <c r="A38" s="9">
        <v>45560.0</v>
      </c>
      <c r="B38" s="1">
        <v>515.5</v>
      </c>
      <c r="C38" s="1">
        <v>519.3</v>
      </c>
      <c r="D38" s="1">
        <v>512.3</v>
      </c>
      <c r="E38" s="1">
        <v>515.25</v>
      </c>
      <c r="F38" s="1">
        <v>517.55</v>
      </c>
      <c r="G38" s="1">
        <v>515.67</v>
      </c>
      <c r="H38" s="1" t="s">
        <v>6261</v>
      </c>
      <c r="I38" s="1" t="s">
        <v>6262</v>
      </c>
      <c r="J38" s="1" t="s">
        <v>6263</v>
      </c>
      <c r="K38" s="6">
        <f t="shared" si="2"/>
        <v>0.004463852499</v>
      </c>
      <c r="L38" s="7">
        <v>0.0024575565527131422</v>
      </c>
      <c r="M38" s="8">
        <f t="shared" si="1"/>
        <v>8476223</v>
      </c>
    </row>
    <row r="39">
      <c r="A39" s="9">
        <v>45561.0</v>
      </c>
      <c r="B39" s="1">
        <v>517.65</v>
      </c>
      <c r="C39" s="1">
        <v>523.75</v>
      </c>
      <c r="D39" s="1">
        <v>517.0</v>
      </c>
      <c r="E39" s="1">
        <v>517.55</v>
      </c>
      <c r="F39" s="1">
        <v>522.75</v>
      </c>
      <c r="G39" s="1">
        <v>521.19</v>
      </c>
      <c r="H39" s="1" t="s">
        <v>6273</v>
      </c>
      <c r="I39" s="1" t="s">
        <v>6277</v>
      </c>
      <c r="J39" s="1" t="s">
        <v>6281</v>
      </c>
      <c r="K39" s="6">
        <f t="shared" si="2"/>
        <v>0.01004733842</v>
      </c>
      <c r="L39" s="7">
        <v>0.008148699342220293</v>
      </c>
      <c r="M39" s="8">
        <f t="shared" si="1"/>
        <v>15489991</v>
      </c>
    </row>
    <row r="40">
      <c r="A40" s="9">
        <v>45562.0</v>
      </c>
      <c r="B40" s="1">
        <v>520.25</v>
      </c>
      <c r="C40" s="1">
        <v>528.5</v>
      </c>
      <c r="D40" s="1">
        <v>520.25</v>
      </c>
      <c r="E40" s="1">
        <v>522.75</v>
      </c>
      <c r="F40" s="1">
        <v>522.7</v>
      </c>
      <c r="G40" s="1">
        <v>524.14</v>
      </c>
      <c r="H40" s="1" t="s">
        <v>6293</v>
      </c>
      <c r="I40" s="1" t="s">
        <v>6294</v>
      </c>
      <c r="J40" s="1" t="s">
        <v>6295</v>
      </c>
      <c r="K40" s="6">
        <f t="shared" si="2"/>
        <v>-0.0000956480153</v>
      </c>
      <c r="L40" s="7">
        <v>-0.0014151636116042862</v>
      </c>
      <c r="M40" s="8">
        <f t="shared" si="1"/>
        <v>17251962</v>
      </c>
    </row>
    <row r="41">
      <c r="A41" s="9">
        <v>45565.0</v>
      </c>
      <c r="B41" s="1">
        <v>520.6</v>
      </c>
      <c r="C41" s="1">
        <v>524.35</v>
      </c>
      <c r="D41" s="1">
        <v>514.05</v>
      </c>
      <c r="E41" s="1">
        <v>522.7</v>
      </c>
      <c r="F41" s="1">
        <v>518.15</v>
      </c>
      <c r="G41" s="1">
        <v>518.56</v>
      </c>
      <c r="H41" s="1" t="s">
        <v>6301</v>
      </c>
      <c r="I41" s="1" t="s">
        <v>6303</v>
      </c>
      <c r="J41" s="1" t="s">
        <v>6304</v>
      </c>
      <c r="K41" s="6">
        <f t="shared" si="2"/>
        <v>-0.00870480199</v>
      </c>
      <c r="L41" s="7">
        <v>-0.014060915353748036</v>
      </c>
      <c r="M41" s="8">
        <f t="shared" si="1"/>
        <v>10531347</v>
      </c>
    </row>
    <row r="42">
      <c r="A42" s="3">
        <v>45566.0</v>
      </c>
      <c r="B42" s="1">
        <v>518.15</v>
      </c>
      <c r="C42" s="1">
        <v>519.75</v>
      </c>
      <c r="D42" s="1">
        <v>514.0</v>
      </c>
      <c r="E42" s="1">
        <v>518.15</v>
      </c>
      <c r="F42" s="1">
        <v>516.2</v>
      </c>
      <c r="G42" s="1">
        <v>515.9</v>
      </c>
      <c r="H42" s="1" t="s">
        <v>6307</v>
      </c>
      <c r="I42" s="1" t="s">
        <v>6308</v>
      </c>
      <c r="J42" s="1" t="s">
        <v>6309</v>
      </c>
      <c r="K42" s="6">
        <f t="shared" si="2"/>
        <v>-0.00376338898</v>
      </c>
      <c r="L42" s="7">
        <v>-5.40470383578886E-4</v>
      </c>
      <c r="M42" s="8">
        <f t="shared" si="1"/>
        <v>5089315</v>
      </c>
    </row>
    <row r="43">
      <c r="A43" s="3">
        <v>45568.0</v>
      </c>
      <c r="B43" s="1">
        <v>508.55</v>
      </c>
      <c r="C43" s="1">
        <v>515.7</v>
      </c>
      <c r="D43" s="1">
        <v>508.1</v>
      </c>
      <c r="E43" s="1">
        <v>516.2</v>
      </c>
      <c r="F43" s="1">
        <v>512.75</v>
      </c>
      <c r="G43" s="1">
        <v>512.47</v>
      </c>
      <c r="H43" s="1" t="s">
        <v>6313</v>
      </c>
      <c r="I43" s="1" t="s">
        <v>6314</v>
      </c>
      <c r="J43" s="1" t="s">
        <v>6315</v>
      </c>
      <c r="K43" s="6">
        <f t="shared" si="2"/>
        <v>-0.006683456025</v>
      </c>
      <c r="L43" s="7">
        <v>-0.021196345297303278</v>
      </c>
      <c r="M43" s="8">
        <f t="shared" si="1"/>
        <v>15870147</v>
      </c>
    </row>
    <row r="44">
      <c r="A44" s="3">
        <v>45569.0</v>
      </c>
      <c r="B44" s="1">
        <v>510.0</v>
      </c>
      <c r="C44" s="1">
        <v>517.35</v>
      </c>
      <c r="D44" s="1">
        <v>501.55</v>
      </c>
      <c r="E44" s="1">
        <v>512.75</v>
      </c>
      <c r="F44" s="1">
        <v>503.55</v>
      </c>
      <c r="G44" s="1">
        <v>509.93</v>
      </c>
      <c r="H44" s="1" t="s">
        <v>6321</v>
      </c>
      <c r="I44" s="1" t="s">
        <v>6322</v>
      </c>
      <c r="J44" s="1" t="s">
        <v>6324</v>
      </c>
      <c r="K44" s="6">
        <f t="shared" si="2"/>
        <v>-0.01794246709</v>
      </c>
      <c r="L44" s="7">
        <v>-0.009326695735858473</v>
      </c>
      <c r="M44" s="8">
        <f t="shared" si="1"/>
        <v>18228912</v>
      </c>
    </row>
    <row r="45">
      <c r="A45" s="3">
        <v>45572.0</v>
      </c>
      <c r="B45" s="1">
        <v>507.0</v>
      </c>
      <c r="C45" s="1">
        <v>514.95</v>
      </c>
      <c r="D45" s="1">
        <v>506.75</v>
      </c>
      <c r="E45" s="1">
        <v>503.55</v>
      </c>
      <c r="F45" s="1">
        <v>510.2</v>
      </c>
      <c r="G45" s="1">
        <v>511.03</v>
      </c>
      <c r="H45" s="1" t="s">
        <v>6325</v>
      </c>
      <c r="I45" s="1" t="s">
        <v>6326</v>
      </c>
      <c r="J45" s="1" t="s">
        <v>6327</v>
      </c>
      <c r="K45" s="6">
        <f t="shared" si="2"/>
        <v>0.01320623573</v>
      </c>
      <c r="L45" s="7">
        <v>-0.008748890647861591</v>
      </c>
      <c r="M45" s="8">
        <f t="shared" si="1"/>
        <v>16479772</v>
      </c>
    </row>
    <row r="46">
      <c r="A46" s="3">
        <v>45573.0</v>
      </c>
      <c r="B46" s="1">
        <v>510.0</v>
      </c>
      <c r="C46" s="1">
        <v>512.55</v>
      </c>
      <c r="D46" s="1">
        <v>506.0</v>
      </c>
      <c r="E46" s="1">
        <v>510.2</v>
      </c>
      <c r="F46" s="1">
        <v>507.95</v>
      </c>
      <c r="G46" s="1">
        <v>508.84</v>
      </c>
      <c r="H46" s="1" t="s">
        <v>6334</v>
      </c>
      <c r="I46" s="1" t="s">
        <v>6335</v>
      </c>
      <c r="J46" s="1" t="s">
        <v>6336</v>
      </c>
      <c r="K46" s="6">
        <f t="shared" si="2"/>
        <v>-0.00441003528</v>
      </c>
      <c r="L46" s="7">
        <v>0.008767631549761611</v>
      </c>
      <c r="M46" s="8">
        <f t="shared" si="1"/>
        <v>9502367</v>
      </c>
    </row>
    <row r="47">
      <c r="A47" s="3">
        <v>45574.0</v>
      </c>
      <c r="B47" s="1">
        <v>509.8</v>
      </c>
      <c r="C47" s="1">
        <v>509.8</v>
      </c>
      <c r="D47" s="1">
        <v>490.55</v>
      </c>
      <c r="E47" s="1">
        <v>507.95</v>
      </c>
      <c r="F47" s="1">
        <v>491.7</v>
      </c>
      <c r="G47" s="1">
        <v>499.12</v>
      </c>
      <c r="H47" s="1" t="s">
        <v>6341</v>
      </c>
      <c r="I47" s="1" t="s">
        <v>6342</v>
      </c>
      <c r="J47" s="1" t="s">
        <v>6344</v>
      </c>
      <c r="K47" s="6">
        <f t="shared" si="2"/>
        <v>-0.03199133773</v>
      </c>
      <c r="L47" s="7">
        <v>-0.0012473438971101491</v>
      </c>
      <c r="M47" s="8">
        <f t="shared" si="1"/>
        <v>23952459</v>
      </c>
    </row>
    <row r="48">
      <c r="A48" s="9">
        <v>45575.0</v>
      </c>
      <c r="B48" s="1">
        <v>495.35</v>
      </c>
      <c r="C48" s="1">
        <v>495.65</v>
      </c>
      <c r="D48" s="1">
        <v>489.45</v>
      </c>
      <c r="E48" s="1">
        <v>491.7</v>
      </c>
      <c r="F48" s="1">
        <v>492.05</v>
      </c>
      <c r="G48" s="1">
        <v>492.72</v>
      </c>
      <c r="H48" s="1" t="s">
        <v>6356</v>
      </c>
      <c r="I48" s="1" t="s">
        <v>6358</v>
      </c>
      <c r="J48" s="1" t="s">
        <v>6360</v>
      </c>
      <c r="K48" s="6">
        <f t="shared" si="2"/>
        <v>0.0007118161481</v>
      </c>
      <c r="L48" s="7">
        <v>6.604768642960217E-4</v>
      </c>
      <c r="M48" s="8">
        <f t="shared" si="1"/>
        <v>12799333</v>
      </c>
    </row>
    <row r="49">
      <c r="A49" s="9">
        <v>45576.0</v>
      </c>
      <c r="B49" s="1">
        <v>493.0</v>
      </c>
      <c r="C49" s="1">
        <v>493.95</v>
      </c>
      <c r="D49" s="1">
        <v>487.4</v>
      </c>
      <c r="E49" s="1">
        <v>492.05</v>
      </c>
      <c r="F49" s="1">
        <v>488.2</v>
      </c>
      <c r="G49" s="1">
        <v>489.06</v>
      </c>
      <c r="H49" s="1" t="s">
        <v>6364</v>
      </c>
      <c r="I49" s="1" t="s">
        <v>6365</v>
      </c>
      <c r="J49" s="1" t="s">
        <v>6366</v>
      </c>
      <c r="K49" s="6">
        <f t="shared" si="2"/>
        <v>-0.007824408089</v>
      </c>
      <c r="L49" s="7">
        <v>-0.001368084821258947</v>
      </c>
      <c r="M49" s="8">
        <f t="shared" si="1"/>
        <v>14394986</v>
      </c>
    </row>
    <row r="50">
      <c r="A50" s="9">
        <v>45579.0</v>
      </c>
      <c r="B50" s="1">
        <v>491.0</v>
      </c>
      <c r="C50" s="1">
        <v>499.0</v>
      </c>
      <c r="D50" s="1">
        <v>488.65</v>
      </c>
      <c r="E50" s="1">
        <v>488.2</v>
      </c>
      <c r="F50" s="1">
        <v>496.95</v>
      </c>
      <c r="G50" s="1">
        <v>495.16</v>
      </c>
      <c r="H50" s="1" t="s">
        <v>6370</v>
      </c>
      <c r="I50" s="1" t="s">
        <v>6371</v>
      </c>
      <c r="J50" s="1" t="s">
        <v>6373</v>
      </c>
      <c r="K50" s="6">
        <f t="shared" si="2"/>
        <v>0.01792298238</v>
      </c>
      <c r="L50" s="7">
        <v>0.006557377049180357</v>
      </c>
      <c r="M50" s="8">
        <f t="shared" si="1"/>
        <v>6712103</v>
      </c>
    </row>
    <row r="51">
      <c r="A51" s="9">
        <v>45580.0</v>
      </c>
      <c r="B51" s="1">
        <v>498.0</v>
      </c>
      <c r="C51" s="1">
        <v>499.4</v>
      </c>
      <c r="D51" s="1">
        <v>494.5</v>
      </c>
      <c r="E51" s="1">
        <v>496.95</v>
      </c>
      <c r="F51" s="1">
        <v>498.55</v>
      </c>
      <c r="G51" s="1">
        <v>497.33</v>
      </c>
      <c r="H51" s="1" t="s">
        <v>6379</v>
      </c>
      <c r="I51" s="1" t="s">
        <v>6380</v>
      </c>
      <c r="J51" s="1" t="s">
        <v>6381</v>
      </c>
      <c r="K51" s="6">
        <f t="shared" si="2"/>
        <v>0.003219639803</v>
      </c>
      <c r="L51" s="7">
        <v>-0.0028096203629823435</v>
      </c>
      <c r="M51" s="8">
        <f t="shared" si="1"/>
        <v>8037662</v>
      </c>
    </row>
    <row r="52">
      <c r="A52" s="9">
        <v>45581.0</v>
      </c>
      <c r="B52" s="1">
        <v>496.0</v>
      </c>
      <c r="C52" s="1">
        <v>498.85</v>
      </c>
      <c r="D52" s="1">
        <v>492.35</v>
      </c>
      <c r="E52" s="1">
        <v>498.55</v>
      </c>
      <c r="F52" s="1">
        <v>493.2</v>
      </c>
      <c r="G52" s="1">
        <v>495.3</v>
      </c>
      <c r="H52" s="1" t="s">
        <v>6386</v>
      </c>
      <c r="I52" s="1" t="s">
        <v>6388</v>
      </c>
      <c r="J52" s="1" t="s">
        <v>6389</v>
      </c>
      <c r="K52" s="6">
        <f t="shared" si="2"/>
        <v>-0.01073112025</v>
      </c>
      <c r="L52" s="7">
        <v>-0.003434122123847864</v>
      </c>
      <c r="M52" s="8">
        <f t="shared" si="1"/>
        <v>6682083</v>
      </c>
    </row>
    <row r="53">
      <c r="A53" s="9">
        <v>45582.0</v>
      </c>
      <c r="B53" s="1">
        <v>495.0</v>
      </c>
      <c r="C53" s="1">
        <v>495.0</v>
      </c>
      <c r="D53" s="1">
        <v>488.0</v>
      </c>
      <c r="E53" s="1">
        <v>493.2</v>
      </c>
      <c r="F53" s="1">
        <v>488.9</v>
      </c>
      <c r="G53" s="1">
        <v>490.71</v>
      </c>
      <c r="H53" s="1" t="s">
        <v>6394</v>
      </c>
      <c r="I53" s="1" t="s">
        <v>6395</v>
      </c>
      <c r="J53" s="1" t="s">
        <v>6396</v>
      </c>
      <c r="K53" s="6">
        <f t="shared" si="2"/>
        <v>-0.008718572587</v>
      </c>
      <c r="L53" s="7">
        <v>-0.008868180671410809</v>
      </c>
      <c r="M53" s="8">
        <f t="shared" si="1"/>
        <v>7385299</v>
      </c>
    </row>
    <row r="54">
      <c r="A54" s="9">
        <v>45583.0</v>
      </c>
      <c r="B54" s="1">
        <v>488.75</v>
      </c>
      <c r="C54" s="1">
        <v>491.55</v>
      </c>
      <c r="D54" s="1">
        <v>478.4</v>
      </c>
      <c r="E54" s="1">
        <v>488.9</v>
      </c>
      <c r="F54" s="1">
        <v>486.7</v>
      </c>
      <c r="G54" s="1">
        <v>482.63</v>
      </c>
      <c r="H54" s="1" t="s">
        <v>6403</v>
      </c>
      <c r="I54" s="1" t="s">
        <v>6405</v>
      </c>
      <c r="J54" s="1" t="s">
        <v>6407</v>
      </c>
      <c r="K54" s="6">
        <f t="shared" si="2"/>
        <v>-0.00449989773</v>
      </c>
      <c r="L54" s="7">
        <v>0.004210126526019379</v>
      </c>
      <c r="M54" s="8">
        <f t="shared" si="1"/>
        <v>21778099</v>
      </c>
    </row>
    <row r="55">
      <c r="A55" s="9">
        <v>45586.0</v>
      </c>
      <c r="B55" s="1">
        <v>486.7</v>
      </c>
      <c r="C55" s="1">
        <v>487.6</v>
      </c>
      <c r="D55" s="1">
        <v>477.35</v>
      </c>
      <c r="E55" s="1">
        <v>486.7</v>
      </c>
      <c r="F55" s="1">
        <v>483.65</v>
      </c>
      <c r="G55" s="1">
        <v>483.4</v>
      </c>
      <c r="H55" s="1" t="s">
        <v>6411</v>
      </c>
      <c r="I55" s="1" t="s">
        <v>6412</v>
      </c>
      <c r="J55" s="1" t="s">
        <v>6413</v>
      </c>
      <c r="K55" s="6">
        <f t="shared" si="2"/>
        <v>-0.006266694062</v>
      </c>
      <c r="L55" s="7">
        <v>-0.0029351353199981787</v>
      </c>
      <c r="M55" s="8">
        <f t="shared" si="1"/>
        <v>7395274</v>
      </c>
    </row>
    <row r="56">
      <c r="A56" s="9">
        <v>45587.0</v>
      </c>
      <c r="B56" s="1">
        <v>483.65</v>
      </c>
      <c r="C56" s="1">
        <v>488.4</v>
      </c>
      <c r="D56" s="1">
        <v>480.8</v>
      </c>
      <c r="E56" s="1">
        <v>483.65</v>
      </c>
      <c r="F56" s="1">
        <v>481.8</v>
      </c>
      <c r="G56" s="1">
        <v>483.8</v>
      </c>
      <c r="H56" s="1" t="s">
        <v>6419</v>
      </c>
      <c r="I56" s="1" t="s">
        <v>6420</v>
      </c>
      <c r="J56" s="1" t="s">
        <v>6421</v>
      </c>
      <c r="K56" s="6">
        <f t="shared" si="2"/>
        <v>-0.00382508012</v>
      </c>
      <c r="L56" s="7">
        <v>-0.012469180141317376</v>
      </c>
      <c r="M56" s="8">
        <f t="shared" si="1"/>
        <v>12299288</v>
      </c>
    </row>
    <row r="57">
      <c r="A57" s="9">
        <v>45588.0</v>
      </c>
      <c r="B57" s="1">
        <v>481.0</v>
      </c>
      <c r="C57" s="1">
        <v>483.3</v>
      </c>
      <c r="D57" s="1">
        <v>479.5</v>
      </c>
      <c r="E57" s="1">
        <v>481.8</v>
      </c>
      <c r="F57" s="1">
        <v>480.35</v>
      </c>
      <c r="G57" s="1">
        <v>480.88</v>
      </c>
      <c r="H57" s="1" t="s">
        <v>6425</v>
      </c>
      <c r="I57" s="1" t="s">
        <v>6427</v>
      </c>
      <c r="J57" s="1" t="s">
        <v>6429</v>
      </c>
      <c r="K57" s="6">
        <f t="shared" si="2"/>
        <v>-0.00300954753</v>
      </c>
      <c r="L57" s="7">
        <v>-0.0014955806816741737</v>
      </c>
      <c r="M57" s="8">
        <f t="shared" si="1"/>
        <v>10162570</v>
      </c>
    </row>
    <row r="58">
      <c r="A58" s="9">
        <v>45589.0</v>
      </c>
      <c r="B58" s="1">
        <v>482.0</v>
      </c>
      <c r="C58" s="1">
        <v>482.4</v>
      </c>
      <c r="D58" s="1">
        <v>470.0</v>
      </c>
      <c r="E58" s="1">
        <v>480.35</v>
      </c>
      <c r="F58" s="1">
        <v>471.7</v>
      </c>
      <c r="G58" s="1">
        <v>474.32</v>
      </c>
      <c r="H58" s="1" t="s">
        <v>6433</v>
      </c>
      <c r="I58" s="1" t="s">
        <v>6434</v>
      </c>
      <c r="J58" s="1" t="s">
        <v>6435</v>
      </c>
      <c r="K58" s="6">
        <f t="shared" si="2"/>
        <v>-0.01800770272</v>
      </c>
      <c r="L58" s="7">
        <v>-0.0014773587608192403</v>
      </c>
      <c r="M58" s="8">
        <f t="shared" si="1"/>
        <v>13092399</v>
      </c>
    </row>
    <row r="59">
      <c r="A59" s="9">
        <v>45590.0</v>
      </c>
      <c r="B59" s="1">
        <v>475.8</v>
      </c>
      <c r="C59" s="1">
        <v>493.5</v>
      </c>
      <c r="D59" s="1">
        <v>474.2</v>
      </c>
      <c r="E59" s="1">
        <v>471.7</v>
      </c>
      <c r="F59" s="1">
        <v>482.3</v>
      </c>
      <c r="G59" s="1">
        <v>486.29</v>
      </c>
      <c r="H59" s="1" t="s">
        <v>6442</v>
      </c>
      <c r="I59" s="1" t="s">
        <v>6443</v>
      </c>
      <c r="J59" s="1" t="s">
        <v>6444</v>
      </c>
      <c r="K59" s="6">
        <f t="shared" si="2"/>
        <v>0.02247191011</v>
      </c>
      <c r="L59" s="7">
        <v>-0.008959236702541954</v>
      </c>
      <c r="M59" s="8">
        <f t="shared" si="1"/>
        <v>30961625</v>
      </c>
    </row>
    <row r="60">
      <c r="A60" s="9">
        <v>45593.0</v>
      </c>
      <c r="B60" s="1">
        <v>481.95</v>
      </c>
      <c r="C60" s="1">
        <v>485.9</v>
      </c>
      <c r="D60" s="1">
        <v>476.0</v>
      </c>
      <c r="E60" s="1">
        <v>482.3</v>
      </c>
      <c r="F60" s="1">
        <v>484.15</v>
      </c>
      <c r="G60" s="1">
        <v>482.79</v>
      </c>
      <c r="H60" s="1" t="s">
        <v>6451</v>
      </c>
      <c r="I60" s="1" t="s">
        <v>6452</v>
      </c>
      <c r="J60" s="1" t="s">
        <v>6453</v>
      </c>
      <c r="K60" s="6">
        <f t="shared" si="2"/>
        <v>0.003835786855</v>
      </c>
      <c r="L60" s="7">
        <v>0.006548584000529436</v>
      </c>
      <c r="M60" s="8">
        <f t="shared" si="1"/>
        <v>8614446</v>
      </c>
    </row>
    <row r="61">
      <c r="A61" s="9">
        <v>45594.0</v>
      </c>
      <c r="B61" s="1">
        <v>485.0</v>
      </c>
      <c r="C61" s="1">
        <v>489.2</v>
      </c>
      <c r="D61" s="1">
        <v>481.3</v>
      </c>
      <c r="E61" s="1">
        <v>484.15</v>
      </c>
      <c r="F61" s="1">
        <v>487.95</v>
      </c>
      <c r="G61" s="1">
        <v>486.12</v>
      </c>
      <c r="H61" s="1" t="s">
        <v>6460</v>
      </c>
      <c r="I61" s="1" t="s">
        <v>6461</v>
      </c>
      <c r="J61" s="1" t="s">
        <v>6462</v>
      </c>
      <c r="K61" s="6">
        <f t="shared" si="2"/>
        <v>0.007848807188</v>
      </c>
      <c r="L61" s="7">
        <v>0.005246691030705554</v>
      </c>
      <c r="M61" s="8">
        <f t="shared" si="1"/>
        <v>6866704</v>
      </c>
    </row>
    <row r="62">
      <c r="A62" s="9">
        <v>45595.0</v>
      </c>
      <c r="B62" s="1">
        <v>487.95</v>
      </c>
      <c r="C62" s="1">
        <v>493.25</v>
      </c>
      <c r="D62" s="1">
        <v>486.5</v>
      </c>
      <c r="E62" s="1">
        <v>487.95</v>
      </c>
      <c r="F62" s="1">
        <v>491.55</v>
      </c>
      <c r="G62" s="1">
        <v>490.85</v>
      </c>
      <c r="H62" s="1" t="s">
        <v>6468</v>
      </c>
      <c r="I62" s="1" t="s">
        <v>6470</v>
      </c>
      <c r="J62" s="11">
        <v>92835.0</v>
      </c>
      <c r="K62" s="6">
        <f t="shared" si="2"/>
        <v>0.007377805103</v>
      </c>
      <c r="L62" s="7">
        <v>-0.00514982517160975</v>
      </c>
      <c r="M62" s="8">
        <f t="shared" si="1"/>
        <v>6393835</v>
      </c>
    </row>
    <row r="63">
      <c r="A63" s="9">
        <v>45596.0</v>
      </c>
      <c r="B63" s="1">
        <v>492.0</v>
      </c>
      <c r="C63" s="1">
        <v>493.0</v>
      </c>
      <c r="D63" s="1">
        <v>484.7</v>
      </c>
      <c r="E63" s="1">
        <v>491.55</v>
      </c>
      <c r="F63" s="1">
        <v>488.8</v>
      </c>
      <c r="G63" s="1">
        <v>487.8</v>
      </c>
      <c r="H63" s="1" t="s">
        <v>6473</v>
      </c>
      <c r="I63" s="1" t="s">
        <v>6475</v>
      </c>
      <c r="J63" s="1" t="s">
        <v>6476</v>
      </c>
      <c r="K63" s="6">
        <f t="shared" si="2"/>
        <v>-0.005594547859</v>
      </c>
      <c r="L63" s="7">
        <v>-0.005566773551457735</v>
      </c>
      <c r="M63" s="8">
        <f t="shared" si="1"/>
        <v>7810874</v>
      </c>
    </row>
    <row r="64">
      <c r="A64" s="3">
        <v>45597.0</v>
      </c>
      <c r="B64" s="1">
        <v>491.0</v>
      </c>
      <c r="C64" s="1">
        <v>492.1</v>
      </c>
      <c r="D64" s="1">
        <v>489.3</v>
      </c>
      <c r="E64" s="1">
        <v>488.8</v>
      </c>
      <c r="F64" s="1">
        <v>490.3</v>
      </c>
      <c r="G64" s="1">
        <v>490.89</v>
      </c>
      <c r="H64" s="1" t="s">
        <v>6482</v>
      </c>
      <c r="I64" s="1" t="s">
        <v>6484</v>
      </c>
      <c r="J64" s="11">
        <v>54687.0</v>
      </c>
      <c r="K64" s="6">
        <f t="shared" si="2"/>
        <v>0.003068739771</v>
      </c>
      <c r="L64" s="7">
        <v>0.004090004895611921</v>
      </c>
      <c r="M64" s="8">
        <f t="shared" si="1"/>
        <v>1461602</v>
      </c>
    </row>
    <row r="65">
      <c r="A65" s="3">
        <v>45600.0</v>
      </c>
      <c r="B65" s="1">
        <v>493.45</v>
      </c>
      <c r="C65" s="1">
        <v>493.45</v>
      </c>
      <c r="D65" s="1">
        <v>479.55</v>
      </c>
      <c r="E65" s="1">
        <v>490.3</v>
      </c>
      <c r="F65" s="1">
        <v>484.6</v>
      </c>
      <c r="G65" s="1">
        <v>483.55</v>
      </c>
      <c r="H65" s="1" t="s">
        <v>6488</v>
      </c>
      <c r="I65" s="1" t="s">
        <v>6490</v>
      </c>
      <c r="J65" s="1" t="s">
        <v>6492</v>
      </c>
      <c r="K65" s="6">
        <f t="shared" si="2"/>
        <v>-0.01162553539</v>
      </c>
      <c r="L65" s="7">
        <v>-0.012713773460306488</v>
      </c>
      <c r="M65" s="8">
        <f t="shared" si="1"/>
        <v>8429731</v>
      </c>
    </row>
    <row r="66">
      <c r="A66" s="3">
        <v>45601.0</v>
      </c>
      <c r="B66" s="1">
        <v>482.95</v>
      </c>
      <c r="C66" s="1">
        <v>485.05</v>
      </c>
      <c r="D66" s="1">
        <v>476.95</v>
      </c>
      <c r="E66" s="1">
        <v>484.6</v>
      </c>
      <c r="F66" s="1">
        <v>480.2</v>
      </c>
      <c r="G66" s="1">
        <v>479.98</v>
      </c>
      <c r="H66" s="1" t="s">
        <v>6497</v>
      </c>
      <c r="I66" s="1" t="s">
        <v>6498</v>
      </c>
      <c r="J66" s="1" t="s">
        <v>6500</v>
      </c>
      <c r="K66" s="6">
        <f t="shared" si="2"/>
        <v>-0.009079653322</v>
      </c>
      <c r="L66" s="7">
        <v>0.009083009833155204</v>
      </c>
      <c r="M66" s="8">
        <f t="shared" si="1"/>
        <v>7327830</v>
      </c>
    </row>
    <row r="67">
      <c r="A67" s="3">
        <v>45602.0</v>
      </c>
      <c r="B67" s="1">
        <v>480.2</v>
      </c>
      <c r="C67" s="1">
        <v>484.4</v>
      </c>
      <c r="D67" s="1">
        <v>478.0</v>
      </c>
      <c r="E67" s="1">
        <v>480.2</v>
      </c>
      <c r="F67" s="1">
        <v>481.1</v>
      </c>
      <c r="G67" s="1">
        <v>480.83</v>
      </c>
      <c r="H67" s="1" t="s">
        <v>6506</v>
      </c>
      <c r="I67" s="1" t="s">
        <v>6507</v>
      </c>
      <c r="J67" s="1" t="s">
        <v>6508</v>
      </c>
      <c r="K67" s="6">
        <f t="shared" si="2"/>
        <v>0.001874219075</v>
      </c>
      <c r="L67" s="7">
        <v>0.011181871120417292</v>
      </c>
      <c r="M67" s="8">
        <f t="shared" si="1"/>
        <v>11313985</v>
      </c>
    </row>
    <row r="68">
      <c r="A68" s="3">
        <v>45603.0</v>
      </c>
      <c r="B68" s="1">
        <v>481.75</v>
      </c>
      <c r="C68" s="1">
        <v>482.7</v>
      </c>
      <c r="D68" s="1">
        <v>476.1</v>
      </c>
      <c r="E68" s="1">
        <v>481.1</v>
      </c>
      <c r="F68" s="1">
        <v>477.9</v>
      </c>
      <c r="G68" s="1">
        <v>477.82</v>
      </c>
      <c r="H68" s="1" t="s">
        <v>6512</v>
      </c>
      <c r="I68" s="1" t="s">
        <v>6513</v>
      </c>
      <c r="J68" s="1" t="s">
        <v>6514</v>
      </c>
      <c r="K68" s="6">
        <f t="shared" si="2"/>
        <v>-0.00665142382</v>
      </c>
      <c r="L68" s="7">
        <v>-0.01162797821438858</v>
      </c>
      <c r="M68" s="8">
        <f t="shared" si="1"/>
        <v>8924280</v>
      </c>
    </row>
    <row r="69">
      <c r="A69" s="3">
        <v>45604.0</v>
      </c>
      <c r="B69" s="1">
        <v>477.9</v>
      </c>
      <c r="C69" s="1">
        <v>480.7</v>
      </c>
      <c r="D69" s="1">
        <v>474.6</v>
      </c>
      <c r="E69" s="1">
        <v>477.9</v>
      </c>
      <c r="F69" s="1">
        <v>478.05</v>
      </c>
      <c r="G69" s="1">
        <v>477.78</v>
      </c>
      <c r="H69" s="1" t="s">
        <v>6518</v>
      </c>
      <c r="I69" s="1" t="s">
        <v>6519</v>
      </c>
      <c r="J69" s="1" t="s">
        <v>6520</v>
      </c>
      <c r="K69" s="6">
        <f t="shared" si="2"/>
        <v>0.0003138731952</v>
      </c>
      <c r="L69" s="7">
        <v>-0.0021136931363858044</v>
      </c>
      <c r="M69" s="8">
        <f t="shared" si="1"/>
        <v>6090462</v>
      </c>
    </row>
    <row r="70">
      <c r="A70" s="9">
        <v>45607.0</v>
      </c>
      <c r="B70" s="1">
        <v>478.05</v>
      </c>
      <c r="C70" s="1">
        <v>481.5</v>
      </c>
      <c r="D70" s="1">
        <v>474.1</v>
      </c>
      <c r="E70" s="1">
        <v>478.05</v>
      </c>
      <c r="F70" s="1">
        <v>476.95</v>
      </c>
      <c r="G70" s="1">
        <v>478.38</v>
      </c>
      <c r="H70" s="1" t="s">
        <v>6524</v>
      </c>
      <c r="I70" s="1" t="s">
        <v>6525</v>
      </c>
      <c r="J70" s="1" t="s">
        <v>6527</v>
      </c>
      <c r="K70" s="6">
        <f t="shared" si="2"/>
        <v>-0.002301014538</v>
      </c>
      <c r="L70" s="7">
        <v>-2.857355827764163E-4</v>
      </c>
      <c r="M70" s="8">
        <f t="shared" si="1"/>
        <v>5488948</v>
      </c>
    </row>
    <row r="71">
      <c r="A71" s="9">
        <v>45608.0</v>
      </c>
      <c r="B71" s="1">
        <v>477.6</v>
      </c>
      <c r="C71" s="1">
        <v>477.95</v>
      </c>
      <c r="D71" s="1">
        <v>471.15</v>
      </c>
      <c r="E71" s="1">
        <v>476.95</v>
      </c>
      <c r="F71" s="1">
        <v>472.85</v>
      </c>
      <c r="G71" s="1">
        <v>474.91</v>
      </c>
      <c r="H71" s="1" t="s">
        <v>6530</v>
      </c>
      <c r="I71" s="1" t="s">
        <v>6532</v>
      </c>
      <c r="J71" s="1" t="s">
        <v>6533</v>
      </c>
      <c r="K71" s="6">
        <f t="shared" si="2"/>
        <v>-0.008596288919</v>
      </c>
      <c r="L71" s="7">
        <v>-0.010680866399075383</v>
      </c>
      <c r="M71" s="8">
        <f t="shared" si="1"/>
        <v>5041916</v>
      </c>
    </row>
    <row r="72">
      <c r="A72" s="9">
        <v>45609.0</v>
      </c>
      <c r="B72" s="1">
        <v>470.05</v>
      </c>
      <c r="C72" s="1">
        <v>474.7</v>
      </c>
      <c r="D72" s="1">
        <v>468.25</v>
      </c>
      <c r="E72" s="1">
        <v>472.85</v>
      </c>
      <c r="F72" s="1">
        <v>472.2</v>
      </c>
      <c r="G72" s="1">
        <v>471.96</v>
      </c>
      <c r="H72" s="1" t="s">
        <v>6536</v>
      </c>
      <c r="I72" s="1" t="s">
        <v>6537</v>
      </c>
      <c r="J72" s="1" t="s">
        <v>6538</v>
      </c>
      <c r="K72" s="6">
        <f t="shared" si="2"/>
        <v>-0.001374643121</v>
      </c>
      <c r="L72" s="7">
        <v>-0.013582627300494754</v>
      </c>
      <c r="M72" s="8">
        <f t="shared" si="1"/>
        <v>11120381</v>
      </c>
    </row>
    <row r="73">
      <c r="A73" s="9">
        <v>45610.0</v>
      </c>
      <c r="B73" s="1">
        <v>471.2</v>
      </c>
      <c r="C73" s="1">
        <v>472.95</v>
      </c>
      <c r="D73" s="1">
        <v>462.25</v>
      </c>
      <c r="E73" s="1">
        <v>472.2</v>
      </c>
      <c r="F73" s="1">
        <v>465.95</v>
      </c>
      <c r="G73" s="1">
        <v>465.91</v>
      </c>
      <c r="H73" s="1" t="s">
        <v>6542</v>
      </c>
      <c r="I73" s="1" t="s">
        <v>6543</v>
      </c>
      <c r="J73" s="1" t="s">
        <v>6544</v>
      </c>
      <c r="K73" s="6">
        <f t="shared" si="2"/>
        <v>-0.01323591698</v>
      </c>
      <c r="L73" s="7">
        <v>-0.001118466152073133</v>
      </c>
      <c r="M73" s="8">
        <f t="shared" si="1"/>
        <v>11639562</v>
      </c>
    </row>
    <row r="74">
      <c r="A74" s="9">
        <v>45614.0</v>
      </c>
      <c r="B74" s="1">
        <v>466.0</v>
      </c>
      <c r="C74" s="1">
        <v>467.8</v>
      </c>
      <c r="D74" s="1">
        <v>462.0</v>
      </c>
      <c r="E74" s="1">
        <v>465.95</v>
      </c>
      <c r="F74" s="1">
        <v>466.55</v>
      </c>
      <c r="G74" s="1">
        <v>464.79</v>
      </c>
      <c r="H74" s="1" t="s">
        <v>6548</v>
      </c>
      <c r="I74" s="1" t="s">
        <v>6549</v>
      </c>
      <c r="J74" s="1" t="s">
        <v>6550</v>
      </c>
      <c r="K74" s="6">
        <f t="shared" si="2"/>
        <v>0.001287691812</v>
      </c>
      <c r="L74" s="7">
        <v>-0.003352781448792593</v>
      </c>
      <c r="M74" s="8">
        <f t="shared" si="1"/>
        <v>8135260</v>
      </c>
    </row>
    <row r="75">
      <c r="A75" s="9">
        <v>45615.0</v>
      </c>
      <c r="B75" s="1">
        <v>468.0</v>
      </c>
      <c r="C75" s="1">
        <v>473.75</v>
      </c>
      <c r="D75" s="1">
        <v>466.25</v>
      </c>
      <c r="E75" s="1">
        <v>466.55</v>
      </c>
      <c r="F75" s="1">
        <v>467.35</v>
      </c>
      <c r="G75" s="1">
        <v>471.03</v>
      </c>
      <c r="H75" s="1" t="s">
        <v>6554</v>
      </c>
      <c r="I75" s="1" t="s">
        <v>6556</v>
      </c>
      <c r="J75" s="1" t="s">
        <v>6558</v>
      </c>
      <c r="K75" s="6">
        <f t="shared" si="2"/>
        <v>0.001714714393</v>
      </c>
      <c r="L75" s="7">
        <v>0.002758614808687749</v>
      </c>
      <c r="M75" s="8">
        <f t="shared" si="1"/>
        <v>6857374</v>
      </c>
    </row>
    <row r="76">
      <c r="A76" s="9">
        <v>45617.0</v>
      </c>
      <c r="B76" s="1">
        <v>461.0</v>
      </c>
      <c r="C76" s="1">
        <v>464.05</v>
      </c>
      <c r="D76" s="1">
        <v>455.4</v>
      </c>
      <c r="E76" s="1">
        <v>467.35</v>
      </c>
      <c r="F76" s="1">
        <v>457.15</v>
      </c>
      <c r="G76" s="1">
        <v>458.53</v>
      </c>
      <c r="H76" s="1" t="s">
        <v>6563</v>
      </c>
      <c r="I76" s="1" t="s">
        <v>6564</v>
      </c>
      <c r="J76" s="1" t="s">
        <v>6566</v>
      </c>
      <c r="K76" s="6">
        <f t="shared" si="2"/>
        <v>-0.02182518455</v>
      </c>
      <c r="L76" s="7">
        <v>-0.007168824542381468</v>
      </c>
      <c r="M76" s="8">
        <f t="shared" si="1"/>
        <v>19559847</v>
      </c>
    </row>
    <row r="77">
      <c r="A77" s="9">
        <v>45618.0</v>
      </c>
      <c r="B77" s="1">
        <v>456.2</v>
      </c>
      <c r="C77" s="1">
        <v>476.5</v>
      </c>
      <c r="D77" s="1">
        <v>455.5</v>
      </c>
      <c r="E77" s="1">
        <v>457.15</v>
      </c>
      <c r="F77" s="1">
        <v>474.65</v>
      </c>
      <c r="G77" s="1">
        <v>465.47</v>
      </c>
      <c r="H77" s="1" t="s">
        <v>6569</v>
      </c>
      <c r="I77" s="1" t="s">
        <v>6570</v>
      </c>
      <c r="J77" s="1" t="s">
        <v>6572</v>
      </c>
      <c r="K77" s="6">
        <f t="shared" si="2"/>
        <v>0.03828065186</v>
      </c>
      <c r="L77" s="7">
        <v>0.023869481239748285</v>
      </c>
      <c r="M77" s="8">
        <f t="shared" si="1"/>
        <v>19464568</v>
      </c>
    </row>
    <row r="78">
      <c r="A78" s="9">
        <v>45621.0</v>
      </c>
      <c r="B78" s="1">
        <v>479.0</v>
      </c>
      <c r="C78" s="1">
        <v>482.2</v>
      </c>
      <c r="D78" s="1">
        <v>472.4</v>
      </c>
      <c r="E78" s="1">
        <v>474.65</v>
      </c>
      <c r="F78" s="1">
        <v>476.8</v>
      </c>
      <c r="G78" s="1">
        <v>476.97</v>
      </c>
      <c r="H78" s="1" t="s">
        <v>6578</v>
      </c>
      <c r="I78" s="1" t="s">
        <v>6579</v>
      </c>
      <c r="J78" s="1" t="s">
        <v>6580</v>
      </c>
      <c r="K78" s="6">
        <f t="shared" si="2"/>
        <v>0.004529653429</v>
      </c>
      <c r="L78" s="7">
        <v>0.01316127952817666</v>
      </c>
      <c r="M78" s="8">
        <f t="shared" si="1"/>
        <v>13891991</v>
      </c>
    </row>
    <row r="79">
      <c r="A79" s="9">
        <v>45622.0</v>
      </c>
      <c r="B79" s="1">
        <v>480.0</v>
      </c>
      <c r="C79" s="1">
        <v>482.65</v>
      </c>
      <c r="D79" s="1">
        <v>474.1</v>
      </c>
      <c r="E79" s="1">
        <v>476.8</v>
      </c>
      <c r="F79" s="1">
        <v>477.0</v>
      </c>
      <c r="G79" s="1">
        <v>476.76</v>
      </c>
      <c r="H79" s="1" t="s">
        <v>6584</v>
      </c>
      <c r="I79" s="1" t="s">
        <v>6585</v>
      </c>
      <c r="J79" s="1" t="s">
        <v>6586</v>
      </c>
      <c r="K79" s="6">
        <f t="shared" si="2"/>
        <v>0.0004194630872</v>
      </c>
      <c r="L79" s="7">
        <v>-0.0011312077087264605</v>
      </c>
      <c r="M79" s="8">
        <f t="shared" si="1"/>
        <v>6539846</v>
      </c>
    </row>
    <row r="80">
      <c r="A80" s="9">
        <v>45623.0</v>
      </c>
      <c r="B80" s="1">
        <v>477.5</v>
      </c>
      <c r="C80" s="1">
        <v>480.1</v>
      </c>
      <c r="D80" s="1">
        <v>473.0</v>
      </c>
      <c r="E80" s="1">
        <v>477.0</v>
      </c>
      <c r="F80" s="1">
        <v>476.95</v>
      </c>
      <c r="G80" s="1">
        <v>475.67</v>
      </c>
      <c r="H80" s="1" t="s">
        <v>6590</v>
      </c>
      <c r="I80" s="1" t="s">
        <v>6591</v>
      </c>
      <c r="J80" s="11">
        <v>92526.0</v>
      </c>
      <c r="K80" s="6">
        <f t="shared" si="2"/>
        <v>-0.0001048218029</v>
      </c>
      <c r="L80" s="7">
        <v>0.003323069292607884</v>
      </c>
      <c r="M80" s="8">
        <f t="shared" si="1"/>
        <v>7067013</v>
      </c>
    </row>
    <row r="81">
      <c r="A81" s="9">
        <v>45624.0</v>
      </c>
      <c r="B81" s="1">
        <v>477.0</v>
      </c>
      <c r="C81" s="1">
        <v>483.8</v>
      </c>
      <c r="D81" s="1">
        <v>470.55</v>
      </c>
      <c r="E81" s="1">
        <v>476.95</v>
      </c>
      <c r="F81" s="1">
        <v>474.9</v>
      </c>
      <c r="G81" s="1">
        <v>476.02</v>
      </c>
      <c r="H81" s="1" t="s">
        <v>6595</v>
      </c>
      <c r="I81" s="1" t="s">
        <v>6596</v>
      </c>
      <c r="J81" s="1" t="s">
        <v>6597</v>
      </c>
      <c r="K81" s="6">
        <f t="shared" si="2"/>
        <v>-0.00429814446</v>
      </c>
      <c r="L81" s="7">
        <v>-0.014861029293632517</v>
      </c>
      <c r="M81" s="8">
        <f t="shared" si="1"/>
        <v>14412539</v>
      </c>
    </row>
    <row r="82">
      <c r="A82" s="9">
        <v>45625.0</v>
      </c>
      <c r="B82" s="1">
        <v>473.2</v>
      </c>
      <c r="C82" s="1">
        <v>478.9</v>
      </c>
      <c r="D82" s="1">
        <v>472.6</v>
      </c>
      <c r="E82" s="1">
        <v>474.9</v>
      </c>
      <c r="F82" s="1">
        <v>476.75</v>
      </c>
      <c r="G82" s="1">
        <v>476.39</v>
      </c>
      <c r="H82" s="1" t="s">
        <v>6601</v>
      </c>
      <c r="I82" s="1" t="s">
        <v>6602</v>
      </c>
      <c r="J82" s="1" t="s">
        <v>6603</v>
      </c>
      <c r="K82" s="6">
        <f t="shared" si="2"/>
        <v>0.003895556959</v>
      </c>
      <c r="L82" s="7">
        <v>0.009072034757664273</v>
      </c>
      <c r="M82" s="8">
        <f t="shared" si="1"/>
        <v>8346687</v>
      </c>
    </row>
    <row r="83">
      <c r="A83" s="3">
        <v>45628.0</v>
      </c>
      <c r="B83" s="1">
        <v>476.0</v>
      </c>
      <c r="C83" s="1">
        <v>479.3</v>
      </c>
      <c r="D83" s="1">
        <v>473.4</v>
      </c>
      <c r="E83" s="1">
        <v>476.75</v>
      </c>
      <c r="F83" s="1">
        <v>477.2</v>
      </c>
      <c r="G83" s="1">
        <v>476.84</v>
      </c>
      <c r="H83" s="1" t="s">
        <v>6607</v>
      </c>
      <c r="I83" s="1" t="s">
        <v>6608</v>
      </c>
      <c r="J83" s="1" t="s">
        <v>6609</v>
      </c>
      <c r="K83" s="6">
        <f t="shared" si="2"/>
        <v>0.0009438909282</v>
      </c>
      <c r="L83" s="7">
        <v>0.006006771344862055</v>
      </c>
      <c r="M83" s="8">
        <f t="shared" si="1"/>
        <v>5478598</v>
      </c>
    </row>
    <row r="84">
      <c r="A84" s="3">
        <v>45629.0</v>
      </c>
      <c r="B84" s="1">
        <v>466.0</v>
      </c>
      <c r="C84" s="1">
        <v>473.4</v>
      </c>
      <c r="D84" s="1">
        <v>462.75</v>
      </c>
      <c r="E84" s="1">
        <v>477.2</v>
      </c>
      <c r="F84" s="1">
        <v>472.55</v>
      </c>
      <c r="G84" s="1">
        <v>469.06</v>
      </c>
      <c r="H84" s="1" t="s">
        <v>6613</v>
      </c>
      <c r="I84" s="1" t="s">
        <v>6614</v>
      </c>
      <c r="J84" s="1" t="s">
        <v>6615</v>
      </c>
      <c r="K84" s="6">
        <f t="shared" si="2"/>
        <v>-0.009744341995</v>
      </c>
      <c r="L84" s="7">
        <v>0.007460027475639661</v>
      </c>
      <c r="M84" s="8">
        <f t="shared" si="1"/>
        <v>22218251</v>
      </c>
    </row>
    <row r="85">
      <c r="A85" s="3">
        <v>45630.0</v>
      </c>
      <c r="B85" s="1">
        <v>474.4</v>
      </c>
      <c r="C85" s="1">
        <v>478.2</v>
      </c>
      <c r="D85" s="1">
        <v>466.4</v>
      </c>
      <c r="E85" s="1">
        <v>472.55</v>
      </c>
      <c r="F85" s="1">
        <v>467.1</v>
      </c>
      <c r="G85" s="1">
        <v>470.88</v>
      </c>
      <c r="H85" s="1" t="s">
        <v>6619</v>
      </c>
      <c r="I85" s="1" t="s">
        <v>6620</v>
      </c>
      <c r="J85" s="1" t="s">
        <v>6621</v>
      </c>
      <c r="K85" s="6">
        <f t="shared" si="2"/>
        <v>-0.01153317109</v>
      </c>
      <c r="L85" s="7">
        <v>4.211447368151756E-4</v>
      </c>
      <c r="M85" s="8">
        <f t="shared" si="1"/>
        <v>13439484</v>
      </c>
    </row>
    <row r="86">
      <c r="A86" s="3">
        <v>45631.0</v>
      </c>
      <c r="B86" s="1">
        <v>467.55</v>
      </c>
      <c r="C86" s="1">
        <v>472.75</v>
      </c>
      <c r="D86" s="1">
        <v>462.5</v>
      </c>
      <c r="E86" s="1">
        <v>467.1</v>
      </c>
      <c r="F86" s="1">
        <v>467.5</v>
      </c>
      <c r="G86" s="1">
        <v>468.0</v>
      </c>
      <c r="H86" s="1" t="s">
        <v>6625</v>
      </c>
      <c r="I86" s="1" t="s">
        <v>6626</v>
      </c>
      <c r="J86" s="1" t="s">
        <v>6628</v>
      </c>
      <c r="K86" s="6">
        <f t="shared" si="2"/>
        <v>0.0008563476772</v>
      </c>
      <c r="L86" s="7">
        <v>0.009847777353177415</v>
      </c>
      <c r="M86" s="8">
        <f t="shared" si="1"/>
        <v>26415053</v>
      </c>
    </row>
    <row r="87">
      <c r="A87" s="3">
        <v>45632.0</v>
      </c>
      <c r="B87" s="1">
        <v>470.0</v>
      </c>
      <c r="C87" s="1">
        <v>474.95</v>
      </c>
      <c r="D87" s="1">
        <v>467.7</v>
      </c>
      <c r="E87" s="1">
        <v>467.5</v>
      </c>
      <c r="F87" s="1">
        <v>471.15</v>
      </c>
      <c r="G87" s="1">
        <v>472.38</v>
      </c>
      <c r="H87" s="1" t="s">
        <v>6631</v>
      </c>
      <c r="I87" s="1" t="s">
        <v>6633</v>
      </c>
      <c r="J87" s="1" t="s">
        <v>6635</v>
      </c>
      <c r="K87" s="6">
        <f t="shared" si="2"/>
        <v>0.007807486631</v>
      </c>
      <c r="L87" s="7">
        <v>-0.0012384452251057204</v>
      </c>
      <c r="M87" s="8">
        <f t="shared" si="1"/>
        <v>7551407</v>
      </c>
    </row>
    <row r="88">
      <c r="A88" s="3">
        <v>45635.0</v>
      </c>
      <c r="B88" s="1">
        <v>471.5</v>
      </c>
      <c r="C88" s="1">
        <v>472.0</v>
      </c>
      <c r="D88" s="1">
        <v>462.95</v>
      </c>
      <c r="E88" s="1">
        <v>471.15</v>
      </c>
      <c r="F88" s="1">
        <v>464.95</v>
      </c>
      <c r="G88" s="1">
        <v>467.02</v>
      </c>
      <c r="H88" s="1" t="s">
        <v>6637</v>
      </c>
      <c r="I88" s="1" t="s">
        <v>6639</v>
      </c>
      <c r="J88" s="1" t="s">
        <v>6641</v>
      </c>
      <c r="K88" s="6">
        <f t="shared" si="2"/>
        <v>-0.0131592911</v>
      </c>
      <c r="L88" s="7">
        <v>-0.0023827083451522938</v>
      </c>
      <c r="M88" s="8">
        <f t="shared" si="1"/>
        <v>11703384</v>
      </c>
    </row>
    <row r="89">
      <c r="A89" s="9">
        <v>45636.0</v>
      </c>
      <c r="B89" s="1">
        <v>465.35</v>
      </c>
      <c r="C89" s="1">
        <v>466.45</v>
      </c>
      <c r="D89" s="1">
        <v>462.6</v>
      </c>
      <c r="E89" s="1">
        <v>464.95</v>
      </c>
      <c r="F89" s="1">
        <v>465.45</v>
      </c>
      <c r="G89" s="1">
        <v>464.64</v>
      </c>
      <c r="H89" s="1" t="s">
        <v>6645</v>
      </c>
      <c r="I89" s="1" t="s">
        <v>6646</v>
      </c>
      <c r="J89" s="1" t="s">
        <v>6648</v>
      </c>
      <c r="K89" s="6">
        <f t="shared" si="2"/>
        <v>0.00107538445</v>
      </c>
      <c r="L89" s="7">
        <v>-3.635403550103874E-4</v>
      </c>
      <c r="M89" s="8">
        <f t="shared" si="1"/>
        <v>8823805</v>
      </c>
    </row>
    <row r="90">
      <c r="A90" s="9">
        <v>45637.0</v>
      </c>
      <c r="B90" s="1">
        <v>467.2</v>
      </c>
      <c r="C90" s="1">
        <v>468.2</v>
      </c>
      <c r="D90" s="1">
        <v>464.7</v>
      </c>
      <c r="E90" s="1">
        <v>465.45</v>
      </c>
      <c r="F90" s="1">
        <v>465.25</v>
      </c>
      <c r="G90" s="1">
        <v>466.13</v>
      </c>
      <c r="H90" s="1" t="s">
        <v>6652</v>
      </c>
      <c r="I90" s="1" t="s">
        <v>6653</v>
      </c>
      <c r="J90" s="1" t="s">
        <v>6654</v>
      </c>
      <c r="K90" s="6">
        <f t="shared" si="2"/>
        <v>-0.0004296916962</v>
      </c>
      <c r="L90" s="7">
        <v>0.00129012334391844</v>
      </c>
      <c r="M90" s="8">
        <f t="shared" si="1"/>
        <v>6745816</v>
      </c>
    </row>
    <row r="91">
      <c r="A91" s="9">
        <v>45638.0</v>
      </c>
      <c r="B91" s="1">
        <v>465.5</v>
      </c>
      <c r="C91" s="1">
        <v>467.9</v>
      </c>
      <c r="D91" s="1">
        <v>459.15</v>
      </c>
      <c r="E91" s="1">
        <v>465.25</v>
      </c>
      <c r="F91" s="1">
        <v>460.6</v>
      </c>
      <c r="G91" s="1">
        <v>462.32</v>
      </c>
      <c r="H91" s="1" t="s">
        <v>6658</v>
      </c>
      <c r="I91" s="1" t="s">
        <v>6659</v>
      </c>
      <c r="J91" s="1" t="s">
        <v>6660</v>
      </c>
      <c r="K91" s="6">
        <f t="shared" si="2"/>
        <v>-0.009994626545</v>
      </c>
      <c r="L91" s="7">
        <v>-0.00377813309092674</v>
      </c>
      <c r="M91" s="8">
        <f t="shared" si="1"/>
        <v>12884401</v>
      </c>
    </row>
    <row r="92">
      <c r="A92" s="9">
        <v>45639.0</v>
      </c>
      <c r="B92" s="1">
        <v>460.0</v>
      </c>
      <c r="C92" s="1">
        <v>474.4</v>
      </c>
      <c r="D92" s="1">
        <v>451.65</v>
      </c>
      <c r="E92" s="1">
        <v>460.6</v>
      </c>
      <c r="F92" s="1">
        <v>470.0</v>
      </c>
      <c r="G92" s="1">
        <v>464.46</v>
      </c>
      <c r="H92" s="1" t="s">
        <v>6664</v>
      </c>
      <c r="I92" s="1" t="s">
        <v>6665</v>
      </c>
      <c r="J92" s="1" t="s">
        <v>6667</v>
      </c>
      <c r="K92" s="6">
        <f t="shared" si="2"/>
        <v>0.02040816327</v>
      </c>
      <c r="L92" s="7">
        <v>0.008945483874909814</v>
      </c>
      <c r="M92" s="8">
        <f t="shared" si="1"/>
        <v>31753858</v>
      </c>
    </row>
    <row r="93">
      <c r="A93" s="9">
        <v>45642.0</v>
      </c>
      <c r="B93" s="1">
        <v>470.25</v>
      </c>
      <c r="C93" s="1">
        <v>474.4</v>
      </c>
      <c r="D93" s="1">
        <v>468.0</v>
      </c>
      <c r="E93" s="1">
        <v>470.0</v>
      </c>
      <c r="F93" s="1">
        <v>470.1</v>
      </c>
      <c r="G93" s="1">
        <v>470.12</v>
      </c>
      <c r="H93" s="1" t="s">
        <v>6673</v>
      </c>
      <c r="I93" s="1" t="s">
        <v>6674</v>
      </c>
      <c r="J93" s="1" t="s">
        <v>6675</v>
      </c>
      <c r="K93" s="6">
        <f t="shared" si="2"/>
        <v>0.0002127659574</v>
      </c>
      <c r="L93" s="7">
        <v>-0.004039437506813115</v>
      </c>
      <c r="M93" s="8">
        <f t="shared" si="1"/>
        <v>9007264</v>
      </c>
    </row>
    <row r="94">
      <c r="A94" s="9">
        <v>45643.0</v>
      </c>
      <c r="B94" s="1">
        <v>470.0</v>
      </c>
      <c r="C94" s="1">
        <v>475.8</v>
      </c>
      <c r="D94" s="1">
        <v>463.05</v>
      </c>
      <c r="E94" s="1">
        <v>470.1</v>
      </c>
      <c r="F94" s="1">
        <v>469.55</v>
      </c>
      <c r="G94" s="1">
        <v>470.32</v>
      </c>
      <c r="H94" s="1" t="s">
        <v>6679</v>
      </c>
      <c r="I94" s="1" t="s">
        <v>6680</v>
      </c>
      <c r="J94" s="1" t="s">
        <v>6681</v>
      </c>
      <c r="K94" s="6">
        <f t="shared" si="2"/>
        <v>-0.001169963837</v>
      </c>
      <c r="L94" s="7">
        <v>-0.013468730047733423</v>
      </c>
      <c r="M94" s="8">
        <f t="shared" si="1"/>
        <v>19844152</v>
      </c>
    </row>
    <row r="95">
      <c r="A95" s="9">
        <v>45644.0</v>
      </c>
      <c r="B95" s="1">
        <v>472.7</v>
      </c>
      <c r="C95" s="1">
        <v>473.8</v>
      </c>
      <c r="D95" s="1">
        <v>466.9</v>
      </c>
      <c r="E95" s="1">
        <v>469.55</v>
      </c>
      <c r="F95" s="1">
        <v>470.5</v>
      </c>
      <c r="G95" s="1">
        <v>470.47</v>
      </c>
      <c r="H95" s="1" t="s">
        <v>6685</v>
      </c>
      <c r="I95" s="1" t="s">
        <v>6686</v>
      </c>
      <c r="J95" s="1" t="s">
        <v>6687</v>
      </c>
      <c r="K95" s="6">
        <f t="shared" si="2"/>
        <v>0.002023213715</v>
      </c>
      <c r="L95" s="7">
        <v>-0.0056356837606838205</v>
      </c>
      <c r="M95" s="8">
        <f t="shared" si="1"/>
        <v>12365167</v>
      </c>
    </row>
    <row r="96">
      <c r="A96" s="9">
        <v>45645.0</v>
      </c>
      <c r="B96" s="1">
        <v>469.0</v>
      </c>
      <c r="C96" s="1">
        <v>474.35</v>
      </c>
      <c r="D96" s="1">
        <v>465.3</v>
      </c>
      <c r="E96" s="1">
        <v>470.5</v>
      </c>
      <c r="F96" s="1">
        <v>466.55</v>
      </c>
      <c r="G96" s="1">
        <v>468.63</v>
      </c>
      <c r="H96" s="1" t="s">
        <v>6694</v>
      </c>
      <c r="I96" s="1" t="s">
        <v>6695</v>
      </c>
      <c r="J96" s="1" t="s">
        <v>6696</v>
      </c>
      <c r="K96" s="6">
        <f t="shared" si="2"/>
        <v>-0.008395324123</v>
      </c>
      <c r="L96" s="7">
        <v>-0.010213295259898624</v>
      </c>
      <c r="M96" s="8">
        <f t="shared" si="1"/>
        <v>14599270</v>
      </c>
    </row>
    <row r="97">
      <c r="A97" s="9">
        <v>45646.0</v>
      </c>
      <c r="B97" s="1">
        <v>466.5</v>
      </c>
      <c r="C97" s="1">
        <v>467.45</v>
      </c>
      <c r="D97" s="1">
        <v>459.3</v>
      </c>
      <c r="E97" s="1">
        <v>466.55</v>
      </c>
      <c r="F97" s="1">
        <v>464.65</v>
      </c>
      <c r="G97" s="1">
        <v>463.94</v>
      </c>
      <c r="H97" s="1" t="s">
        <v>6700</v>
      </c>
      <c r="I97" s="1" t="s">
        <v>6701</v>
      </c>
      <c r="J97" s="1" t="s">
        <v>6702</v>
      </c>
      <c r="K97" s="6">
        <f t="shared" si="2"/>
        <v>-0.004072446683</v>
      </c>
      <c r="L97" s="7">
        <v>-0.01520560127256106</v>
      </c>
      <c r="M97" s="8">
        <f t="shared" si="1"/>
        <v>19481288</v>
      </c>
    </row>
    <row r="98">
      <c r="A98" s="9">
        <v>45649.0</v>
      </c>
      <c r="B98" s="1">
        <v>471.2</v>
      </c>
      <c r="C98" s="1">
        <v>477.7</v>
      </c>
      <c r="D98" s="1">
        <v>467.6</v>
      </c>
      <c r="E98" s="1">
        <v>464.65</v>
      </c>
      <c r="F98" s="1">
        <v>474.25</v>
      </c>
      <c r="G98" s="1">
        <v>473.08</v>
      </c>
      <c r="H98" s="1" t="s">
        <v>6706</v>
      </c>
      <c r="I98" s="1" t="s">
        <v>6707</v>
      </c>
      <c r="J98" s="1" t="s">
        <v>6708</v>
      </c>
      <c r="K98" s="6">
        <f t="shared" si="2"/>
        <v>0.02066071236</v>
      </c>
      <c r="L98" s="7">
        <v>0.007035506094329655</v>
      </c>
      <c r="M98" s="8">
        <f t="shared" si="1"/>
        <v>18837469</v>
      </c>
    </row>
    <row r="99">
      <c r="A99" s="9">
        <v>45650.0</v>
      </c>
      <c r="B99" s="1">
        <v>474.9</v>
      </c>
      <c r="C99" s="1">
        <v>480.25</v>
      </c>
      <c r="D99" s="1">
        <v>472.65</v>
      </c>
      <c r="E99" s="1">
        <v>474.25</v>
      </c>
      <c r="F99" s="1">
        <v>478.45</v>
      </c>
      <c r="G99" s="1">
        <v>478.09</v>
      </c>
      <c r="H99" s="1" t="s">
        <v>6712</v>
      </c>
      <c r="I99" s="1" t="s">
        <v>6713</v>
      </c>
      <c r="J99" s="1" t="s">
        <v>6714</v>
      </c>
      <c r="K99" s="6">
        <f t="shared" si="2"/>
        <v>0.008856088561</v>
      </c>
      <c r="L99" s="7">
        <v>-0.0010861580107310422</v>
      </c>
      <c r="M99" s="8">
        <f t="shared" si="1"/>
        <v>11564497</v>
      </c>
    </row>
    <row r="100">
      <c r="A100" s="9">
        <v>45652.0</v>
      </c>
      <c r="B100" s="1">
        <v>480.55</v>
      </c>
      <c r="C100" s="1">
        <v>481.85</v>
      </c>
      <c r="D100" s="1">
        <v>476.0</v>
      </c>
      <c r="E100" s="1">
        <v>478.45</v>
      </c>
      <c r="F100" s="1">
        <v>476.95</v>
      </c>
      <c r="G100" s="1">
        <v>478.43</v>
      </c>
      <c r="H100" s="1" t="s">
        <v>6718</v>
      </c>
      <c r="I100" s="1" t="s">
        <v>6719</v>
      </c>
      <c r="J100" s="1" t="s">
        <v>6721</v>
      </c>
      <c r="K100" s="6">
        <f t="shared" si="2"/>
        <v>-0.003135123837</v>
      </c>
      <c r="L100" s="7">
        <v>9.5036803054661E-4</v>
      </c>
      <c r="M100" s="8">
        <f t="shared" si="1"/>
        <v>8848065</v>
      </c>
    </row>
    <row r="101">
      <c r="A101" s="9">
        <v>45653.0</v>
      </c>
      <c r="B101" s="1">
        <v>479.75</v>
      </c>
      <c r="C101" s="1">
        <v>481.9</v>
      </c>
      <c r="D101" s="1">
        <v>476.0</v>
      </c>
      <c r="E101" s="1">
        <v>476.95</v>
      </c>
      <c r="F101" s="1">
        <v>478.6</v>
      </c>
      <c r="G101" s="1">
        <v>479.17</v>
      </c>
      <c r="H101" s="1" t="s">
        <v>6726</v>
      </c>
      <c r="I101" s="1" t="s">
        <v>6728</v>
      </c>
      <c r="J101" s="1" t="s">
        <v>6729</v>
      </c>
      <c r="K101" s="6">
        <f t="shared" si="2"/>
        <v>0.003459482126</v>
      </c>
      <c r="L101" s="7">
        <v>0.0026610302229034166</v>
      </c>
      <c r="M101" s="8">
        <f t="shared" si="1"/>
        <v>16279450</v>
      </c>
    </row>
    <row r="102">
      <c r="A102" s="9">
        <v>45656.0</v>
      </c>
      <c r="B102" s="1">
        <v>480.75</v>
      </c>
      <c r="C102" s="1">
        <v>481.45</v>
      </c>
      <c r="D102" s="1">
        <v>476.0</v>
      </c>
      <c r="E102" s="1">
        <v>478.6</v>
      </c>
      <c r="F102" s="1">
        <v>477.0</v>
      </c>
      <c r="G102" s="1">
        <v>478.45</v>
      </c>
      <c r="H102" s="1" t="s">
        <v>6730</v>
      </c>
      <c r="I102" s="1" t="s">
        <v>6731</v>
      </c>
      <c r="J102" s="1" t="s">
        <v>968</v>
      </c>
      <c r="K102" s="6">
        <f t="shared" si="2"/>
        <v>-0.003343083995</v>
      </c>
      <c r="L102" s="7">
        <v>-0.007075848051937144</v>
      </c>
      <c r="M102" s="8">
        <f t="shared" si="1"/>
        <v>13074810</v>
      </c>
    </row>
    <row r="103">
      <c r="A103" s="9">
        <v>45657.0</v>
      </c>
      <c r="B103" s="1">
        <v>478.45</v>
      </c>
      <c r="C103" s="1">
        <v>484.65</v>
      </c>
      <c r="D103" s="1">
        <v>474.55</v>
      </c>
      <c r="E103" s="1">
        <v>477.0</v>
      </c>
      <c r="F103" s="1">
        <v>483.65</v>
      </c>
      <c r="G103" s="1">
        <v>479.83</v>
      </c>
      <c r="H103" s="1" t="s">
        <v>6732</v>
      </c>
      <c r="I103" s="1" t="s">
        <v>6733</v>
      </c>
      <c r="J103" s="1" t="s">
        <v>6734</v>
      </c>
      <c r="K103" s="6">
        <f t="shared" si="2"/>
        <v>0.01394129979</v>
      </c>
      <c r="L103" s="7">
        <v>-4.2292418239105594E-6</v>
      </c>
      <c r="M103" s="8">
        <f t="shared" si="1"/>
        <v>13276195</v>
      </c>
    </row>
    <row r="104">
      <c r="A104" s="3">
        <v>45658.0</v>
      </c>
      <c r="B104" s="1">
        <v>486.0</v>
      </c>
      <c r="C104" s="1">
        <v>486.85</v>
      </c>
      <c r="D104" s="1">
        <v>482.15</v>
      </c>
      <c r="E104" s="1">
        <v>483.65</v>
      </c>
      <c r="F104" s="1">
        <v>483.95</v>
      </c>
      <c r="G104" s="1">
        <v>484.93</v>
      </c>
      <c r="H104" s="1" t="s">
        <v>6738</v>
      </c>
      <c r="I104" s="1" t="s">
        <v>6739</v>
      </c>
      <c r="J104" s="1" t="s">
        <v>6740</v>
      </c>
      <c r="K104" s="6">
        <f t="shared" si="2"/>
        <v>0.0006202832627</v>
      </c>
      <c r="L104" s="7">
        <v>0.004148903775883162</v>
      </c>
      <c r="M104" s="8">
        <f t="shared" si="1"/>
        <v>18229128</v>
      </c>
    </row>
    <row r="105">
      <c r="A105" s="3">
        <v>45659.0</v>
      </c>
      <c r="B105" s="1">
        <v>485.35</v>
      </c>
      <c r="C105" s="1">
        <v>490.0</v>
      </c>
      <c r="D105" s="1">
        <v>482.3</v>
      </c>
      <c r="E105" s="1">
        <v>483.95</v>
      </c>
      <c r="F105" s="1">
        <v>489.05</v>
      </c>
      <c r="G105" s="1">
        <v>486.22</v>
      </c>
      <c r="H105" s="1" t="s">
        <v>6744</v>
      </c>
      <c r="I105" s="1" t="s">
        <v>6745</v>
      </c>
      <c r="J105" s="1" t="s">
        <v>6746</v>
      </c>
      <c r="K105" s="6">
        <f t="shared" si="2"/>
        <v>0.01053827875</v>
      </c>
      <c r="L105" s="7">
        <v>0.01877403350054121</v>
      </c>
      <c r="M105" s="8">
        <f t="shared" si="1"/>
        <v>26124980</v>
      </c>
    </row>
    <row r="106">
      <c r="A106" s="3">
        <v>45660.0</v>
      </c>
      <c r="B106" s="1">
        <v>490.25</v>
      </c>
      <c r="C106" s="1">
        <v>491.0</v>
      </c>
      <c r="D106" s="1">
        <v>479.85</v>
      </c>
      <c r="E106" s="1">
        <v>489.05</v>
      </c>
      <c r="F106" s="1">
        <v>481.6</v>
      </c>
      <c r="G106" s="1">
        <v>482.67</v>
      </c>
      <c r="H106" s="1" t="s">
        <v>6750</v>
      </c>
      <c r="I106" s="1" t="s">
        <v>6751</v>
      </c>
      <c r="J106" s="1" t="s">
        <v>6752</v>
      </c>
      <c r="K106" s="6">
        <f t="shared" si="2"/>
        <v>-0.01523361619</v>
      </c>
      <c r="L106" s="7">
        <v>-0.0076027393012839265</v>
      </c>
      <c r="M106" s="8">
        <f t="shared" si="1"/>
        <v>37072992</v>
      </c>
    </row>
    <row r="107">
      <c r="A107" s="3">
        <v>45663.0</v>
      </c>
      <c r="B107" s="1">
        <v>455.6</v>
      </c>
      <c r="C107" s="1">
        <v>461.75</v>
      </c>
      <c r="D107" s="1">
        <v>441.25</v>
      </c>
      <c r="E107" s="1">
        <v>481.6</v>
      </c>
      <c r="F107" s="1">
        <v>442.65</v>
      </c>
      <c r="G107" s="1">
        <v>450.15</v>
      </c>
      <c r="H107" s="1" t="s">
        <v>6756</v>
      </c>
      <c r="I107" s="1" t="s">
        <v>6757</v>
      </c>
      <c r="J107" s="1" t="s">
        <v>6758</v>
      </c>
      <c r="K107" s="6">
        <f t="shared" si="2"/>
        <v>-0.08087624585</v>
      </c>
      <c r="L107" s="7">
        <v>-0.016192628542267707</v>
      </c>
      <c r="M107" s="8">
        <f t="shared" si="1"/>
        <v>22009958</v>
      </c>
    </row>
    <row r="108">
      <c r="A108" s="3">
        <v>45664.0</v>
      </c>
      <c r="B108" s="1">
        <v>445.5</v>
      </c>
      <c r="C108" s="1">
        <v>447.6</v>
      </c>
      <c r="D108" s="1">
        <v>440.15</v>
      </c>
      <c r="E108" s="1">
        <v>442.65</v>
      </c>
      <c r="F108" s="1">
        <v>441.1</v>
      </c>
      <c r="G108" s="1">
        <v>442.97</v>
      </c>
      <c r="H108" s="1" t="s">
        <v>6762</v>
      </c>
      <c r="I108" s="1" t="s">
        <v>6763</v>
      </c>
      <c r="J108" s="1" t="s">
        <v>6764</v>
      </c>
      <c r="K108" s="6">
        <f t="shared" si="2"/>
        <v>-0.003501637863</v>
      </c>
      <c r="L108" s="7">
        <v>0.003889304096155038</v>
      </c>
      <c r="M108" s="8">
        <f t="shared" si="1"/>
        <v>14294780</v>
      </c>
    </row>
    <row r="109">
      <c r="A109" s="3">
        <v>45665.0</v>
      </c>
      <c r="B109" s="1">
        <v>443.0</v>
      </c>
      <c r="C109" s="1">
        <v>452.05</v>
      </c>
      <c r="D109" s="1">
        <v>437.1</v>
      </c>
      <c r="E109" s="1">
        <v>441.1</v>
      </c>
      <c r="F109" s="1">
        <v>449.55</v>
      </c>
      <c r="G109" s="1">
        <v>444.83</v>
      </c>
      <c r="H109" s="1" t="s">
        <v>6768</v>
      </c>
      <c r="I109" s="1" t="s">
        <v>6769</v>
      </c>
      <c r="J109" s="1" t="s">
        <v>6770</v>
      </c>
      <c r="K109" s="6">
        <f t="shared" si="2"/>
        <v>0.01915665382</v>
      </c>
      <c r="L109" s="7">
        <v>-7.993116218644725E-4</v>
      </c>
      <c r="M109" s="8">
        <f t="shared" si="1"/>
        <v>13482926</v>
      </c>
    </row>
    <row r="110">
      <c r="A110" s="3">
        <v>45666.0</v>
      </c>
      <c r="B110" s="1">
        <v>449.4</v>
      </c>
      <c r="C110" s="1">
        <v>460.65</v>
      </c>
      <c r="D110" s="1">
        <v>446.05</v>
      </c>
      <c r="E110" s="1">
        <v>449.55</v>
      </c>
      <c r="F110" s="1">
        <v>450.1</v>
      </c>
      <c r="G110" s="1">
        <v>452.64</v>
      </c>
      <c r="H110" s="1" t="s">
        <v>6774</v>
      </c>
      <c r="I110" s="1" t="s">
        <v>6775</v>
      </c>
      <c r="J110" s="1" t="s">
        <v>6776</v>
      </c>
      <c r="K110" s="6">
        <f t="shared" si="2"/>
        <v>0.001223445668</v>
      </c>
      <c r="L110" s="7">
        <v>-0.006857627712498896</v>
      </c>
      <c r="M110" s="8">
        <f t="shared" si="1"/>
        <v>19732649</v>
      </c>
    </row>
    <row r="111">
      <c r="A111" s="9">
        <v>45667.0</v>
      </c>
      <c r="B111" s="1">
        <v>449.95</v>
      </c>
      <c r="C111" s="1">
        <v>452.0</v>
      </c>
      <c r="D111" s="1">
        <v>442.5</v>
      </c>
      <c r="E111" s="1">
        <v>450.1</v>
      </c>
      <c r="F111" s="1">
        <v>444.9</v>
      </c>
      <c r="G111" s="1">
        <v>445.59</v>
      </c>
      <c r="H111" s="1" t="s">
        <v>6780</v>
      </c>
      <c r="I111" s="1" t="s">
        <v>6781</v>
      </c>
      <c r="J111" s="1" t="s">
        <v>6782</v>
      </c>
      <c r="K111" s="6">
        <f t="shared" si="2"/>
        <v>-0.01155298822</v>
      </c>
      <c r="L111" s="7">
        <v>-0.00403799970246318</v>
      </c>
      <c r="M111" s="8">
        <f t="shared" si="1"/>
        <v>9145729</v>
      </c>
    </row>
    <row r="112">
      <c r="A112" s="9">
        <v>45670.0</v>
      </c>
      <c r="B112" s="1">
        <v>435.0</v>
      </c>
      <c r="C112" s="1">
        <v>444.0</v>
      </c>
      <c r="D112" s="1">
        <v>435.0</v>
      </c>
      <c r="E112" s="1">
        <v>444.9</v>
      </c>
      <c r="F112" s="1">
        <v>439.05</v>
      </c>
      <c r="G112" s="1">
        <v>440.27</v>
      </c>
      <c r="H112" s="1" t="s">
        <v>6786</v>
      </c>
      <c r="I112" s="1" t="s">
        <v>6787</v>
      </c>
      <c r="J112" s="1" t="s">
        <v>6788</v>
      </c>
      <c r="K112" s="6">
        <f t="shared" si="2"/>
        <v>-0.01314902225</v>
      </c>
      <c r="L112" s="7">
        <v>-0.014747241960608552</v>
      </c>
      <c r="M112" s="8">
        <f t="shared" si="1"/>
        <v>17799607</v>
      </c>
    </row>
    <row r="113">
      <c r="A113" s="9">
        <v>45671.0</v>
      </c>
      <c r="B113" s="1">
        <v>441.0</v>
      </c>
      <c r="C113" s="1">
        <v>441.5</v>
      </c>
      <c r="D113" s="1">
        <v>435.85</v>
      </c>
      <c r="E113" s="1">
        <v>439.05</v>
      </c>
      <c r="F113" s="1">
        <v>436.6</v>
      </c>
      <c r="G113" s="1">
        <v>438.04</v>
      </c>
      <c r="H113" s="1" t="s">
        <v>6792</v>
      </c>
      <c r="I113" s="1" t="s">
        <v>6793</v>
      </c>
      <c r="J113" s="1" t="s">
        <v>6794</v>
      </c>
      <c r="K113" s="6">
        <f t="shared" si="2"/>
        <v>-0.005580230042</v>
      </c>
      <c r="L113" s="7">
        <v>0.0039028066854514777</v>
      </c>
      <c r="M113" s="8">
        <f t="shared" si="1"/>
        <v>18048459</v>
      </c>
    </row>
    <row r="114">
      <c r="A114" s="9">
        <v>45672.0</v>
      </c>
      <c r="B114" s="1">
        <v>436.6</v>
      </c>
      <c r="C114" s="1">
        <v>441.8</v>
      </c>
      <c r="D114" s="1">
        <v>435.35</v>
      </c>
      <c r="E114" s="1">
        <v>436.6</v>
      </c>
      <c r="F114" s="1">
        <v>437.35</v>
      </c>
      <c r="G114" s="1">
        <v>437.99</v>
      </c>
      <c r="H114" s="1" t="s">
        <v>6798</v>
      </c>
      <c r="I114" s="1" t="s">
        <v>6799</v>
      </c>
      <c r="J114" s="1" t="s">
        <v>6800</v>
      </c>
      <c r="K114" s="6">
        <f t="shared" si="2"/>
        <v>0.001717819514</v>
      </c>
      <c r="L114" s="7">
        <v>0.0016029478707545702</v>
      </c>
      <c r="M114" s="8">
        <f t="shared" si="1"/>
        <v>9786805</v>
      </c>
    </row>
    <row r="115">
      <c r="A115" s="9">
        <v>45673.0</v>
      </c>
      <c r="B115" s="1">
        <v>438.05</v>
      </c>
      <c r="C115" s="1">
        <v>439.45</v>
      </c>
      <c r="D115" s="1">
        <v>431.1</v>
      </c>
      <c r="E115" s="1">
        <v>437.35</v>
      </c>
      <c r="F115" s="1">
        <v>432.85</v>
      </c>
      <c r="G115" s="1">
        <v>432.62</v>
      </c>
      <c r="H115" s="1" t="s">
        <v>6804</v>
      </c>
      <c r="I115" s="1" t="s">
        <v>6805</v>
      </c>
      <c r="J115" s="1" t="s">
        <v>6806</v>
      </c>
      <c r="K115" s="6">
        <f t="shared" si="2"/>
        <v>-0.01028924203</v>
      </c>
      <c r="L115" s="7">
        <v>0.004247583271586793</v>
      </c>
      <c r="M115" s="8">
        <f t="shared" si="1"/>
        <v>15774070</v>
      </c>
    </row>
    <row r="116">
      <c r="A116" s="9">
        <v>45674.0</v>
      </c>
      <c r="B116" s="1">
        <v>433.0</v>
      </c>
      <c r="C116" s="1">
        <v>441.8</v>
      </c>
      <c r="D116" s="1">
        <v>432.5</v>
      </c>
      <c r="E116" s="1">
        <v>432.85</v>
      </c>
      <c r="F116" s="1">
        <v>440.2</v>
      </c>
      <c r="G116" s="1">
        <v>438.78</v>
      </c>
      <c r="H116" s="1" t="s">
        <v>6810</v>
      </c>
      <c r="I116" s="1" t="s">
        <v>6811</v>
      </c>
      <c r="J116" s="1" t="s">
        <v>6812</v>
      </c>
      <c r="K116" s="6">
        <f t="shared" si="2"/>
        <v>0.01698047823</v>
      </c>
      <c r="L116" s="7">
        <v>-0.0046585849226571325</v>
      </c>
      <c r="M116" s="8">
        <f t="shared" si="1"/>
        <v>11270061</v>
      </c>
    </row>
    <row r="117">
      <c r="A117" s="9">
        <v>45677.0</v>
      </c>
      <c r="B117" s="1">
        <v>439.0</v>
      </c>
      <c r="C117" s="1">
        <v>441.2</v>
      </c>
      <c r="D117" s="1">
        <v>436.0</v>
      </c>
      <c r="E117" s="1">
        <v>440.2</v>
      </c>
      <c r="F117" s="1">
        <v>437.7</v>
      </c>
      <c r="G117" s="1">
        <v>437.61</v>
      </c>
      <c r="H117" s="1" t="s">
        <v>6816</v>
      </c>
      <c r="I117" s="1" t="s">
        <v>6817</v>
      </c>
      <c r="J117" s="1" t="s">
        <v>6819</v>
      </c>
      <c r="K117" s="6">
        <f t="shared" si="2"/>
        <v>-0.005679236711</v>
      </c>
      <c r="L117" s="7">
        <v>0.006100451661839715</v>
      </c>
      <c r="M117" s="8">
        <f t="shared" si="1"/>
        <v>8742771</v>
      </c>
    </row>
    <row r="118">
      <c r="A118" s="9">
        <v>45678.0</v>
      </c>
      <c r="B118" s="1">
        <v>438.0</v>
      </c>
      <c r="C118" s="1">
        <v>447.0</v>
      </c>
      <c r="D118" s="1">
        <v>435.25</v>
      </c>
      <c r="E118" s="1">
        <v>437.7</v>
      </c>
      <c r="F118" s="1">
        <v>437.55</v>
      </c>
      <c r="G118" s="1">
        <v>440.22</v>
      </c>
      <c r="H118" s="1" t="s">
        <v>6822</v>
      </c>
      <c r="I118" s="1" t="s">
        <v>6824</v>
      </c>
      <c r="J118" s="1" t="s">
        <v>6826</v>
      </c>
      <c r="K118" s="6">
        <f t="shared" si="2"/>
        <v>-0.0003427004798</v>
      </c>
      <c r="L118" s="7">
        <v>-0.013711862410177815</v>
      </c>
      <c r="M118" s="8">
        <f t="shared" si="1"/>
        <v>15686500</v>
      </c>
    </row>
    <row r="119">
      <c r="A119" s="9">
        <v>45679.0</v>
      </c>
      <c r="B119" s="1">
        <v>439.9</v>
      </c>
      <c r="C119" s="1">
        <v>441.95</v>
      </c>
      <c r="D119" s="1">
        <v>436.55</v>
      </c>
      <c r="E119" s="1">
        <v>437.55</v>
      </c>
      <c r="F119" s="1">
        <v>437.0</v>
      </c>
      <c r="G119" s="1">
        <v>438.79</v>
      </c>
      <c r="H119" s="1" t="s">
        <v>6830</v>
      </c>
      <c r="I119" s="1" t="s">
        <v>6832</v>
      </c>
      <c r="J119" s="1" t="s">
        <v>6833</v>
      </c>
      <c r="K119" s="6">
        <f t="shared" si="2"/>
        <v>-0.0012569992</v>
      </c>
      <c r="L119" s="7">
        <v>0.005676524941747088</v>
      </c>
      <c r="M119" s="8">
        <f t="shared" si="1"/>
        <v>9619648</v>
      </c>
    </row>
    <row r="120">
      <c r="A120" s="9">
        <v>45680.0</v>
      </c>
      <c r="B120" s="1">
        <v>435.0</v>
      </c>
      <c r="C120" s="1">
        <v>441.85</v>
      </c>
      <c r="D120" s="1">
        <v>434.1</v>
      </c>
      <c r="E120" s="1">
        <v>437.0</v>
      </c>
      <c r="F120" s="1">
        <v>440.2</v>
      </c>
      <c r="G120" s="1">
        <v>439.59</v>
      </c>
      <c r="H120" s="1" t="s">
        <v>6837</v>
      </c>
      <c r="I120" s="1" t="s">
        <v>6838</v>
      </c>
      <c r="J120" s="1" t="s">
        <v>6839</v>
      </c>
      <c r="K120" s="6">
        <f t="shared" si="2"/>
        <v>0.007322654462</v>
      </c>
      <c r="L120" s="7">
        <v>0.0021593281898135853</v>
      </c>
      <c r="M120" s="8">
        <f t="shared" si="1"/>
        <v>8888248</v>
      </c>
    </row>
    <row r="121">
      <c r="A121" s="9">
        <v>45681.0</v>
      </c>
      <c r="B121" s="1">
        <v>439.4</v>
      </c>
      <c r="C121" s="1">
        <v>445.0</v>
      </c>
      <c r="D121" s="1">
        <v>439.05</v>
      </c>
      <c r="E121" s="1">
        <v>440.2</v>
      </c>
      <c r="F121" s="1">
        <v>441.6</v>
      </c>
      <c r="G121" s="1">
        <v>442.53</v>
      </c>
      <c r="H121" s="1" t="s">
        <v>6843</v>
      </c>
      <c r="I121" s="1" t="s">
        <v>6844</v>
      </c>
      <c r="J121" s="1" t="s">
        <v>6845</v>
      </c>
      <c r="K121" s="6">
        <f t="shared" si="2"/>
        <v>0.003180372558</v>
      </c>
      <c r="L121" s="7">
        <v>-0.004876030742910485</v>
      </c>
      <c r="M121" s="8">
        <f t="shared" si="1"/>
        <v>9665384</v>
      </c>
    </row>
    <row r="122">
      <c r="A122" s="9">
        <v>45684.0</v>
      </c>
      <c r="B122" s="1">
        <v>440.8</v>
      </c>
      <c r="C122" s="1">
        <v>445.0</v>
      </c>
      <c r="D122" s="1">
        <v>436.55</v>
      </c>
      <c r="E122" s="1">
        <v>441.6</v>
      </c>
      <c r="F122" s="1">
        <v>440.1</v>
      </c>
      <c r="G122" s="1">
        <v>440.42</v>
      </c>
      <c r="H122" s="1" t="s">
        <v>6849</v>
      </c>
      <c r="I122" s="1" t="s">
        <v>6850</v>
      </c>
      <c r="J122" s="1" t="s">
        <v>6851</v>
      </c>
      <c r="K122" s="6">
        <f t="shared" si="2"/>
        <v>-0.00339673913</v>
      </c>
      <c r="L122" s="7">
        <v>-0.011391292297832136</v>
      </c>
      <c r="M122" s="8">
        <f t="shared" si="1"/>
        <v>10480203</v>
      </c>
    </row>
    <row r="123">
      <c r="A123" s="9">
        <v>45685.0</v>
      </c>
      <c r="B123" s="1">
        <v>440.0</v>
      </c>
      <c r="C123" s="1">
        <v>441.8</v>
      </c>
      <c r="D123" s="1">
        <v>434.5</v>
      </c>
      <c r="E123" s="1">
        <v>440.1</v>
      </c>
      <c r="F123" s="1">
        <v>435.45</v>
      </c>
      <c r="G123" s="1">
        <v>437.14</v>
      </c>
      <c r="H123" s="1" t="s">
        <v>6855</v>
      </c>
      <c r="I123" s="1" t="s">
        <v>6856</v>
      </c>
      <c r="J123" s="1" t="s">
        <v>6857</v>
      </c>
      <c r="K123" s="6">
        <f t="shared" si="2"/>
        <v>-0.0105657805</v>
      </c>
      <c r="L123" s="7">
        <v>0.005611247024089751</v>
      </c>
      <c r="M123" s="8">
        <f t="shared" si="1"/>
        <v>20813072</v>
      </c>
    </row>
    <row r="124">
      <c r="A124" s="9">
        <v>45686.0</v>
      </c>
      <c r="B124" s="1">
        <v>435.95</v>
      </c>
      <c r="C124" s="1">
        <v>437.5</v>
      </c>
      <c r="D124" s="1">
        <v>430.1</v>
      </c>
      <c r="E124" s="1">
        <v>435.45</v>
      </c>
      <c r="F124" s="1">
        <v>433.35</v>
      </c>
      <c r="G124" s="1">
        <v>433.19</v>
      </c>
      <c r="H124" s="1" t="s">
        <v>6861</v>
      </c>
      <c r="I124" s="1" t="s">
        <v>6862</v>
      </c>
      <c r="J124" s="1" t="s">
        <v>6863</v>
      </c>
      <c r="K124" s="6">
        <f t="shared" si="2"/>
        <v>-0.004822597313</v>
      </c>
      <c r="L124" s="7">
        <v>0.008966666303673067</v>
      </c>
      <c r="M124" s="8">
        <f t="shared" si="1"/>
        <v>15158510</v>
      </c>
    </row>
    <row r="125">
      <c r="A125" s="9">
        <v>45687.0</v>
      </c>
      <c r="B125" s="1">
        <v>433.0</v>
      </c>
      <c r="C125" s="1">
        <v>438.0</v>
      </c>
      <c r="D125" s="1">
        <v>431.45</v>
      </c>
      <c r="E125" s="1">
        <v>433.35</v>
      </c>
      <c r="F125" s="1">
        <v>436.2</v>
      </c>
      <c r="G125" s="1">
        <v>434.97</v>
      </c>
      <c r="H125" s="1" t="s">
        <v>6868</v>
      </c>
      <c r="I125" s="1" t="s">
        <v>6870</v>
      </c>
      <c r="J125" s="1" t="s">
        <v>6871</v>
      </c>
      <c r="K125" s="6">
        <f t="shared" si="2"/>
        <v>0.006576670128</v>
      </c>
      <c r="L125" s="7">
        <v>0.00373007067275112</v>
      </c>
      <c r="M125" s="8">
        <f t="shared" si="1"/>
        <v>22496695</v>
      </c>
    </row>
    <row r="126">
      <c r="A126" s="9">
        <v>45688.0</v>
      </c>
      <c r="B126" s="1">
        <v>436.5</v>
      </c>
      <c r="C126" s="1">
        <v>448.2</v>
      </c>
      <c r="D126" s="1">
        <v>435.1</v>
      </c>
      <c r="E126" s="1">
        <v>436.2</v>
      </c>
      <c r="F126" s="1">
        <v>447.5</v>
      </c>
      <c r="G126" s="1">
        <v>443.74</v>
      </c>
      <c r="H126" s="1" t="s">
        <v>6880</v>
      </c>
      <c r="I126" s="1" t="s">
        <v>6881</v>
      </c>
      <c r="J126" s="1" t="s">
        <v>6882</v>
      </c>
      <c r="K126" s="6">
        <f t="shared" si="2"/>
        <v>0.02590554791</v>
      </c>
      <c r="L126" s="7">
        <v>0.011135723348889286</v>
      </c>
      <c r="M126" s="8">
        <f t="shared" si="1"/>
        <v>13546181</v>
      </c>
    </row>
    <row r="127">
      <c r="A127" s="3">
        <v>45689.0</v>
      </c>
      <c r="B127" s="1">
        <v>448.0</v>
      </c>
      <c r="C127" s="1">
        <v>471.5</v>
      </c>
      <c r="D127" s="1">
        <v>439.55</v>
      </c>
      <c r="E127" s="1">
        <v>447.5</v>
      </c>
      <c r="F127" s="1">
        <v>462.55</v>
      </c>
      <c r="G127" s="1">
        <v>459.22</v>
      </c>
      <c r="H127" s="1" t="s">
        <v>6884</v>
      </c>
      <c r="I127" s="1" t="s">
        <v>6886</v>
      </c>
      <c r="J127" s="1" t="s">
        <v>6888</v>
      </c>
      <c r="K127" s="6">
        <f t="shared" si="2"/>
        <v>0.03363128492</v>
      </c>
      <c r="L127" s="7">
        <v>-0.0011166221435742116</v>
      </c>
      <c r="M127" s="8">
        <f t="shared" si="1"/>
        <v>30393007</v>
      </c>
    </row>
    <row r="128">
      <c r="A128" s="3">
        <v>45691.0</v>
      </c>
      <c r="B128" s="1">
        <v>462.0</v>
      </c>
      <c r="C128" s="1">
        <v>465.2</v>
      </c>
      <c r="D128" s="1">
        <v>452.3</v>
      </c>
      <c r="E128" s="1">
        <v>462.55</v>
      </c>
      <c r="F128" s="1">
        <v>454.35</v>
      </c>
      <c r="G128" s="1">
        <v>457.77</v>
      </c>
      <c r="H128" s="1" t="s">
        <v>6891</v>
      </c>
      <c r="I128" s="1" t="s">
        <v>6893</v>
      </c>
      <c r="J128" s="1" t="s">
        <v>6895</v>
      </c>
      <c r="K128" s="6">
        <f t="shared" si="2"/>
        <v>-0.01772781321</v>
      </c>
      <c r="L128" s="7">
        <v>-0.005157108697457523</v>
      </c>
      <c r="M128" s="8">
        <f t="shared" si="1"/>
        <v>16991730</v>
      </c>
    </row>
    <row r="129">
      <c r="A129" s="3">
        <v>45692.0</v>
      </c>
      <c r="B129" s="1">
        <v>458.0</v>
      </c>
      <c r="C129" s="1">
        <v>460.35</v>
      </c>
      <c r="D129" s="1">
        <v>448.75</v>
      </c>
      <c r="E129" s="1">
        <v>454.35</v>
      </c>
      <c r="F129" s="1">
        <v>455.15</v>
      </c>
      <c r="G129" s="1">
        <v>454.39</v>
      </c>
      <c r="H129" s="1" t="s">
        <v>6898</v>
      </c>
      <c r="I129" s="1" t="s">
        <v>6899</v>
      </c>
      <c r="J129" s="1" t="s">
        <v>6900</v>
      </c>
      <c r="K129" s="6">
        <f t="shared" si="2"/>
        <v>0.001760757126</v>
      </c>
      <c r="L129" s="7">
        <v>0.016189340804458736</v>
      </c>
      <c r="M129" s="8">
        <f t="shared" si="1"/>
        <v>18923681</v>
      </c>
    </row>
    <row r="130">
      <c r="A130" s="3">
        <v>45693.0</v>
      </c>
      <c r="B130" s="1">
        <v>455.15</v>
      </c>
      <c r="C130" s="1">
        <v>455.85</v>
      </c>
      <c r="D130" s="1">
        <v>446.5</v>
      </c>
      <c r="E130" s="1">
        <v>455.15</v>
      </c>
      <c r="F130" s="1">
        <v>448.15</v>
      </c>
      <c r="G130" s="1">
        <v>450.02</v>
      </c>
      <c r="H130" s="1" t="s">
        <v>6905</v>
      </c>
      <c r="I130" s="1" t="s">
        <v>6906</v>
      </c>
      <c r="J130" s="1" t="s">
        <v>6907</v>
      </c>
      <c r="K130" s="6">
        <f t="shared" si="2"/>
        <v>-0.0153795452</v>
      </c>
      <c r="L130" s="7">
        <v>-0.0018092399717767296</v>
      </c>
      <c r="M130" s="8">
        <f t="shared" si="1"/>
        <v>12836283</v>
      </c>
    </row>
    <row r="131">
      <c r="A131" s="3">
        <v>45694.0</v>
      </c>
      <c r="B131" s="1">
        <v>450.0</v>
      </c>
      <c r="C131" s="1">
        <v>450.0</v>
      </c>
      <c r="D131" s="1">
        <v>438.2</v>
      </c>
      <c r="E131" s="1">
        <v>448.15</v>
      </c>
      <c r="F131" s="1">
        <v>441.1</v>
      </c>
      <c r="G131" s="1">
        <v>441.65</v>
      </c>
      <c r="H131" s="1" t="s">
        <v>6911</v>
      </c>
      <c r="I131" s="1" t="s">
        <v>6912</v>
      </c>
      <c r="J131" s="1" t="s">
        <v>6913</v>
      </c>
      <c r="K131" s="6">
        <f t="shared" si="2"/>
        <v>-0.01573133995</v>
      </c>
      <c r="L131" s="7">
        <v>-0.0039225533100104544</v>
      </c>
      <c r="M131" s="8">
        <f t="shared" si="1"/>
        <v>17469129</v>
      </c>
    </row>
    <row r="132">
      <c r="A132" s="3">
        <v>45695.0</v>
      </c>
      <c r="B132" s="1">
        <v>440.0</v>
      </c>
      <c r="C132" s="1">
        <v>445.5</v>
      </c>
      <c r="D132" s="1">
        <v>428.4</v>
      </c>
      <c r="E132" s="1">
        <v>441.1</v>
      </c>
      <c r="F132" s="1">
        <v>430.85</v>
      </c>
      <c r="G132" s="1">
        <v>432.24</v>
      </c>
      <c r="H132" s="1" t="s">
        <v>6918</v>
      </c>
      <c r="I132" s="1" t="s">
        <v>6919</v>
      </c>
      <c r="J132" s="1" t="s">
        <v>6920</v>
      </c>
      <c r="K132" s="6">
        <f t="shared" si="2"/>
        <v>-0.02323736114</v>
      </c>
      <c r="L132" s="7">
        <v>-0.0018387220458112013</v>
      </c>
      <c r="M132" s="8">
        <f t="shared" si="1"/>
        <v>18875982</v>
      </c>
    </row>
    <row r="133">
      <c r="A133" s="9">
        <v>45698.0</v>
      </c>
      <c r="B133" s="1">
        <v>427.0</v>
      </c>
      <c r="C133" s="1">
        <v>433.3</v>
      </c>
      <c r="D133" s="1">
        <v>426.5</v>
      </c>
      <c r="E133" s="1">
        <v>430.85</v>
      </c>
      <c r="F133" s="1">
        <v>427.2</v>
      </c>
      <c r="G133" s="1">
        <v>428.76</v>
      </c>
      <c r="H133" s="1" t="s">
        <v>6924</v>
      </c>
      <c r="I133" s="1" t="s">
        <v>6925</v>
      </c>
      <c r="J133" s="1" t="s">
        <v>6926</v>
      </c>
      <c r="K133" s="6">
        <f t="shared" si="2"/>
        <v>-0.008471625856</v>
      </c>
      <c r="L133" s="7">
        <v>-0.00757005002132866</v>
      </c>
      <c r="M133" s="8">
        <f t="shared" si="1"/>
        <v>12227140</v>
      </c>
    </row>
    <row r="134">
      <c r="A134" s="9">
        <v>45699.0</v>
      </c>
      <c r="B134" s="1">
        <v>428.8</v>
      </c>
      <c r="C134" s="1">
        <v>430.55</v>
      </c>
      <c r="D134" s="1">
        <v>417.5</v>
      </c>
      <c r="E134" s="1">
        <v>427.2</v>
      </c>
      <c r="F134" s="1">
        <v>418.3</v>
      </c>
      <c r="G134" s="1">
        <v>421.57</v>
      </c>
      <c r="H134" s="1" t="s">
        <v>6931</v>
      </c>
      <c r="I134" s="1" t="s">
        <v>6932</v>
      </c>
      <c r="J134" s="1" t="s">
        <v>6933</v>
      </c>
      <c r="K134" s="6">
        <f t="shared" si="2"/>
        <v>-0.02083333333</v>
      </c>
      <c r="L134" s="7">
        <v>-0.013249734834228593</v>
      </c>
      <c r="M134" s="8">
        <f t="shared" si="1"/>
        <v>14288751</v>
      </c>
    </row>
    <row r="135">
      <c r="A135" s="9">
        <v>45700.0</v>
      </c>
      <c r="B135" s="1">
        <v>413.15</v>
      </c>
      <c r="C135" s="1">
        <v>413.8</v>
      </c>
      <c r="D135" s="1">
        <v>407.6</v>
      </c>
      <c r="E135" s="1">
        <v>418.3</v>
      </c>
      <c r="F135" s="1">
        <v>409.9</v>
      </c>
      <c r="G135" s="1">
        <v>410.36</v>
      </c>
      <c r="H135" s="1" t="s">
        <v>6937</v>
      </c>
      <c r="I135" s="1" t="s">
        <v>6938</v>
      </c>
      <c r="J135" s="1" t="s">
        <v>6939</v>
      </c>
      <c r="K135" s="6">
        <f t="shared" si="2"/>
        <v>-0.02008128138</v>
      </c>
      <c r="L135" s="7">
        <v>-0.001150755467713801</v>
      </c>
      <c r="M135" s="8">
        <f t="shared" si="1"/>
        <v>13884574</v>
      </c>
    </row>
    <row r="136">
      <c r="A136" s="9">
        <v>45701.0</v>
      </c>
      <c r="B136" s="1">
        <v>409.95</v>
      </c>
      <c r="C136" s="1">
        <v>413.95</v>
      </c>
      <c r="D136" s="1">
        <v>409.0</v>
      </c>
      <c r="E136" s="1">
        <v>409.9</v>
      </c>
      <c r="F136" s="1">
        <v>409.7</v>
      </c>
      <c r="G136" s="1">
        <v>411.14</v>
      </c>
      <c r="H136" s="1" t="s">
        <v>6944</v>
      </c>
      <c r="I136" s="1" t="s">
        <v>6945</v>
      </c>
      <c r="J136" s="1" t="s">
        <v>6946</v>
      </c>
      <c r="K136" s="6">
        <f t="shared" si="2"/>
        <v>-0.0004879238839</v>
      </c>
      <c r="L136" s="7">
        <v>-6.009915275381497E-4</v>
      </c>
      <c r="M136" s="8">
        <f t="shared" si="1"/>
        <v>12989029</v>
      </c>
    </row>
    <row r="137">
      <c r="A137" s="9">
        <v>45702.0</v>
      </c>
      <c r="B137" s="1">
        <v>411.75</v>
      </c>
      <c r="C137" s="1">
        <v>416.2</v>
      </c>
      <c r="D137" s="1">
        <v>408.4</v>
      </c>
      <c r="E137" s="1">
        <v>409.7</v>
      </c>
      <c r="F137" s="1">
        <v>410.25</v>
      </c>
      <c r="G137" s="1">
        <v>411.41</v>
      </c>
      <c r="H137" s="1" t="s">
        <v>6950</v>
      </c>
      <c r="I137" s="1" t="s">
        <v>6951</v>
      </c>
      <c r="J137" s="1" t="s">
        <v>6952</v>
      </c>
      <c r="K137" s="6">
        <f t="shared" si="2"/>
        <v>0.001342445692</v>
      </c>
      <c r="L137" s="7">
        <v>-0.004435249268390173</v>
      </c>
      <c r="M137" s="8">
        <f t="shared" si="1"/>
        <v>14124236</v>
      </c>
    </row>
    <row r="138">
      <c r="A138" s="9">
        <v>45705.0</v>
      </c>
      <c r="B138" s="1">
        <v>409.8</v>
      </c>
      <c r="C138" s="1">
        <v>411.4</v>
      </c>
      <c r="D138" s="1">
        <v>406.75</v>
      </c>
      <c r="E138" s="1">
        <v>410.25</v>
      </c>
      <c r="F138" s="1">
        <v>408.6</v>
      </c>
      <c r="G138" s="1">
        <v>408.96</v>
      </c>
      <c r="H138" s="1" t="s">
        <v>6957</v>
      </c>
      <c r="I138" s="1" t="s">
        <v>6958</v>
      </c>
      <c r="J138" s="1" t="s">
        <v>6959</v>
      </c>
      <c r="K138" s="6">
        <f t="shared" si="2"/>
        <v>-0.004021937843</v>
      </c>
      <c r="L138" s="7">
        <v>0.001319275597762683</v>
      </c>
      <c r="M138" s="8">
        <f t="shared" si="1"/>
        <v>11975265</v>
      </c>
    </row>
    <row r="139">
      <c r="A139" s="9">
        <v>45706.0</v>
      </c>
      <c r="B139" s="1">
        <v>408.0</v>
      </c>
      <c r="C139" s="1">
        <v>410.85</v>
      </c>
      <c r="D139" s="1">
        <v>404.0</v>
      </c>
      <c r="E139" s="1">
        <v>408.6</v>
      </c>
      <c r="F139" s="1">
        <v>405.25</v>
      </c>
      <c r="G139" s="1">
        <v>406.53</v>
      </c>
      <c r="H139" s="1" t="s">
        <v>6963</v>
      </c>
      <c r="I139" s="1" t="s">
        <v>6964</v>
      </c>
      <c r="J139" s="1" t="s">
        <v>6965</v>
      </c>
      <c r="K139" s="6">
        <f t="shared" si="2"/>
        <v>-0.008198727362</v>
      </c>
      <c r="L139" s="7">
        <v>-6.184803676038558E-4</v>
      </c>
      <c r="M139" s="8">
        <f t="shared" si="1"/>
        <v>12998403</v>
      </c>
    </row>
    <row r="140">
      <c r="A140" s="9">
        <v>45707.0</v>
      </c>
      <c r="B140" s="1">
        <v>404.8</v>
      </c>
      <c r="C140" s="1">
        <v>408.8</v>
      </c>
      <c r="D140" s="1">
        <v>404.5</v>
      </c>
      <c r="E140" s="1">
        <v>405.25</v>
      </c>
      <c r="F140" s="1">
        <v>406.4</v>
      </c>
      <c r="G140" s="1">
        <v>406.89</v>
      </c>
      <c r="H140" s="1" t="s">
        <v>6969</v>
      </c>
      <c r="I140" s="1" t="s">
        <v>6971</v>
      </c>
      <c r="J140" s="11">
        <v>88693.0</v>
      </c>
      <c r="K140" s="6">
        <f t="shared" si="2"/>
        <v>0.002837754473</v>
      </c>
      <c r="L140" s="7">
        <v>-5.404156842576832E-4</v>
      </c>
      <c r="M140" s="8">
        <f t="shared" si="1"/>
        <v>7079032</v>
      </c>
    </row>
    <row r="141">
      <c r="A141" s="9">
        <v>45708.0</v>
      </c>
      <c r="B141" s="1">
        <v>399.95</v>
      </c>
      <c r="C141" s="1">
        <v>403.9</v>
      </c>
      <c r="D141" s="1">
        <v>396.2</v>
      </c>
      <c r="E141" s="1">
        <v>406.4</v>
      </c>
      <c r="F141" s="1">
        <v>402.05</v>
      </c>
      <c r="G141" s="1">
        <v>401.31</v>
      </c>
      <c r="H141" s="1" t="s">
        <v>6975</v>
      </c>
      <c r="I141" s="1" t="s">
        <v>6978</v>
      </c>
      <c r="J141" s="1" t="s">
        <v>6980</v>
      </c>
      <c r="K141" s="6">
        <f t="shared" si="2"/>
        <v>-0.01070374016</v>
      </c>
      <c r="L141" s="7">
        <v>-8.612081332932162E-4</v>
      </c>
      <c r="M141" s="8">
        <f t="shared" si="1"/>
        <v>15355585</v>
      </c>
    </row>
    <row r="142">
      <c r="A142" s="9">
        <v>45709.0</v>
      </c>
      <c r="B142" s="1">
        <v>402.05</v>
      </c>
      <c r="C142" s="1">
        <v>403.25</v>
      </c>
      <c r="D142" s="1">
        <v>399.2</v>
      </c>
      <c r="E142" s="1">
        <v>402.05</v>
      </c>
      <c r="F142" s="1">
        <v>400.9</v>
      </c>
      <c r="G142" s="1">
        <v>400.75</v>
      </c>
      <c r="H142" s="1" t="s">
        <v>6988</v>
      </c>
      <c r="I142" s="1" t="s">
        <v>6989</v>
      </c>
      <c r="J142" s="1" t="s">
        <v>6991</v>
      </c>
      <c r="K142" s="6">
        <f t="shared" si="2"/>
        <v>-0.002860340754</v>
      </c>
      <c r="L142" s="7">
        <v>-0.005117148886119979</v>
      </c>
      <c r="M142" s="8">
        <f t="shared" si="1"/>
        <v>8240986</v>
      </c>
    </row>
    <row r="143">
      <c r="A143" s="9">
        <v>45712.0</v>
      </c>
      <c r="B143" s="1">
        <v>400.0</v>
      </c>
      <c r="C143" s="1">
        <v>403.4</v>
      </c>
      <c r="D143" s="1">
        <v>398.75</v>
      </c>
      <c r="E143" s="1">
        <v>400.9</v>
      </c>
      <c r="F143" s="1">
        <v>401.9</v>
      </c>
      <c r="G143" s="1">
        <v>401.96</v>
      </c>
      <c r="H143" s="1" t="s">
        <v>6996</v>
      </c>
      <c r="I143" s="1" t="s">
        <v>6997</v>
      </c>
      <c r="J143" s="1" t="s">
        <v>6998</v>
      </c>
      <c r="K143" s="6">
        <f t="shared" si="2"/>
        <v>0.002494387628</v>
      </c>
      <c r="L143" s="7">
        <v>-0.010640071240881163</v>
      </c>
      <c r="M143" s="8">
        <f t="shared" si="1"/>
        <v>7037625</v>
      </c>
    </row>
    <row r="144">
      <c r="A144" s="9">
        <v>45713.0</v>
      </c>
      <c r="B144" s="1">
        <v>402.0</v>
      </c>
      <c r="C144" s="1">
        <v>407.0</v>
      </c>
      <c r="D144" s="1">
        <v>400.5</v>
      </c>
      <c r="E144" s="1">
        <v>401.9</v>
      </c>
      <c r="F144" s="1">
        <v>404.85</v>
      </c>
      <c r="G144" s="1">
        <v>404.11</v>
      </c>
      <c r="H144" s="1" t="s">
        <v>7002</v>
      </c>
      <c r="I144" s="1" t="s">
        <v>7003</v>
      </c>
      <c r="J144" s="1" t="s">
        <v>7004</v>
      </c>
      <c r="K144" s="6">
        <f t="shared" si="2"/>
        <v>0.007340134362</v>
      </c>
      <c r="L144" s="7">
        <v>-2.571680038663557E-4</v>
      </c>
      <c r="M144" s="8">
        <f t="shared" si="1"/>
        <v>15760891</v>
      </c>
    </row>
    <row r="145">
      <c r="A145" s="9">
        <v>45715.0</v>
      </c>
      <c r="B145" s="1">
        <v>404.85</v>
      </c>
      <c r="C145" s="1">
        <v>406.5</v>
      </c>
      <c r="D145" s="1">
        <v>399.5</v>
      </c>
      <c r="E145" s="1">
        <v>404.85</v>
      </c>
      <c r="F145" s="1">
        <v>401.6</v>
      </c>
      <c r="G145" s="1">
        <v>401.75</v>
      </c>
      <c r="H145" s="1" t="s">
        <v>7007</v>
      </c>
      <c r="I145" s="1" t="s">
        <v>7009</v>
      </c>
      <c r="J145" s="1" t="s">
        <v>7010</v>
      </c>
      <c r="K145" s="6">
        <f t="shared" si="2"/>
        <v>-0.008027664567</v>
      </c>
      <c r="L145" s="7">
        <v>-1.1087679149175853E-4</v>
      </c>
      <c r="M145" s="8">
        <f t="shared" si="1"/>
        <v>19051003</v>
      </c>
    </row>
    <row r="146">
      <c r="A146" s="9">
        <v>45716.0</v>
      </c>
      <c r="B146" s="1">
        <v>399.0</v>
      </c>
      <c r="C146" s="1">
        <v>402.5</v>
      </c>
      <c r="D146" s="1">
        <v>392.2</v>
      </c>
      <c r="E146" s="1">
        <v>401.6</v>
      </c>
      <c r="F146" s="1">
        <v>395.0</v>
      </c>
      <c r="G146" s="1">
        <v>394.79</v>
      </c>
      <c r="H146" s="1" t="s">
        <v>7011</v>
      </c>
      <c r="I146" s="1" t="s">
        <v>7014</v>
      </c>
      <c r="J146" s="1" t="s">
        <v>7016</v>
      </c>
      <c r="K146" s="6">
        <f t="shared" si="2"/>
        <v>-0.01643426295</v>
      </c>
      <c r="L146" s="7">
        <v>-0.018644891007116797</v>
      </c>
      <c r="M146" s="8">
        <f t="shared" si="1"/>
        <v>31954776</v>
      </c>
    </row>
    <row r="147">
      <c r="A147" s="3">
        <v>45719.0</v>
      </c>
      <c r="B147" s="1">
        <v>395.95</v>
      </c>
      <c r="C147" s="1">
        <v>399.0</v>
      </c>
      <c r="D147" s="1">
        <v>391.2</v>
      </c>
      <c r="E147" s="1">
        <v>395.0</v>
      </c>
      <c r="F147" s="1">
        <v>397.45</v>
      </c>
      <c r="G147" s="1">
        <v>396.98</v>
      </c>
      <c r="H147" s="1" t="s">
        <v>7017</v>
      </c>
      <c r="I147" s="1" t="s">
        <v>7018</v>
      </c>
      <c r="J147" s="1" t="s">
        <v>7020</v>
      </c>
      <c r="K147" s="6">
        <f t="shared" si="2"/>
        <v>0.006202531646</v>
      </c>
      <c r="L147" s="7">
        <v>-2.4407110604896133E-4</v>
      </c>
      <c r="M147" s="8">
        <f t="shared" si="1"/>
        <v>10702826</v>
      </c>
    </row>
    <row r="148">
      <c r="A148" s="3">
        <v>45720.0</v>
      </c>
      <c r="B148" s="1">
        <v>395.4</v>
      </c>
      <c r="C148" s="1">
        <v>397.2</v>
      </c>
      <c r="D148" s="1">
        <v>392.85</v>
      </c>
      <c r="E148" s="1">
        <v>397.45</v>
      </c>
      <c r="F148" s="1">
        <v>394.85</v>
      </c>
      <c r="G148" s="1">
        <v>394.38</v>
      </c>
      <c r="H148" s="1" t="s">
        <v>7026</v>
      </c>
      <c r="I148" s="1" t="s">
        <v>7028</v>
      </c>
      <c r="J148" s="1" t="s">
        <v>7030</v>
      </c>
      <c r="K148" s="6">
        <f t="shared" si="2"/>
        <v>-0.006541703359</v>
      </c>
      <c r="L148" s="7">
        <v>-0.001656924043708337</v>
      </c>
      <c r="M148" s="8">
        <f t="shared" si="1"/>
        <v>13404774</v>
      </c>
    </row>
    <row r="149">
      <c r="A149" s="3">
        <v>45721.0</v>
      </c>
      <c r="B149" s="1">
        <v>394.5</v>
      </c>
      <c r="C149" s="1">
        <v>412.75</v>
      </c>
      <c r="D149" s="1">
        <v>394.5</v>
      </c>
      <c r="E149" s="1">
        <v>394.85</v>
      </c>
      <c r="F149" s="1">
        <v>405.05</v>
      </c>
      <c r="G149" s="1">
        <v>399.82</v>
      </c>
      <c r="H149" s="1" t="s">
        <v>7032</v>
      </c>
      <c r="I149" s="1" t="s">
        <v>7033</v>
      </c>
      <c r="J149" s="1" t="s">
        <v>7034</v>
      </c>
      <c r="K149" s="6">
        <f t="shared" si="2"/>
        <v>0.02583259466</v>
      </c>
      <c r="L149" s="7">
        <v>0.011531677583985519</v>
      </c>
      <c r="M149" s="8">
        <f t="shared" si="1"/>
        <v>15665018</v>
      </c>
    </row>
    <row r="150">
      <c r="A150" s="3">
        <v>45722.0</v>
      </c>
      <c r="B150" s="1">
        <v>409.15</v>
      </c>
      <c r="C150" s="1">
        <v>409.7</v>
      </c>
      <c r="D150" s="1">
        <v>400.55</v>
      </c>
      <c r="E150" s="1">
        <v>405.05</v>
      </c>
      <c r="F150" s="1">
        <v>405.7</v>
      </c>
      <c r="G150" s="1">
        <v>403.66</v>
      </c>
      <c r="H150" s="1" t="s">
        <v>7038</v>
      </c>
      <c r="I150" s="1" t="s">
        <v>7039</v>
      </c>
      <c r="J150" s="1" t="s">
        <v>7040</v>
      </c>
      <c r="K150" s="6">
        <f t="shared" si="2"/>
        <v>0.001604740156</v>
      </c>
      <c r="L150" s="7">
        <v>0.009284918051868466</v>
      </c>
      <c r="M150" s="8">
        <f t="shared" si="1"/>
        <v>17869996</v>
      </c>
    </row>
    <row r="151">
      <c r="A151" s="3">
        <v>45723.0</v>
      </c>
      <c r="B151" s="1">
        <v>403.55</v>
      </c>
      <c r="C151" s="1">
        <v>405.85</v>
      </c>
      <c r="D151" s="1">
        <v>401.7</v>
      </c>
      <c r="E151" s="1">
        <v>405.7</v>
      </c>
      <c r="F151" s="1">
        <v>403.9</v>
      </c>
      <c r="G151" s="1">
        <v>403.66</v>
      </c>
      <c r="H151" s="1" t="s">
        <v>7046</v>
      </c>
      <c r="I151" s="1" t="s">
        <v>7047</v>
      </c>
      <c r="J151" s="1" t="s">
        <v>7049</v>
      </c>
      <c r="K151" s="6">
        <f t="shared" si="2"/>
        <v>-0.004436775943</v>
      </c>
      <c r="L151" s="7">
        <v>3.459793210820846E-4</v>
      </c>
      <c r="M151" s="8">
        <f t="shared" si="1"/>
        <v>11180761</v>
      </c>
    </row>
    <row r="152">
      <c r="A152" s="9">
        <v>45726.0</v>
      </c>
      <c r="B152" s="1">
        <v>401.05</v>
      </c>
      <c r="C152" s="1">
        <v>406.85</v>
      </c>
      <c r="D152" s="1">
        <v>400.4</v>
      </c>
      <c r="E152" s="1">
        <v>403.9</v>
      </c>
      <c r="F152" s="1">
        <v>405.0</v>
      </c>
      <c r="G152" s="1">
        <v>404.7</v>
      </c>
      <c r="H152" s="1" t="s">
        <v>7050</v>
      </c>
      <c r="I152" s="1" t="s">
        <v>7051</v>
      </c>
      <c r="J152" s="1" t="s">
        <v>7052</v>
      </c>
      <c r="K152" s="6">
        <f t="shared" si="2"/>
        <v>0.002723446398</v>
      </c>
      <c r="L152" s="7">
        <v>-0.004088238554484014</v>
      </c>
      <c r="M152" s="8">
        <f t="shared" si="1"/>
        <v>9785018</v>
      </c>
    </row>
    <row r="153">
      <c r="A153" s="9">
        <v>45727.0</v>
      </c>
      <c r="B153" s="1">
        <v>401.5</v>
      </c>
      <c r="C153" s="1">
        <v>408.4</v>
      </c>
      <c r="D153" s="1">
        <v>401.2</v>
      </c>
      <c r="E153" s="1">
        <v>405.0</v>
      </c>
      <c r="F153" s="1">
        <v>406.2</v>
      </c>
      <c r="G153" s="1">
        <v>406.58</v>
      </c>
      <c r="H153" s="1" t="s">
        <v>7056</v>
      </c>
      <c r="I153" s="1" t="s">
        <v>7057</v>
      </c>
      <c r="J153" s="1" t="s">
        <v>7058</v>
      </c>
      <c r="K153" s="6">
        <f t="shared" si="2"/>
        <v>0.002962962963</v>
      </c>
      <c r="L153" s="7">
        <v>0.0016740649056335927</v>
      </c>
      <c r="M153" s="8">
        <f t="shared" si="1"/>
        <v>11099475</v>
      </c>
    </row>
    <row r="154">
      <c r="A154" s="9">
        <v>45728.0</v>
      </c>
      <c r="B154" s="1">
        <v>406.4</v>
      </c>
      <c r="C154" s="1">
        <v>413.3</v>
      </c>
      <c r="D154" s="1">
        <v>404.0</v>
      </c>
      <c r="E154" s="1">
        <v>406.2</v>
      </c>
      <c r="F154" s="1">
        <v>412.4</v>
      </c>
      <c r="G154" s="1">
        <v>409.75</v>
      </c>
      <c r="H154" s="1" t="s">
        <v>7059</v>
      </c>
      <c r="I154" s="1" t="s">
        <v>7060</v>
      </c>
      <c r="J154" s="11">
        <v>99237.0</v>
      </c>
      <c r="K154" s="6">
        <f t="shared" si="2"/>
        <v>0.01526341704</v>
      </c>
      <c r="L154" s="7">
        <v>-0.0012178914476462894</v>
      </c>
      <c r="M154" s="8">
        <f t="shared" si="1"/>
        <v>13844306</v>
      </c>
    </row>
    <row r="155">
      <c r="A155" s="9">
        <v>45729.0</v>
      </c>
      <c r="B155" s="1">
        <v>413.0</v>
      </c>
      <c r="C155" s="1">
        <v>414.4</v>
      </c>
      <c r="D155" s="1">
        <v>408.2</v>
      </c>
      <c r="E155" s="1">
        <v>412.4</v>
      </c>
      <c r="F155" s="1">
        <v>412.05</v>
      </c>
      <c r="G155" s="1">
        <v>412.4</v>
      </c>
      <c r="H155" s="1" t="s">
        <v>7064</v>
      </c>
      <c r="I155" s="1" t="s">
        <v>7065</v>
      </c>
      <c r="J155" s="1" t="s">
        <v>7066</v>
      </c>
      <c r="K155" s="6">
        <f t="shared" si="2"/>
        <v>-0.0008486905917</v>
      </c>
      <c r="L155" s="7">
        <v>-0.003262054693932012</v>
      </c>
      <c r="M155" s="8">
        <f t="shared" si="1"/>
        <v>8196569</v>
      </c>
    </row>
    <row r="156">
      <c r="A156" s="9">
        <v>45733.0</v>
      </c>
      <c r="B156" s="1">
        <v>413.0</v>
      </c>
      <c r="C156" s="1">
        <v>416.25</v>
      </c>
      <c r="D156" s="1">
        <v>407.0</v>
      </c>
      <c r="E156" s="1">
        <v>412.05</v>
      </c>
      <c r="F156" s="1">
        <v>407.95</v>
      </c>
      <c r="G156" s="1">
        <v>409.81</v>
      </c>
      <c r="H156" s="1" t="s">
        <v>7070</v>
      </c>
      <c r="I156" s="1" t="s">
        <v>7071</v>
      </c>
      <c r="J156" s="11">
        <v>87899.0</v>
      </c>
      <c r="K156" s="6">
        <f t="shared" si="2"/>
        <v>-0.009950248756</v>
      </c>
      <c r="L156" s="7">
        <v>0.0049805332809458</v>
      </c>
      <c r="M156" s="8">
        <f t="shared" si="1"/>
        <v>5257859</v>
      </c>
    </row>
    <row r="157">
      <c r="A157" s="9">
        <v>45734.0</v>
      </c>
      <c r="B157" s="1">
        <v>410.0</v>
      </c>
      <c r="C157" s="1">
        <v>411.95</v>
      </c>
      <c r="D157" s="1">
        <v>407.75</v>
      </c>
      <c r="E157" s="1">
        <v>407.95</v>
      </c>
      <c r="F157" s="1">
        <v>409.1</v>
      </c>
      <c r="G157" s="1">
        <v>409.5</v>
      </c>
      <c r="H157" s="1" t="s">
        <v>7075</v>
      </c>
      <c r="I157" s="1" t="s">
        <v>7076</v>
      </c>
      <c r="J157" s="1" t="s">
        <v>7077</v>
      </c>
      <c r="K157" s="6">
        <f t="shared" si="2"/>
        <v>0.002818972913</v>
      </c>
      <c r="L157" s="7">
        <v>0.014463264286110925</v>
      </c>
      <c r="M157" s="8">
        <f t="shared" si="1"/>
        <v>13861897</v>
      </c>
    </row>
    <row r="158">
      <c r="A158" s="9">
        <v>45735.0</v>
      </c>
      <c r="B158" s="1">
        <v>410.0</v>
      </c>
      <c r="C158" s="1">
        <v>410.75</v>
      </c>
      <c r="D158" s="1">
        <v>402.6</v>
      </c>
      <c r="E158" s="1">
        <v>409.1</v>
      </c>
      <c r="F158" s="1">
        <v>403.05</v>
      </c>
      <c r="G158" s="1">
        <v>404.51</v>
      </c>
      <c r="H158" s="1" t="s">
        <v>7080</v>
      </c>
      <c r="I158" s="1" t="s">
        <v>7082</v>
      </c>
      <c r="J158" s="1" t="s">
        <v>7083</v>
      </c>
      <c r="K158" s="6">
        <f t="shared" si="2"/>
        <v>-0.01478856025</v>
      </c>
      <c r="L158" s="7">
        <v>0.0032100830767748203</v>
      </c>
      <c r="M158" s="8">
        <f t="shared" si="1"/>
        <v>12830387</v>
      </c>
    </row>
    <row r="159">
      <c r="A159" s="9">
        <v>45736.0</v>
      </c>
      <c r="B159" s="1">
        <v>405.0</v>
      </c>
      <c r="C159" s="1">
        <v>406.65</v>
      </c>
      <c r="D159" s="1">
        <v>401.9</v>
      </c>
      <c r="E159" s="1">
        <v>403.05</v>
      </c>
      <c r="F159" s="1">
        <v>403.95</v>
      </c>
      <c r="G159" s="1">
        <v>403.5</v>
      </c>
      <c r="H159" s="1" t="s">
        <v>7084</v>
      </c>
      <c r="I159" s="1" t="s">
        <v>7085</v>
      </c>
      <c r="J159" s="1" t="s">
        <v>7086</v>
      </c>
      <c r="K159" s="6">
        <f t="shared" si="2"/>
        <v>0.002232973576</v>
      </c>
      <c r="L159" s="7">
        <v>0.0123561612739878</v>
      </c>
      <c r="M159" s="8">
        <f t="shared" si="1"/>
        <v>16994037</v>
      </c>
    </row>
    <row r="160">
      <c r="A160" s="9">
        <v>45737.0</v>
      </c>
      <c r="B160" s="1">
        <v>405.95</v>
      </c>
      <c r="C160" s="1">
        <v>407.5</v>
      </c>
      <c r="D160" s="1">
        <v>401.7</v>
      </c>
      <c r="E160" s="1">
        <v>403.95</v>
      </c>
      <c r="F160" s="1">
        <v>405.55</v>
      </c>
      <c r="G160" s="1">
        <v>404.1</v>
      </c>
      <c r="H160" s="1" t="s">
        <v>7093</v>
      </c>
      <c r="I160" s="1" t="s">
        <v>7094</v>
      </c>
      <c r="J160" s="1" t="s">
        <v>7095</v>
      </c>
      <c r="K160" s="6">
        <f t="shared" si="2"/>
        <v>0.003960886248</v>
      </c>
      <c r="L160" s="7">
        <v>0.0068885520673202345</v>
      </c>
      <c r="M160" s="8">
        <f t="shared" si="1"/>
        <v>25302035</v>
      </c>
    </row>
    <row r="161">
      <c r="A161" s="9">
        <v>45740.0</v>
      </c>
      <c r="B161" s="1">
        <v>407.0</v>
      </c>
      <c r="C161" s="1">
        <v>412.85</v>
      </c>
      <c r="D161" s="1">
        <v>405.6</v>
      </c>
      <c r="E161" s="1">
        <v>405.55</v>
      </c>
      <c r="F161" s="1">
        <v>410.9</v>
      </c>
      <c r="G161" s="1">
        <v>409.64</v>
      </c>
      <c r="H161" s="1" t="s">
        <v>7098</v>
      </c>
      <c r="I161" s="1" t="s">
        <v>7100</v>
      </c>
      <c r="J161" s="1" t="s">
        <v>7101</v>
      </c>
      <c r="K161" s="6">
        <f t="shared" si="2"/>
        <v>0.01319196153</v>
      </c>
      <c r="L161" s="7">
        <v>0.013188210908592447</v>
      </c>
      <c r="M161" s="8">
        <f t="shared" si="1"/>
        <v>14362572</v>
      </c>
    </row>
    <row r="162">
      <c r="A162" s="9">
        <v>45741.0</v>
      </c>
      <c r="B162" s="1">
        <v>412.0</v>
      </c>
      <c r="C162" s="1">
        <v>415.25</v>
      </c>
      <c r="D162" s="1">
        <v>408.7</v>
      </c>
      <c r="E162" s="1">
        <v>410.9</v>
      </c>
      <c r="F162" s="1">
        <v>409.8</v>
      </c>
      <c r="G162" s="1">
        <v>411.17</v>
      </c>
      <c r="H162" s="1" t="s">
        <v>7102</v>
      </c>
      <c r="I162" s="1" t="s">
        <v>7104</v>
      </c>
      <c r="J162" s="1" t="s">
        <v>7105</v>
      </c>
      <c r="K162" s="6">
        <f t="shared" si="2"/>
        <v>-0.002677050377</v>
      </c>
      <c r="L162" s="7">
        <v>4.353642582852528E-4</v>
      </c>
      <c r="M162" s="8">
        <f t="shared" si="1"/>
        <v>20338110</v>
      </c>
    </row>
    <row r="163">
      <c r="A163" s="9">
        <v>45742.0</v>
      </c>
      <c r="B163" s="1">
        <v>410.3</v>
      </c>
      <c r="C163" s="1">
        <v>411.2</v>
      </c>
      <c r="D163" s="1">
        <v>406.25</v>
      </c>
      <c r="E163" s="1">
        <v>409.8</v>
      </c>
      <c r="F163" s="1">
        <v>407.35</v>
      </c>
      <c r="G163" s="1">
        <v>409.03</v>
      </c>
      <c r="H163" s="1" t="s">
        <v>7108</v>
      </c>
      <c r="I163" s="1" t="s">
        <v>7109</v>
      </c>
      <c r="J163" s="1" t="s">
        <v>7110</v>
      </c>
      <c r="K163" s="6">
        <f t="shared" si="2"/>
        <v>-0.00597852611</v>
      </c>
      <c r="L163" s="7">
        <v>-0.007681046447516141</v>
      </c>
      <c r="M163" s="8">
        <f t="shared" si="1"/>
        <v>13891436</v>
      </c>
    </row>
    <row r="164">
      <c r="A164" s="9">
        <v>45743.0</v>
      </c>
      <c r="B164" s="1">
        <v>408.0</v>
      </c>
      <c r="C164" s="1">
        <v>410.7</v>
      </c>
      <c r="D164" s="1">
        <v>405.65</v>
      </c>
      <c r="E164" s="1">
        <v>407.35</v>
      </c>
      <c r="F164" s="1">
        <v>409.45</v>
      </c>
      <c r="G164" s="1">
        <v>409.35</v>
      </c>
      <c r="H164" s="1" t="s">
        <v>7114</v>
      </c>
      <c r="I164" s="1" t="s">
        <v>7115</v>
      </c>
      <c r="J164" s="1" t="s">
        <v>7116</v>
      </c>
      <c r="K164" s="6">
        <f t="shared" si="2"/>
        <v>0.005155271879</v>
      </c>
      <c r="L164" s="7">
        <v>0.004474844434226054</v>
      </c>
      <c r="M164" s="8">
        <f t="shared" si="1"/>
        <v>18642328</v>
      </c>
    </row>
    <row r="165">
      <c r="A165" s="9">
        <v>45744.0</v>
      </c>
      <c r="B165" s="1">
        <v>410.9</v>
      </c>
      <c r="C165" s="1">
        <v>415.6</v>
      </c>
      <c r="D165" s="1">
        <v>408.15</v>
      </c>
      <c r="E165" s="1">
        <v>409.45</v>
      </c>
      <c r="F165" s="1">
        <v>409.75</v>
      </c>
      <c r="G165" s="1">
        <v>410.91</v>
      </c>
      <c r="H165" s="1" t="s">
        <v>7120</v>
      </c>
      <c r="I165" s="1" t="s">
        <v>7121</v>
      </c>
      <c r="J165" s="1" t="s">
        <v>7122</v>
      </c>
      <c r="K165" s="6">
        <f t="shared" si="2"/>
        <v>0.0007326901942</v>
      </c>
      <c r="L165" s="7">
        <v>-0.003077320865803894</v>
      </c>
      <c r="M165" s="8">
        <f t="shared" si="1"/>
        <v>12981873</v>
      </c>
    </row>
    <row r="166">
      <c r="A166" s="3">
        <v>45748.0</v>
      </c>
      <c r="B166" s="1">
        <v>409.8</v>
      </c>
      <c r="C166" s="1">
        <v>414.4</v>
      </c>
      <c r="D166" s="1">
        <v>405.6</v>
      </c>
      <c r="E166" s="1">
        <v>409.75</v>
      </c>
      <c r="F166" s="1">
        <v>406.65</v>
      </c>
      <c r="G166" s="1">
        <v>409.28</v>
      </c>
      <c r="H166" s="1" t="s">
        <v>7126</v>
      </c>
      <c r="I166" s="1" t="s">
        <v>7127</v>
      </c>
      <c r="J166" s="1" t="s">
        <v>7128</v>
      </c>
      <c r="K166" s="6">
        <f t="shared" si="2"/>
        <v>-0.007565588774</v>
      </c>
      <c r="L166" s="7">
        <v>-0.015036555006834706</v>
      </c>
      <c r="M166" s="8">
        <f t="shared" si="1"/>
        <v>15206240</v>
      </c>
    </row>
    <row r="167">
      <c r="A167" s="3">
        <v>45749.0</v>
      </c>
      <c r="B167" s="1">
        <v>407.05</v>
      </c>
      <c r="C167" s="1">
        <v>410.0</v>
      </c>
      <c r="D167" s="1">
        <v>406.05</v>
      </c>
      <c r="E167" s="1">
        <v>406.65</v>
      </c>
      <c r="F167" s="1">
        <v>409.05</v>
      </c>
      <c r="G167" s="1">
        <v>408.65</v>
      </c>
      <c r="H167" s="1" t="s">
        <v>7132</v>
      </c>
      <c r="I167" s="1" t="s">
        <v>7133</v>
      </c>
      <c r="J167" s="11">
        <v>72562.0</v>
      </c>
      <c r="K167" s="6">
        <f t="shared" si="2"/>
        <v>0.005901881225</v>
      </c>
      <c r="L167" s="7">
        <v>0.007193825353863592</v>
      </c>
      <c r="M167" s="8">
        <f t="shared" si="1"/>
        <v>8001323</v>
      </c>
    </row>
    <row r="168">
      <c r="A168" s="3">
        <v>45750.0</v>
      </c>
      <c r="B168" s="1">
        <v>407.05</v>
      </c>
      <c r="C168" s="1">
        <v>410.2</v>
      </c>
      <c r="D168" s="1">
        <v>406.7</v>
      </c>
      <c r="E168" s="1">
        <v>409.05</v>
      </c>
      <c r="F168" s="1">
        <v>409.4</v>
      </c>
      <c r="G168" s="1">
        <v>408.93</v>
      </c>
      <c r="H168" s="1" t="s">
        <v>7137</v>
      </c>
      <c r="I168" s="1" t="s">
        <v>7138</v>
      </c>
      <c r="J168" s="11">
        <v>78934.0</v>
      </c>
      <c r="K168" s="6">
        <f t="shared" si="2"/>
        <v>0.0008556411197</v>
      </c>
      <c r="L168" s="7">
        <v>-0.0035251485598321647</v>
      </c>
      <c r="M168" s="8">
        <f t="shared" si="1"/>
        <v>7059566</v>
      </c>
    </row>
    <row r="169">
      <c r="A169" s="3">
        <v>45751.0</v>
      </c>
      <c r="B169" s="1">
        <v>407.5</v>
      </c>
      <c r="C169" s="1">
        <v>412.8</v>
      </c>
      <c r="D169" s="1">
        <v>404.5</v>
      </c>
      <c r="E169" s="1">
        <v>409.4</v>
      </c>
      <c r="F169" s="1">
        <v>409.7</v>
      </c>
      <c r="G169" s="1">
        <v>409.44</v>
      </c>
      <c r="H169" s="1" t="s">
        <v>7142</v>
      </c>
      <c r="I169" s="1" t="s">
        <v>7143</v>
      </c>
      <c r="J169" s="1" t="s">
        <v>7144</v>
      </c>
      <c r="K169" s="6">
        <f t="shared" si="2"/>
        <v>0.0007327796776</v>
      </c>
      <c r="L169" s="7">
        <v>-0.014866602724289265</v>
      </c>
      <c r="M169" s="8">
        <f t="shared" si="1"/>
        <v>18627592</v>
      </c>
    </row>
    <row r="170">
      <c r="A170" s="3">
        <v>45754.0</v>
      </c>
      <c r="B170" s="1">
        <v>390.15</v>
      </c>
      <c r="C170" s="1">
        <v>408.1</v>
      </c>
      <c r="D170" s="1">
        <v>390.15</v>
      </c>
      <c r="E170" s="1">
        <v>409.7</v>
      </c>
      <c r="F170" s="1">
        <v>406.05</v>
      </c>
      <c r="G170" s="1">
        <v>403.02</v>
      </c>
      <c r="H170" s="1" t="s">
        <v>7148</v>
      </c>
      <c r="I170" s="1" t="s">
        <v>7149</v>
      </c>
      <c r="J170" s="1" t="s">
        <v>7150</v>
      </c>
      <c r="K170" s="6">
        <f t="shared" si="2"/>
        <v>-0.008908957774</v>
      </c>
      <c r="L170" s="7">
        <v>-0.03243256223135688</v>
      </c>
      <c r="M170" s="8">
        <f t="shared" si="1"/>
        <v>26762866</v>
      </c>
    </row>
    <row r="171">
      <c r="A171" s="3">
        <v>45755.0</v>
      </c>
      <c r="B171" s="1">
        <v>411.9</v>
      </c>
      <c r="C171" s="1">
        <v>415.8</v>
      </c>
      <c r="D171" s="1">
        <v>407.25</v>
      </c>
      <c r="E171" s="1">
        <v>406.05</v>
      </c>
      <c r="F171" s="1">
        <v>412.55</v>
      </c>
      <c r="G171" s="1">
        <v>411.57</v>
      </c>
      <c r="H171" s="1" t="s">
        <v>7155</v>
      </c>
      <c r="I171" s="1" t="s">
        <v>7157</v>
      </c>
      <c r="J171" s="1" t="s">
        <v>7159</v>
      </c>
      <c r="K171" s="6">
        <f t="shared" si="2"/>
        <v>0.0160078808</v>
      </c>
      <c r="L171" s="7">
        <v>0.016887318605154862</v>
      </c>
      <c r="M171" s="8">
        <f t="shared" si="1"/>
        <v>18600796</v>
      </c>
    </row>
    <row r="172">
      <c r="A172" s="3">
        <v>45756.0</v>
      </c>
      <c r="B172" s="1">
        <v>413.0</v>
      </c>
      <c r="C172" s="1">
        <v>419.05</v>
      </c>
      <c r="D172" s="1">
        <v>411.25</v>
      </c>
      <c r="E172" s="1">
        <v>412.55</v>
      </c>
      <c r="F172" s="1">
        <v>416.3</v>
      </c>
      <c r="G172" s="1">
        <v>416.41</v>
      </c>
      <c r="H172" s="1" t="s">
        <v>7163</v>
      </c>
      <c r="I172" s="1" t="s">
        <v>7164</v>
      </c>
      <c r="J172" s="1" t="s">
        <v>7165</v>
      </c>
      <c r="K172" s="6">
        <f t="shared" si="2"/>
        <v>0.009089807296</v>
      </c>
      <c r="L172" s="7">
        <v>-0.00606589056991403</v>
      </c>
      <c r="M172" s="8">
        <f t="shared" si="1"/>
        <v>21785572</v>
      </c>
    </row>
    <row r="173">
      <c r="A173" s="9">
        <v>45758.0</v>
      </c>
      <c r="B173" s="1">
        <v>420.0</v>
      </c>
      <c r="C173" s="1">
        <v>422.45</v>
      </c>
      <c r="D173" s="1">
        <v>417.0</v>
      </c>
      <c r="E173" s="1">
        <v>416.3</v>
      </c>
      <c r="F173" s="1">
        <v>421.55</v>
      </c>
      <c r="G173" s="1">
        <v>420.4</v>
      </c>
      <c r="H173" s="1" t="s">
        <v>7169</v>
      </c>
      <c r="I173" s="1" t="s">
        <v>7170</v>
      </c>
      <c r="J173" s="11">
        <v>98015.0</v>
      </c>
      <c r="K173" s="6">
        <f t="shared" si="2"/>
        <v>0.01261109777</v>
      </c>
      <c r="L173" s="7">
        <v>0.019170370304230196</v>
      </c>
      <c r="M173" s="8">
        <f t="shared" si="1"/>
        <v>8939356</v>
      </c>
    </row>
    <row r="174">
      <c r="A174" s="9">
        <v>45762.0</v>
      </c>
      <c r="B174" s="1">
        <v>429.2</v>
      </c>
      <c r="C174" s="1">
        <v>429.2</v>
      </c>
      <c r="D174" s="1">
        <v>419.0</v>
      </c>
      <c r="E174" s="1">
        <v>421.55</v>
      </c>
      <c r="F174" s="1">
        <v>420.4</v>
      </c>
      <c r="G174" s="1">
        <v>421.35</v>
      </c>
      <c r="H174" s="1" t="s">
        <v>7174</v>
      </c>
      <c r="I174" s="1" t="s">
        <v>7175</v>
      </c>
      <c r="J174" s="1" t="s">
        <v>7176</v>
      </c>
      <c r="K174" s="6">
        <f t="shared" si="2"/>
        <v>-0.002728027517</v>
      </c>
      <c r="L174" s="7">
        <v>0.021902398531663203</v>
      </c>
      <c r="M174" s="8">
        <f t="shared" si="1"/>
        <v>11685880</v>
      </c>
    </row>
    <row r="175">
      <c r="A175" s="9">
        <v>45763.0</v>
      </c>
      <c r="B175" s="1">
        <v>418.0</v>
      </c>
      <c r="C175" s="1">
        <v>426.05</v>
      </c>
      <c r="D175" s="1">
        <v>418.0</v>
      </c>
      <c r="E175" s="1">
        <v>420.4</v>
      </c>
      <c r="F175" s="1">
        <v>424.45</v>
      </c>
      <c r="G175" s="1">
        <v>423.29</v>
      </c>
      <c r="H175" s="1" t="s">
        <v>7180</v>
      </c>
      <c r="I175" s="1" t="s">
        <v>7181</v>
      </c>
      <c r="J175" s="1" t="s">
        <v>7182</v>
      </c>
      <c r="K175" s="6">
        <f t="shared" si="2"/>
        <v>0.009633682207</v>
      </c>
      <c r="L175" s="7">
        <v>0.0046573833350123115</v>
      </c>
      <c r="M175" s="8">
        <f t="shared" si="1"/>
        <v>13034594</v>
      </c>
    </row>
    <row r="176">
      <c r="A176" s="9">
        <v>45764.0</v>
      </c>
      <c r="B176" s="1">
        <v>425.0</v>
      </c>
      <c r="C176" s="1">
        <v>427.85</v>
      </c>
      <c r="D176" s="1">
        <v>421.55</v>
      </c>
      <c r="E176" s="1">
        <v>424.45</v>
      </c>
      <c r="F176" s="1">
        <v>427.25</v>
      </c>
      <c r="G176" s="1">
        <v>425.37</v>
      </c>
      <c r="H176" s="1" t="s">
        <v>7187</v>
      </c>
      <c r="I176" s="1" t="s">
        <v>7189</v>
      </c>
      <c r="J176" s="1" t="s">
        <v>7191</v>
      </c>
      <c r="K176" s="6">
        <f t="shared" si="2"/>
        <v>0.006596772294</v>
      </c>
      <c r="L176" s="7">
        <v>0.017683426347857283</v>
      </c>
      <c r="M176" s="8">
        <f t="shared" si="1"/>
        <v>22410217</v>
      </c>
    </row>
    <row r="177">
      <c r="A177" s="9">
        <v>45768.0</v>
      </c>
      <c r="B177" s="1">
        <v>428.05</v>
      </c>
      <c r="C177" s="1">
        <v>429.1</v>
      </c>
      <c r="D177" s="1">
        <v>421.5</v>
      </c>
      <c r="E177" s="1">
        <v>427.25</v>
      </c>
      <c r="F177" s="1">
        <v>422.85</v>
      </c>
      <c r="G177" s="1">
        <v>422.51</v>
      </c>
      <c r="H177" s="1" t="s">
        <v>7192</v>
      </c>
      <c r="I177" s="1" t="s">
        <v>7193</v>
      </c>
      <c r="J177" s="1" t="s">
        <v>7195</v>
      </c>
      <c r="K177" s="6">
        <f t="shared" si="2"/>
        <v>-0.01029842013</v>
      </c>
      <c r="L177" s="7">
        <v>0.011483482274811085</v>
      </c>
      <c r="M177" s="8">
        <f t="shared" si="1"/>
        <v>27388236</v>
      </c>
    </row>
    <row r="178">
      <c r="A178" s="9">
        <v>45769.0</v>
      </c>
      <c r="B178" s="1">
        <v>425.95</v>
      </c>
      <c r="C178" s="1">
        <v>434.8</v>
      </c>
      <c r="D178" s="1">
        <v>423.55</v>
      </c>
      <c r="E178" s="1">
        <v>422.85</v>
      </c>
      <c r="F178" s="1">
        <v>433.6</v>
      </c>
      <c r="G178" s="1">
        <v>427.96</v>
      </c>
      <c r="H178" s="1" t="s">
        <v>7198</v>
      </c>
      <c r="I178" s="1" t="s">
        <v>7199</v>
      </c>
      <c r="J178" s="1" t="s">
        <v>7200</v>
      </c>
      <c r="K178" s="6">
        <f t="shared" si="2"/>
        <v>0.02542272674</v>
      </c>
      <c r="L178" s="7">
        <v>0.0017284580040662588</v>
      </c>
      <c r="M178" s="8">
        <f t="shared" si="1"/>
        <v>32031936</v>
      </c>
    </row>
    <row r="179">
      <c r="A179" s="9">
        <v>45770.0</v>
      </c>
      <c r="B179" s="1">
        <v>436.2</v>
      </c>
      <c r="C179" s="1">
        <v>437.45</v>
      </c>
      <c r="D179" s="1">
        <v>428.85</v>
      </c>
      <c r="E179" s="1">
        <v>433.6</v>
      </c>
      <c r="F179" s="1">
        <v>430.85</v>
      </c>
      <c r="G179" s="1">
        <v>431.14</v>
      </c>
      <c r="H179" s="1" t="s">
        <v>7207</v>
      </c>
      <c r="I179" s="1" t="s">
        <v>7208</v>
      </c>
      <c r="J179" s="1" t="s">
        <v>7209</v>
      </c>
      <c r="K179" s="6">
        <f t="shared" si="2"/>
        <v>-0.006342250923</v>
      </c>
      <c r="L179" s="7">
        <v>0.006690872978928125</v>
      </c>
      <c r="M179" s="8">
        <f t="shared" si="1"/>
        <v>19566317</v>
      </c>
    </row>
    <row r="180">
      <c r="A180" s="9">
        <v>45771.0</v>
      </c>
      <c r="B180" s="1">
        <v>431.85</v>
      </c>
      <c r="C180" s="1">
        <v>436.05</v>
      </c>
      <c r="D180" s="1">
        <v>429.3</v>
      </c>
      <c r="E180" s="1">
        <v>430.85</v>
      </c>
      <c r="F180" s="1">
        <v>430.05</v>
      </c>
      <c r="G180" s="1">
        <v>431.79</v>
      </c>
      <c r="H180" s="1" t="s">
        <v>7213</v>
      </c>
      <c r="I180" s="1" t="s">
        <v>7214</v>
      </c>
      <c r="J180" s="1" t="s">
        <v>7215</v>
      </c>
      <c r="K180" s="6">
        <f t="shared" si="2"/>
        <v>-0.001856794708</v>
      </c>
      <c r="L180" s="7">
        <v>-0.0033807459836943227</v>
      </c>
      <c r="M180" s="8">
        <f t="shared" si="1"/>
        <v>26064089</v>
      </c>
    </row>
    <row r="181">
      <c r="A181" s="9">
        <v>45772.0</v>
      </c>
      <c r="B181" s="1">
        <v>430.05</v>
      </c>
      <c r="C181" s="1">
        <v>432.7</v>
      </c>
      <c r="D181" s="1">
        <v>423.3</v>
      </c>
      <c r="E181" s="1">
        <v>430.05</v>
      </c>
      <c r="F181" s="1">
        <v>427.8</v>
      </c>
      <c r="G181" s="1">
        <v>425.99</v>
      </c>
      <c r="H181" s="1" t="s">
        <v>7222</v>
      </c>
      <c r="I181" s="1" t="s">
        <v>7224</v>
      </c>
      <c r="J181" s="1" t="s">
        <v>7226</v>
      </c>
      <c r="K181" s="6">
        <f t="shared" si="2"/>
        <v>-0.005231949773</v>
      </c>
      <c r="L181" s="7">
        <v>-0.008551679197581616</v>
      </c>
      <c r="M181" s="8">
        <f t="shared" si="1"/>
        <v>22944377</v>
      </c>
    </row>
    <row r="182">
      <c r="A182" s="9">
        <v>45775.0</v>
      </c>
      <c r="B182" s="1">
        <v>426.65</v>
      </c>
      <c r="C182" s="1">
        <v>430.5</v>
      </c>
      <c r="D182" s="1">
        <v>424.75</v>
      </c>
      <c r="E182" s="1">
        <v>427.8</v>
      </c>
      <c r="F182" s="1">
        <v>428.8</v>
      </c>
      <c r="G182" s="1">
        <v>428.56</v>
      </c>
      <c r="H182" s="1" t="s">
        <v>7230</v>
      </c>
      <c r="I182" s="1" t="s">
        <v>7232</v>
      </c>
      <c r="J182" s="11">
        <v>73016.0</v>
      </c>
      <c r="K182" s="6">
        <f t="shared" si="2"/>
        <v>0.002337540907</v>
      </c>
      <c r="L182" s="7">
        <v>0.012028195437896677</v>
      </c>
      <c r="M182" s="8">
        <f t="shared" si="1"/>
        <v>6287095</v>
      </c>
    </row>
    <row r="183">
      <c r="A183" s="9">
        <v>45776.0</v>
      </c>
      <c r="B183" s="1">
        <v>428.9</v>
      </c>
      <c r="C183" s="1">
        <v>429.6</v>
      </c>
      <c r="D183" s="1">
        <v>425.0</v>
      </c>
      <c r="E183" s="1">
        <v>428.8</v>
      </c>
      <c r="F183" s="1">
        <v>426.0</v>
      </c>
      <c r="G183" s="1">
        <v>426.31</v>
      </c>
      <c r="H183" s="1" t="s">
        <v>7235</v>
      </c>
      <c r="I183" s="1" t="s">
        <v>7236</v>
      </c>
      <c r="J183" s="1" t="s">
        <v>7237</v>
      </c>
      <c r="K183" s="6">
        <f t="shared" si="2"/>
        <v>-0.006529850746</v>
      </c>
      <c r="L183" s="7">
        <v>3.062252091169093E-4</v>
      </c>
      <c r="M183" s="8">
        <f t="shared" si="1"/>
        <v>11189930</v>
      </c>
    </row>
    <row r="184">
      <c r="A184" s="9">
        <v>45777.0</v>
      </c>
      <c r="B184" s="1">
        <v>427.4</v>
      </c>
      <c r="C184" s="1">
        <v>429.3</v>
      </c>
      <c r="D184" s="1">
        <v>422.0</v>
      </c>
      <c r="E184" s="1">
        <v>426.0</v>
      </c>
      <c r="F184" s="1">
        <v>425.8</v>
      </c>
      <c r="G184" s="1">
        <v>426.72</v>
      </c>
      <c r="H184" s="1" t="s">
        <v>7241</v>
      </c>
      <c r="I184" s="1" t="s">
        <v>7242</v>
      </c>
      <c r="J184" s="1" t="s">
        <v>7243</v>
      </c>
      <c r="K184" s="6">
        <f t="shared" si="2"/>
        <v>-0.0004694835681</v>
      </c>
      <c r="L184" s="7">
        <v>-7.191007542339626E-5</v>
      </c>
      <c r="M184" s="8">
        <f t="shared" si="1"/>
        <v>10026546</v>
      </c>
    </row>
    <row r="185">
      <c r="A185" s="12">
        <v>45779.0</v>
      </c>
      <c r="B185" s="1">
        <v>424.1</v>
      </c>
      <c r="C185" s="1">
        <v>431.5</v>
      </c>
      <c r="D185" s="1">
        <v>424.1</v>
      </c>
      <c r="E185" s="1">
        <v>425.8</v>
      </c>
      <c r="F185" s="1">
        <v>430.25</v>
      </c>
      <c r="G185" s="1">
        <v>428.82</v>
      </c>
      <c r="H185" s="1" t="s">
        <v>7247</v>
      </c>
      <c r="I185" s="1" t="s">
        <v>7248</v>
      </c>
      <c r="J185" s="1" t="s">
        <v>7249</v>
      </c>
      <c r="K185" s="6">
        <f t="shared" si="2"/>
        <v>0.01045091592</v>
      </c>
      <c r="L185" s="7">
        <v>5.136803346730116E-4</v>
      </c>
      <c r="M185" s="8">
        <f t="shared" si="1"/>
        <v>12769461</v>
      </c>
    </row>
    <row r="186">
      <c r="A186" s="12">
        <v>45782.0</v>
      </c>
      <c r="B186" s="1">
        <v>430.25</v>
      </c>
      <c r="C186" s="1">
        <v>438.5</v>
      </c>
      <c r="D186" s="1">
        <v>429.35</v>
      </c>
      <c r="E186" s="1">
        <v>430.25</v>
      </c>
      <c r="F186" s="1">
        <v>436.95</v>
      </c>
      <c r="G186" s="1">
        <v>436.11</v>
      </c>
      <c r="H186" s="1" t="s">
        <v>7252</v>
      </c>
      <c r="I186" s="1" t="s">
        <v>7253</v>
      </c>
      <c r="J186" s="1" t="s">
        <v>7254</v>
      </c>
      <c r="K186" s="6">
        <f t="shared" si="2"/>
        <v>0.01557234166</v>
      </c>
      <c r="L186" s="7">
        <v>0.004700842413961675</v>
      </c>
      <c r="M186" s="8">
        <f t="shared" si="1"/>
        <v>11525305</v>
      </c>
    </row>
    <row r="187">
      <c r="A187" s="12">
        <v>45783.0</v>
      </c>
      <c r="B187" s="1">
        <v>437.5</v>
      </c>
      <c r="C187" s="1">
        <v>439.65</v>
      </c>
      <c r="D187" s="1">
        <v>433.0</v>
      </c>
      <c r="E187" s="1">
        <v>436.95</v>
      </c>
      <c r="F187" s="1">
        <v>435.55</v>
      </c>
      <c r="G187" s="1">
        <v>436.24</v>
      </c>
      <c r="H187" s="1" t="s">
        <v>7255</v>
      </c>
      <c r="I187" s="1" t="s">
        <v>7256</v>
      </c>
      <c r="J187" s="1" t="s">
        <v>7257</v>
      </c>
      <c r="K187" s="6">
        <f t="shared" si="2"/>
        <v>-0.003204027921</v>
      </c>
      <c r="L187" s="7">
        <v>-0.003333857974788712</v>
      </c>
      <c r="M187" s="8">
        <f t="shared" si="1"/>
        <v>15026568</v>
      </c>
    </row>
    <row r="188">
      <c r="A188" s="12">
        <v>45784.0</v>
      </c>
      <c r="B188" s="1">
        <v>433.4</v>
      </c>
      <c r="C188" s="1">
        <v>435.0</v>
      </c>
      <c r="D188" s="1">
        <v>429.7</v>
      </c>
      <c r="E188" s="1">
        <v>435.55</v>
      </c>
      <c r="F188" s="1">
        <v>431.15</v>
      </c>
      <c r="G188" s="1">
        <v>431.77</v>
      </c>
      <c r="H188" s="1" t="s">
        <v>7258</v>
      </c>
      <c r="I188" s="1" t="s">
        <v>7259</v>
      </c>
      <c r="J188" s="1" t="s">
        <v>7260</v>
      </c>
      <c r="K188" s="6">
        <f t="shared" si="2"/>
        <v>-0.01010216967</v>
      </c>
      <c r="L188" s="7">
        <v>0.0014274229273656218</v>
      </c>
      <c r="M188" s="8">
        <f t="shared" si="1"/>
        <v>9710361</v>
      </c>
    </row>
    <row r="189">
      <c r="A189" s="12">
        <v>45785.0</v>
      </c>
      <c r="B189" s="1">
        <v>429.0</v>
      </c>
      <c r="C189" s="1">
        <v>431.5</v>
      </c>
      <c r="D189" s="1">
        <v>423.55</v>
      </c>
      <c r="E189" s="1">
        <v>431.15</v>
      </c>
      <c r="F189" s="1">
        <v>430.6</v>
      </c>
      <c r="G189" s="1">
        <v>428.99</v>
      </c>
      <c r="H189" s="1" t="s">
        <v>7264</v>
      </c>
      <c r="I189" s="1" t="s">
        <v>7265</v>
      </c>
      <c r="J189" s="1" t="s">
        <v>7266</v>
      </c>
      <c r="K189" s="6">
        <f t="shared" si="2"/>
        <v>-0.001275658124</v>
      </c>
      <c r="L189" s="7">
        <v>-0.005758896389016407</v>
      </c>
      <c r="M189" s="8">
        <f t="shared" si="1"/>
        <v>19937960</v>
      </c>
    </row>
    <row r="190">
      <c r="A190" s="12">
        <v>45786.0</v>
      </c>
      <c r="B190" s="1">
        <v>425.95</v>
      </c>
      <c r="C190" s="1">
        <v>429.15</v>
      </c>
      <c r="D190" s="1">
        <v>423.0</v>
      </c>
      <c r="E190" s="1">
        <v>430.6</v>
      </c>
      <c r="F190" s="1">
        <v>423.55</v>
      </c>
      <c r="G190" s="1">
        <v>425.58</v>
      </c>
      <c r="H190" s="1" t="s">
        <v>7270</v>
      </c>
      <c r="I190" s="1" t="s">
        <v>7271</v>
      </c>
      <c r="J190" s="1" t="s">
        <v>7272</v>
      </c>
      <c r="K190" s="6">
        <f t="shared" si="2"/>
        <v>-0.01637250348</v>
      </c>
      <c r="L190" s="7">
        <v>-0.01095007786172743</v>
      </c>
      <c r="M190" s="8">
        <f t="shared" si="1"/>
        <v>8226512</v>
      </c>
    </row>
    <row r="191">
      <c r="A191" s="13">
        <v>45789.0</v>
      </c>
      <c r="B191" s="1">
        <v>429.5</v>
      </c>
      <c r="C191" s="1">
        <v>436.2</v>
      </c>
      <c r="D191" s="1">
        <v>428.15</v>
      </c>
      <c r="E191" s="1">
        <v>423.55</v>
      </c>
      <c r="F191" s="1">
        <v>435.5</v>
      </c>
      <c r="G191" s="1">
        <v>433.63</v>
      </c>
      <c r="H191" s="1" t="s">
        <v>7276</v>
      </c>
      <c r="I191" s="1" t="s">
        <v>7277</v>
      </c>
      <c r="J191" s="11">
        <v>78145.0</v>
      </c>
      <c r="K191" s="6">
        <f t="shared" si="2"/>
        <v>0.02821390627</v>
      </c>
      <c r="L191" s="7">
        <v>0.03818310563145621</v>
      </c>
      <c r="M191" s="8">
        <f t="shared" si="1"/>
        <v>8031891</v>
      </c>
    </row>
    <row r="192">
      <c r="A192" s="13">
        <v>45790.0</v>
      </c>
      <c r="B192" s="1">
        <v>434.9</v>
      </c>
      <c r="C192" s="1">
        <v>437.95</v>
      </c>
      <c r="D192" s="1">
        <v>425.35</v>
      </c>
      <c r="E192" s="1">
        <v>435.5</v>
      </c>
      <c r="F192" s="1">
        <v>427.9</v>
      </c>
      <c r="G192" s="1">
        <v>429.47</v>
      </c>
      <c r="H192" s="1" t="s">
        <v>7281</v>
      </c>
      <c r="I192" s="1" t="s">
        <v>7282</v>
      </c>
      <c r="J192" s="1" t="s">
        <v>7283</v>
      </c>
      <c r="K192" s="6">
        <f t="shared" si="2"/>
        <v>-0.01745120551</v>
      </c>
      <c r="L192" s="7">
        <v>-0.01389585431319142</v>
      </c>
      <c r="M192" s="8">
        <f t="shared" si="1"/>
        <v>14976369</v>
      </c>
    </row>
    <row r="193">
      <c r="A193" s="13">
        <v>45791.0</v>
      </c>
      <c r="B193" s="1">
        <v>427.1</v>
      </c>
      <c r="C193" s="1">
        <v>431.85</v>
      </c>
      <c r="D193" s="1">
        <v>425.9</v>
      </c>
      <c r="E193" s="1">
        <v>427.9</v>
      </c>
      <c r="F193" s="1">
        <v>429.1</v>
      </c>
      <c r="G193" s="1">
        <v>428.65</v>
      </c>
      <c r="H193" s="1" t="s">
        <v>7287</v>
      </c>
      <c r="I193" s="1" t="s">
        <v>7288</v>
      </c>
      <c r="J193" s="11">
        <v>96326.0</v>
      </c>
      <c r="K193" s="6">
        <f t="shared" si="2"/>
        <v>0.00280439355</v>
      </c>
      <c r="L193" s="7">
        <v>0.0036027642213575326</v>
      </c>
      <c r="M193" s="8">
        <f t="shared" si="1"/>
        <v>9557309</v>
      </c>
    </row>
    <row r="194">
      <c r="A194" s="13">
        <v>45792.0</v>
      </c>
      <c r="B194" s="1">
        <v>429.1</v>
      </c>
      <c r="C194" s="1">
        <v>435.4</v>
      </c>
      <c r="D194" s="1">
        <v>426.0</v>
      </c>
      <c r="E194" s="1">
        <v>429.1</v>
      </c>
      <c r="F194" s="1">
        <v>432.65</v>
      </c>
      <c r="G194" s="1">
        <v>431.14</v>
      </c>
      <c r="H194" s="1" t="s">
        <v>7292</v>
      </c>
      <c r="I194" s="1" t="s">
        <v>7293</v>
      </c>
      <c r="J194" s="1" t="s">
        <v>7294</v>
      </c>
      <c r="K194" s="6">
        <f t="shared" si="2"/>
        <v>0.008273129807</v>
      </c>
      <c r="L194" s="7">
        <v>0.01602147006717492</v>
      </c>
      <c r="M194" s="8">
        <f t="shared" si="1"/>
        <v>24263510</v>
      </c>
    </row>
    <row r="195">
      <c r="A195" s="13">
        <v>45793.0</v>
      </c>
      <c r="B195" s="1">
        <v>434.9</v>
      </c>
      <c r="C195" s="1">
        <v>436.2</v>
      </c>
      <c r="D195" s="1">
        <v>432.1</v>
      </c>
      <c r="E195" s="1">
        <v>432.65</v>
      </c>
      <c r="F195" s="1">
        <v>435.7</v>
      </c>
      <c r="G195" s="1">
        <v>434.74</v>
      </c>
      <c r="H195" s="1" t="s">
        <v>7298</v>
      </c>
      <c r="I195" s="1" t="s">
        <v>7299</v>
      </c>
      <c r="J195" s="1" t="s">
        <v>7300</v>
      </c>
      <c r="K195" s="6">
        <f t="shared" si="2"/>
        <v>0.007049578181</v>
      </c>
      <c r="L195" s="7">
        <v>-0.0016878074862042396</v>
      </c>
      <c r="M195" s="8">
        <f t="shared" si="1"/>
        <v>16402035</v>
      </c>
    </row>
    <row r="196">
      <c r="A196" s="13">
        <v>45796.0</v>
      </c>
      <c r="B196" s="1">
        <v>435.0</v>
      </c>
      <c r="C196" s="1">
        <v>438.5</v>
      </c>
      <c r="D196" s="1">
        <v>432.65</v>
      </c>
      <c r="E196" s="1">
        <v>435.7</v>
      </c>
      <c r="F196" s="1">
        <v>435.35</v>
      </c>
      <c r="G196" s="1">
        <v>435.0</v>
      </c>
      <c r="H196" s="1" t="s">
        <v>7304</v>
      </c>
      <c r="I196" s="1" t="s">
        <v>7305</v>
      </c>
      <c r="J196" s="1" t="s">
        <v>7306</v>
      </c>
      <c r="K196" s="6">
        <f t="shared" si="2"/>
        <v>-0.0008033050264</v>
      </c>
      <c r="L196" s="7">
        <v>-0.0029716464560067845</v>
      </c>
      <c r="M196" s="8">
        <f t="shared" si="1"/>
        <v>7543854</v>
      </c>
    </row>
    <row r="197">
      <c r="A197" s="13">
        <v>45797.0</v>
      </c>
      <c r="B197" s="1">
        <v>437.0</v>
      </c>
      <c r="C197" s="1">
        <v>440.8</v>
      </c>
      <c r="D197" s="1">
        <v>432.9</v>
      </c>
      <c r="E197" s="1">
        <v>435.35</v>
      </c>
      <c r="F197" s="1">
        <v>434.9</v>
      </c>
      <c r="G197" s="1">
        <v>436.58</v>
      </c>
      <c r="H197" s="1" t="s">
        <v>7310</v>
      </c>
      <c r="I197" s="1" t="s">
        <v>7311</v>
      </c>
      <c r="J197" s="1" t="s">
        <v>7312</v>
      </c>
      <c r="K197" s="6">
        <f t="shared" si="2"/>
        <v>-0.001033651085</v>
      </c>
      <c r="L197" s="7">
        <v>-0.01048487800380427</v>
      </c>
      <c r="M197" s="8">
        <f t="shared" si="1"/>
        <v>9868414</v>
      </c>
    </row>
    <row r="198">
      <c r="A198" s="13">
        <v>45798.0</v>
      </c>
      <c r="B198" s="1">
        <v>436.6</v>
      </c>
      <c r="C198" s="1">
        <v>438.2</v>
      </c>
      <c r="D198" s="1">
        <v>432.0</v>
      </c>
      <c r="E198" s="1">
        <v>434.9</v>
      </c>
      <c r="F198" s="1">
        <v>433.0</v>
      </c>
      <c r="G198" s="1">
        <v>435.04</v>
      </c>
      <c r="H198" s="1" t="s">
        <v>7316</v>
      </c>
      <c r="I198" s="1" t="s">
        <v>7317</v>
      </c>
      <c r="J198" s="11">
        <v>64175.0</v>
      </c>
      <c r="K198" s="6">
        <f t="shared" si="2"/>
        <v>-0.004368820418</v>
      </c>
      <c r="L198" s="7">
        <v>0.0052483602672186835</v>
      </c>
      <c r="M198" s="8">
        <f t="shared" si="1"/>
        <v>5776672</v>
      </c>
    </row>
    <row r="199">
      <c r="A199" s="13">
        <v>45799.0</v>
      </c>
      <c r="B199" s="1">
        <v>433.0</v>
      </c>
      <c r="C199" s="1">
        <v>433.0</v>
      </c>
      <c r="D199" s="1">
        <v>422.9</v>
      </c>
      <c r="E199" s="1">
        <v>433.0</v>
      </c>
      <c r="F199" s="1">
        <v>426.1</v>
      </c>
      <c r="G199" s="1">
        <v>425.53</v>
      </c>
      <c r="H199" s="1" t="s">
        <v>7321</v>
      </c>
      <c r="I199" s="1" t="s">
        <v>7322</v>
      </c>
      <c r="J199" s="1" t="s">
        <v>7323</v>
      </c>
      <c r="K199" s="6">
        <f t="shared" si="2"/>
        <v>-0.01593533487</v>
      </c>
      <c r="L199" s="7">
        <v>-0.00821127251551074</v>
      </c>
      <c r="M199" s="8">
        <f t="shared" si="1"/>
        <v>19451749</v>
      </c>
    </row>
    <row r="200">
      <c r="A200" s="13">
        <v>45800.0</v>
      </c>
      <c r="B200" s="1">
        <v>434.0</v>
      </c>
      <c r="C200" s="1">
        <v>439.0</v>
      </c>
      <c r="D200" s="1">
        <v>429.0</v>
      </c>
      <c r="E200" s="1">
        <v>426.1</v>
      </c>
      <c r="F200" s="1">
        <v>436.3</v>
      </c>
      <c r="G200" s="1">
        <v>435.32</v>
      </c>
      <c r="H200" s="1" t="s">
        <v>7327</v>
      </c>
      <c r="I200" s="1" t="s">
        <v>7328</v>
      </c>
      <c r="J200" s="1" t="s">
        <v>7329</v>
      </c>
      <c r="K200" s="6">
        <f t="shared" si="2"/>
        <v>0.02393804271</v>
      </c>
      <c r="L200" s="7">
        <v>0.009892440785543941</v>
      </c>
      <c r="M200" s="8">
        <f t="shared" si="1"/>
        <v>18536884</v>
      </c>
    </row>
    <row r="201">
      <c r="A201" s="13">
        <v>45803.0</v>
      </c>
      <c r="B201" s="1">
        <v>438.25</v>
      </c>
      <c r="C201" s="1">
        <v>443.55</v>
      </c>
      <c r="D201" s="1">
        <v>436.75</v>
      </c>
      <c r="E201" s="1">
        <v>436.3</v>
      </c>
      <c r="F201" s="1">
        <v>442.9</v>
      </c>
      <c r="G201" s="1">
        <v>440.19</v>
      </c>
      <c r="H201" s="1" t="s">
        <v>7333</v>
      </c>
      <c r="I201" s="1" t="s">
        <v>7334</v>
      </c>
      <c r="J201" s="1" t="s">
        <v>7335</v>
      </c>
      <c r="K201" s="6">
        <f t="shared" si="2"/>
        <v>0.01512720605</v>
      </c>
      <c r="L201" s="7">
        <v>0.005954979549875971</v>
      </c>
      <c r="M201" s="8">
        <f t="shared" si="1"/>
        <v>13107662</v>
      </c>
    </row>
    <row r="202">
      <c r="A202" s="13">
        <v>45804.0</v>
      </c>
      <c r="B202" s="1">
        <v>442.9</v>
      </c>
      <c r="C202" s="1">
        <v>444.2</v>
      </c>
      <c r="D202" s="1">
        <v>430.85</v>
      </c>
      <c r="E202" s="1">
        <v>442.9</v>
      </c>
      <c r="F202" s="1">
        <v>433.9</v>
      </c>
      <c r="G202" s="1">
        <v>436.39</v>
      </c>
      <c r="H202" s="1" t="s">
        <v>7339</v>
      </c>
      <c r="I202" s="1" t="s">
        <v>7340</v>
      </c>
      <c r="J202" s="1" t="s">
        <v>7341</v>
      </c>
      <c r="K202" s="6">
        <f t="shared" si="2"/>
        <v>-0.02032061413</v>
      </c>
      <c r="L202" s="7">
        <v>-0.0069976781068071155</v>
      </c>
      <c r="M202" s="8">
        <f t="shared" si="1"/>
        <v>26986022</v>
      </c>
    </row>
    <row r="203">
      <c r="A203" s="13">
        <v>45805.0</v>
      </c>
      <c r="B203" s="1">
        <v>417.7</v>
      </c>
      <c r="C203" s="1">
        <v>422.6</v>
      </c>
      <c r="D203" s="1">
        <v>413.0</v>
      </c>
      <c r="E203" s="1">
        <v>433.9</v>
      </c>
      <c r="F203" s="1">
        <v>420.2</v>
      </c>
      <c r="G203" s="1">
        <v>415.08</v>
      </c>
      <c r="H203" s="1" t="s">
        <v>7345</v>
      </c>
      <c r="I203" s="1" t="s">
        <v>7346</v>
      </c>
      <c r="J203" s="1" t="s">
        <v>7347</v>
      </c>
      <c r="K203" s="6">
        <f t="shared" si="2"/>
        <v>-0.03157409541</v>
      </c>
      <c r="L203" s="7">
        <v>-0.0029706519725129095</v>
      </c>
      <c r="M203" s="8">
        <f t="shared" si="1"/>
        <v>431851622</v>
      </c>
    </row>
    <row r="204">
      <c r="A204" s="13">
        <v>45806.0</v>
      </c>
      <c r="B204" s="1">
        <v>422.0</v>
      </c>
      <c r="C204" s="1">
        <v>422.8</v>
      </c>
      <c r="D204" s="1">
        <v>416.6</v>
      </c>
      <c r="E204" s="1">
        <v>420.2</v>
      </c>
      <c r="F204" s="1">
        <v>418.75</v>
      </c>
      <c r="G204" s="1">
        <v>418.44</v>
      </c>
      <c r="H204" s="1" t="s">
        <v>7351</v>
      </c>
      <c r="I204" s="1" t="s">
        <v>7352</v>
      </c>
      <c r="J204" s="1" t="s">
        <v>7353</v>
      </c>
      <c r="K204" s="6">
        <f t="shared" si="2"/>
        <v>-0.003450737744</v>
      </c>
      <c r="L204" s="7">
        <v>0.0032784633440325226</v>
      </c>
      <c r="M204" s="8">
        <f t="shared" si="1"/>
        <v>21478547</v>
      </c>
    </row>
    <row r="205">
      <c r="A205" s="13">
        <v>45807.0</v>
      </c>
      <c r="B205" s="1">
        <v>419.1</v>
      </c>
      <c r="C205" s="1">
        <v>420.05</v>
      </c>
      <c r="D205" s="1">
        <v>416.4</v>
      </c>
      <c r="E205" s="1">
        <v>418.75</v>
      </c>
      <c r="F205" s="1">
        <v>418.05</v>
      </c>
      <c r="G205" s="1">
        <v>417.87</v>
      </c>
      <c r="H205" s="1" t="s">
        <v>7357</v>
      </c>
      <c r="I205" s="1" t="s">
        <v>7358</v>
      </c>
      <c r="J205" s="1" t="s">
        <v>7359</v>
      </c>
      <c r="K205" s="6">
        <f t="shared" si="2"/>
        <v>-0.001671641791</v>
      </c>
      <c r="L205" s="7">
        <v>-0.0033382191869079725</v>
      </c>
      <c r="M205" s="8">
        <f t="shared" si="1"/>
        <v>30656239</v>
      </c>
    </row>
    <row r="206">
      <c r="A206" s="3">
        <v>45810.0</v>
      </c>
      <c r="B206" s="1">
        <v>418.3</v>
      </c>
      <c r="C206" s="1">
        <v>420.45</v>
      </c>
      <c r="D206" s="1">
        <v>414.55</v>
      </c>
      <c r="E206" s="1">
        <v>418.05</v>
      </c>
      <c r="F206" s="1">
        <v>419.3</v>
      </c>
      <c r="G206" s="1">
        <v>418.16</v>
      </c>
      <c r="H206" s="1" t="s">
        <v>7363</v>
      </c>
      <c r="I206" s="1" t="s">
        <v>7364</v>
      </c>
      <c r="J206" s="1" t="s">
        <v>7365</v>
      </c>
      <c r="K206" s="6">
        <f t="shared" si="2"/>
        <v>0.002990072958</v>
      </c>
      <c r="L206" s="7">
        <v>-0.0013777388114276437</v>
      </c>
      <c r="M206" s="8">
        <f t="shared" si="1"/>
        <v>14973380</v>
      </c>
    </row>
    <row r="207">
      <c r="A207" s="3">
        <v>45811.0</v>
      </c>
      <c r="B207" s="1">
        <v>419.0</v>
      </c>
      <c r="C207" s="1">
        <v>421.7</v>
      </c>
      <c r="D207" s="1">
        <v>415.65</v>
      </c>
      <c r="E207" s="1">
        <v>419.3</v>
      </c>
      <c r="F207" s="1">
        <v>416.95</v>
      </c>
      <c r="G207" s="1">
        <v>418.03</v>
      </c>
      <c r="H207" s="1" t="s">
        <v>7369</v>
      </c>
      <c r="I207" s="1" t="s">
        <v>7370</v>
      </c>
      <c r="J207" s="1" t="s">
        <v>7371</v>
      </c>
      <c r="K207" s="6">
        <f t="shared" si="2"/>
        <v>-0.00560457906</v>
      </c>
      <c r="L207" s="7">
        <v>-0.007043849073092519</v>
      </c>
      <c r="M207" s="8">
        <f t="shared" si="1"/>
        <v>13216486</v>
      </c>
    </row>
    <row r="208">
      <c r="A208" s="3">
        <v>45812.0</v>
      </c>
      <c r="B208" s="1">
        <v>417.15</v>
      </c>
      <c r="C208" s="1">
        <v>419.0</v>
      </c>
      <c r="D208" s="1">
        <v>415.95</v>
      </c>
      <c r="E208" s="1">
        <v>416.95</v>
      </c>
      <c r="F208" s="1">
        <v>417.0</v>
      </c>
      <c r="G208" s="1">
        <v>417.14</v>
      </c>
      <c r="H208" s="1" t="s">
        <v>7375</v>
      </c>
      <c r="I208" s="1" t="s">
        <v>7376</v>
      </c>
      <c r="J208" s="1" t="s">
        <v>7377</v>
      </c>
      <c r="K208" s="6">
        <f t="shared" si="2"/>
        <v>0.0001199184555</v>
      </c>
      <c r="L208" s="7">
        <v>0.003165936640521574</v>
      </c>
      <c r="M208" s="8">
        <f t="shared" si="1"/>
        <v>12598933</v>
      </c>
    </row>
    <row r="209">
      <c r="A209" s="3">
        <v>45813.0</v>
      </c>
      <c r="B209" s="1">
        <v>418.5</v>
      </c>
      <c r="C209" s="1">
        <v>420.95</v>
      </c>
      <c r="D209" s="1">
        <v>415.75</v>
      </c>
      <c r="E209" s="1">
        <v>417.0</v>
      </c>
      <c r="F209" s="1">
        <v>419.1</v>
      </c>
      <c r="G209" s="1">
        <v>418.56</v>
      </c>
      <c r="H209" s="1" t="s">
        <v>7381</v>
      </c>
      <c r="I209" s="1" t="s">
        <v>7382</v>
      </c>
      <c r="J209" s="1" t="s">
        <v>7383</v>
      </c>
      <c r="K209" s="6">
        <f t="shared" si="2"/>
        <v>0.005035971223</v>
      </c>
      <c r="L209" s="7">
        <v>0.005308648995540277</v>
      </c>
      <c r="M209" s="8">
        <f t="shared" si="1"/>
        <v>13212523</v>
      </c>
    </row>
    <row r="210">
      <c r="A210" s="3">
        <v>45814.0</v>
      </c>
      <c r="B210" s="1">
        <v>420.3</v>
      </c>
      <c r="C210" s="1">
        <v>421.3</v>
      </c>
      <c r="D210" s="1">
        <v>419.0</v>
      </c>
      <c r="E210" s="1">
        <v>419.1</v>
      </c>
      <c r="F210" s="1">
        <v>421.05</v>
      </c>
      <c r="G210" s="1">
        <v>420.36</v>
      </c>
      <c r="H210" s="1" t="s">
        <v>7387</v>
      </c>
      <c r="I210" s="1" t="s">
        <v>7388</v>
      </c>
      <c r="J210" s="1" t="s">
        <v>7389</v>
      </c>
      <c r="K210" s="6">
        <f t="shared" si="2"/>
        <v>0.004652827487</v>
      </c>
      <c r="L210" s="7">
        <v>0.010187508333030225</v>
      </c>
      <c r="M210" s="8">
        <f t="shared" si="1"/>
        <v>8774988</v>
      </c>
    </row>
    <row r="211">
      <c r="A211" s="3">
        <v>45817.0</v>
      </c>
      <c r="B211" s="1">
        <v>422.0</v>
      </c>
      <c r="C211" s="1">
        <v>423.6</v>
      </c>
      <c r="D211" s="1">
        <v>420.5</v>
      </c>
      <c r="E211" s="1">
        <v>421.05</v>
      </c>
      <c r="F211" s="1">
        <v>423.05</v>
      </c>
      <c r="G211" s="1">
        <v>422.61</v>
      </c>
      <c r="H211" s="1" t="s">
        <v>7393</v>
      </c>
      <c r="I211" s="1" t="s">
        <v>7394</v>
      </c>
      <c r="J211" s="1" t="s">
        <v>7395</v>
      </c>
      <c r="K211" s="6">
        <f t="shared" si="2"/>
        <v>0.004750029688</v>
      </c>
      <c r="L211" s="7">
        <v>0.004005511327618089</v>
      </c>
      <c r="M211" s="8">
        <f t="shared" si="1"/>
        <v>10473123</v>
      </c>
    </row>
    <row r="212">
      <c r="A212" s="9">
        <v>45818.0</v>
      </c>
      <c r="B212" s="1">
        <v>424.5</v>
      </c>
      <c r="C212" s="1">
        <v>428.55</v>
      </c>
      <c r="D212" s="1">
        <v>423.05</v>
      </c>
      <c r="E212" s="1">
        <v>423.05</v>
      </c>
      <c r="F212" s="1">
        <v>427.0</v>
      </c>
      <c r="G212" s="1">
        <v>426.58</v>
      </c>
      <c r="H212" s="1" t="s">
        <v>7399</v>
      </c>
      <c r="I212" s="1" t="s">
        <v>7400</v>
      </c>
      <c r="J212" s="1" t="s">
        <v>7401</v>
      </c>
      <c r="K212" s="6">
        <f t="shared" si="2"/>
        <v>0.009336957806</v>
      </c>
      <c r="L212" s="7">
        <v>4.1827336753851E-5</v>
      </c>
      <c r="M212" s="8">
        <f t="shared" si="1"/>
        <v>13041075</v>
      </c>
    </row>
    <row r="213">
      <c r="A213" s="9">
        <v>45819.0</v>
      </c>
      <c r="B213" s="1">
        <v>428.0</v>
      </c>
      <c r="C213" s="1">
        <v>428.1</v>
      </c>
      <c r="D213" s="1">
        <v>424.85</v>
      </c>
      <c r="E213" s="1">
        <v>427.0</v>
      </c>
      <c r="F213" s="1">
        <v>426.15</v>
      </c>
      <c r="G213" s="1">
        <v>426.47</v>
      </c>
      <c r="H213" s="1" t="s">
        <v>7405</v>
      </c>
      <c r="I213" s="1" t="s">
        <v>7406</v>
      </c>
      <c r="J213" s="1" t="s">
        <v>7407</v>
      </c>
      <c r="K213" s="6">
        <f t="shared" si="2"/>
        <v>-0.001990632319</v>
      </c>
      <c r="L213" s="7">
        <v>0.001479829112600514</v>
      </c>
      <c r="M213" s="8">
        <f t="shared" si="1"/>
        <v>20789182</v>
      </c>
    </row>
    <row r="214">
      <c r="A214" s="9">
        <v>45820.0</v>
      </c>
      <c r="B214" s="1">
        <v>427.0</v>
      </c>
      <c r="C214" s="1">
        <v>427.2</v>
      </c>
      <c r="D214" s="1">
        <v>419.55</v>
      </c>
      <c r="E214" s="1">
        <v>426.15</v>
      </c>
      <c r="F214" s="1">
        <v>421.0</v>
      </c>
      <c r="G214" s="1">
        <v>421.78</v>
      </c>
      <c r="H214" s="1" t="s">
        <v>7411</v>
      </c>
      <c r="I214" s="1" t="s">
        <v>7412</v>
      </c>
      <c r="J214" s="1" t="s">
        <v>7413</v>
      </c>
      <c r="K214" s="6">
        <f t="shared" si="2"/>
        <v>-0.01208494662</v>
      </c>
      <c r="L214" s="7">
        <v>-0.010071038207896168</v>
      </c>
      <c r="M214" s="8">
        <f t="shared" si="1"/>
        <v>18508835</v>
      </c>
    </row>
    <row r="215">
      <c r="A215" s="9">
        <v>45821.0</v>
      </c>
      <c r="B215" s="1">
        <v>415.0</v>
      </c>
      <c r="C215" s="1">
        <v>419.35</v>
      </c>
      <c r="D215" s="1">
        <v>413.5</v>
      </c>
      <c r="E215" s="1">
        <v>421.0</v>
      </c>
      <c r="F215" s="1">
        <v>413.9</v>
      </c>
      <c r="G215" s="1">
        <v>416.29</v>
      </c>
      <c r="H215" s="1" t="s">
        <v>7417</v>
      </c>
      <c r="I215" s="1" t="s">
        <v>7418</v>
      </c>
      <c r="J215" s="1" t="s">
        <v>7419</v>
      </c>
      <c r="K215" s="6">
        <f t="shared" si="2"/>
        <v>-0.01686460808</v>
      </c>
      <c r="L215" s="7">
        <v>-0.00681447432920027</v>
      </c>
      <c r="M215" s="8">
        <f t="shared" si="1"/>
        <v>17873926</v>
      </c>
    </row>
    <row r="216">
      <c r="A216" s="9">
        <v>45824.0</v>
      </c>
      <c r="B216" s="1">
        <v>414.95</v>
      </c>
      <c r="C216" s="1">
        <v>418.9</v>
      </c>
      <c r="D216" s="1">
        <v>413.25</v>
      </c>
      <c r="E216" s="1">
        <v>413.9</v>
      </c>
      <c r="F216" s="1">
        <v>418.2</v>
      </c>
      <c r="G216" s="1">
        <v>417.32</v>
      </c>
      <c r="H216" s="1" t="s">
        <v>7422</v>
      </c>
      <c r="I216" s="1" t="s">
        <v>7423</v>
      </c>
      <c r="J216" s="1" t="s">
        <v>7424</v>
      </c>
      <c r="K216" s="6">
        <f t="shared" si="2"/>
        <v>0.01038898285</v>
      </c>
      <c r="L216" s="7">
        <v>0.00921977781913221</v>
      </c>
      <c r="M216" s="8">
        <f t="shared" si="1"/>
        <v>7006629</v>
      </c>
    </row>
    <row r="217">
      <c r="A217" s="9">
        <v>45825.0</v>
      </c>
      <c r="B217" s="1">
        <v>418.1</v>
      </c>
      <c r="C217" s="1">
        <v>419.05</v>
      </c>
      <c r="D217" s="1">
        <v>415.7</v>
      </c>
      <c r="E217" s="1">
        <v>418.2</v>
      </c>
      <c r="F217" s="1">
        <v>417.4</v>
      </c>
      <c r="G217" s="1">
        <v>417.33</v>
      </c>
      <c r="H217" s="1" t="s">
        <v>7428</v>
      </c>
      <c r="I217" s="1" t="s">
        <v>7429</v>
      </c>
      <c r="J217" s="1" t="s">
        <v>7430</v>
      </c>
      <c r="K217" s="6">
        <f t="shared" si="2"/>
        <v>-0.001912960306</v>
      </c>
      <c r="L217" s="7">
        <v>-0.0037319864510050927</v>
      </c>
      <c r="M217" s="8">
        <f t="shared" si="1"/>
        <v>9028406</v>
      </c>
    </row>
    <row r="218">
      <c r="A218" s="9">
        <v>45826.0</v>
      </c>
      <c r="B218" s="1">
        <v>417.0</v>
      </c>
      <c r="C218" s="1">
        <v>418.45</v>
      </c>
      <c r="D218" s="1">
        <v>414.9</v>
      </c>
      <c r="E218" s="1">
        <v>417.4</v>
      </c>
      <c r="F218" s="1">
        <v>415.9</v>
      </c>
      <c r="G218" s="1">
        <v>416.11</v>
      </c>
      <c r="H218" s="1" t="s">
        <v>7434</v>
      </c>
      <c r="I218" s="1" t="s">
        <v>7435</v>
      </c>
      <c r="J218" s="1" t="s">
        <v>7436</v>
      </c>
      <c r="K218" s="6">
        <f t="shared" si="2"/>
        <v>-0.003593675132</v>
      </c>
      <c r="L218" s="7">
        <v>-0.0016637562667482992</v>
      </c>
      <c r="M218" s="8">
        <f t="shared" si="1"/>
        <v>8036215</v>
      </c>
    </row>
    <row r="219">
      <c r="A219" s="9">
        <v>45827.0</v>
      </c>
      <c r="B219" s="1">
        <v>415.65</v>
      </c>
      <c r="C219" s="1">
        <v>418.25</v>
      </c>
      <c r="D219" s="1">
        <v>414.8</v>
      </c>
      <c r="E219" s="1">
        <v>415.9</v>
      </c>
      <c r="F219" s="1">
        <v>416.0</v>
      </c>
      <c r="G219" s="1">
        <v>416.72</v>
      </c>
      <c r="H219" s="1" t="s">
        <v>7440</v>
      </c>
      <c r="I219" s="1" t="s">
        <v>7441</v>
      </c>
      <c r="J219" s="11">
        <v>91846.0</v>
      </c>
      <c r="K219" s="6">
        <f t="shared" si="2"/>
        <v>0.000240442414</v>
      </c>
      <c r="L219" s="7">
        <v>-7.576963612438018E-4</v>
      </c>
      <c r="M219" s="8">
        <f t="shared" si="1"/>
        <v>12601006</v>
      </c>
    </row>
    <row r="220">
      <c r="A220" s="9">
        <v>45828.0</v>
      </c>
      <c r="B220" s="1">
        <v>416.0</v>
      </c>
      <c r="C220" s="1">
        <v>419.5</v>
      </c>
      <c r="D220" s="1">
        <v>416.0</v>
      </c>
      <c r="E220" s="1">
        <v>416.0</v>
      </c>
      <c r="F220" s="1">
        <v>418.55</v>
      </c>
      <c r="G220" s="1">
        <v>418.46</v>
      </c>
      <c r="H220" s="1" t="s">
        <v>7445</v>
      </c>
      <c r="I220" s="1" t="s">
        <v>7446</v>
      </c>
      <c r="J220" s="1" t="s">
        <v>7447</v>
      </c>
      <c r="K220" s="6">
        <f t="shared" si="2"/>
        <v>0.006129807692</v>
      </c>
      <c r="L220" s="7">
        <v>0.012872455204541618</v>
      </c>
      <c r="M220" s="8">
        <f t="shared" si="1"/>
        <v>13203184</v>
      </c>
    </row>
    <row r="221">
      <c r="A221" s="9">
        <v>45831.0</v>
      </c>
      <c r="B221" s="1">
        <v>417.0</v>
      </c>
      <c r="C221" s="1">
        <v>417.5</v>
      </c>
      <c r="D221" s="1">
        <v>411.75</v>
      </c>
      <c r="E221" s="1">
        <v>418.55</v>
      </c>
      <c r="F221" s="1">
        <v>413.9</v>
      </c>
      <c r="G221" s="1">
        <v>415.0</v>
      </c>
      <c r="H221" s="1" t="s">
        <v>7451</v>
      </c>
      <c r="I221" s="1" t="s">
        <v>7452</v>
      </c>
      <c r="J221" s="1" t="s">
        <v>7453</v>
      </c>
      <c r="K221" s="6">
        <f t="shared" si="2"/>
        <v>-0.01110978378</v>
      </c>
      <c r="L221" s="7">
        <v>-0.005594845574297956</v>
      </c>
      <c r="M221" s="8">
        <f t="shared" si="1"/>
        <v>14839890</v>
      </c>
    </row>
    <row r="222">
      <c r="A222" s="9">
        <v>45832.0</v>
      </c>
      <c r="B222" s="1">
        <v>416.9</v>
      </c>
      <c r="C222" s="1">
        <v>420.65</v>
      </c>
      <c r="D222" s="1">
        <v>413.75</v>
      </c>
      <c r="E222" s="1">
        <v>413.9</v>
      </c>
      <c r="F222" s="1">
        <v>414.35</v>
      </c>
      <c r="G222" s="1">
        <v>416.39</v>
      </c>
      <c r="H222" s="1" t="s">
        <v>7457</v>
      </c>
      <c r="I222" s="1" t="s">
        <v>7458</v>
      </c>
      <c r="J222" s="1" t="s">
        <v>7460</v>
      </c>
      <c r="K222" s="6">
        <f t="shared" si="2"/>
        <v>0.001087219135</v>
      </c>
      <c r="L222" s="7">
        <v>0.0029012610173834224</v>
      </c>
      <c r="M222" s="8">
        <f t="shared" si="1"/>
        <v>16690068</v>
      </c>
    </row>
    <row r="223">
      <c r="A223" s="9">
        <v>45833.0</v>
      </c>
      <c r="B223" s="1">
        <v>416.4</v>
      </c>
      <c r="C223" s="1">
        <v>418.15</v>
      </c>
      <c r="D223" s="1">
        <v>415.1</v>
      </c>
      <c r="E223" s="1">
        <v>414.35</v>
      </c>
      <c r="F223" s="1">
        <v>416.35</v>
      </c>
      <c r="G223" s="1">
        <v>416.89</v>
      </c>
      <c r="H223" s="1" t="s">
        <v>7465</v>
      </c>
      <c r="I223" s="1" t="s">
        <v>7467</v>
      </c>
      <c r="J223" s="1" t="s">
        <v>7468</v>
      </c>
      <c r="K223" s="6">
        <f t="shared" si="2"/>
        <v>0.004826837215</v>
      </c>
      <c r="L223" s="7">
        <v>0.008001804798287895</v>
      </c>
      <c r="M223" s="8">
        <f t="shared" si="1"/>
        <v>9946718</v>
      </c>
    </row>
    <row r="224">
      <c r="A224" s="9">
        <v>45834.0</v>
      </c>
      <c r="B224" s="1">
        <v>417.2</v>
      </c>
      <c r="C224" s="1">
        <v>420.9</v>
      </c>
      <c r="D224" s="1">
        <v>416.25</v>
      </c>
      <c r="E224" s="1">
        <v>416.35</v>
      </c>
      <c r="F224" s="1">
        <v>420.3</v>
      </c>
      <c r="G224" s="1">
        <v>418.46</v>
      </c>
      <c r="H224" s="1" t="s">
        <v>7472</v>
      </c>
      <c r="I224" s="1" t="s">
        <v>7473</v>
      </c>
      <c r="J224" s="1" t="s">
        <v>7474</v>
      </c>
      <c r="K224" s="6">
        <f t="shared" si="2"/>
        <v>0.00948721028</v>
      </c>
      <c r="L224" s="7">
        <v>0.01205201081412967</v>
      </c>
      <c r="M224" s="8">
        <f t="shared" si="1"/>
        <v>13703918</v>
      </c>
    </row>
    <row r="225">
      <c r="A225" s="9">
        <v>45835.0</v>
      </c>
      <c r="B225" s="1">
        <v>421.0</v>
      </c>
      <c r="C225" s="1">
        <v>422.0</v>
      </c>
      <c r="D225" s="1">
        <v>417.8</v>
      </c>
      <c r="E225" s="1">
        <v>420.3</v>
      </c>
      <c r="F225" s="1">
        <v>418.65</v>
      </c>
      <c r="G225" s="1">
        <v>419.38</v>
      </c>
      <c r="H225" s="1" t="s">
        <v>7478</v>
      </c>
      <c r="I225" s="1" t="s">
        <v>7479</v>
      </c>
      <c r="J225" s="1" t="s">
        <v>7480</v>
      </c>
      <c r="K225" s="6">
        <f t="shared" si="2"/>
        <v>-0.003925767309</v>
      </c>
      <c r="L225" s="7">
        <v>0.003475674194684695</v>
      </c>
      <c r="M225" s="8">
        <f t="shared" si="1"/>
        <v>21409935</v>
      </c>
    </row>
    <row r="226">
      <c r="A226" s="9">
        <v>45838.0</v>
      </c>
      <c r="B226" s="1">
        <v>419.8</v>
      </c>
      <c r="C226" s="1">
        <v>420.75</v>
      </c>
      <c r="D226" s="1">
        <v>415.8</v>
      </c>
      <c r="E226" s="1">
        <v>418.65</v>
      </c>
      <c r="F226" s="1">
        <v>416.45</v>
      </c>
      <c r="G226" s="1">
        <v>417.37</v>
      </c>
      <c r="H226" s="1" t="s">
        <v>7484</v>
      </c>
      <c r="I226" s="1" t="s">
        <v>7485</v>
      </c>
      <c r="J226" s="1" t="s">
        <v>7486</v>
      </c>
      <c r="K226" s="6">
        <f t="shared" si="2"/>
        <v>-0.005254986265</v>
      </c>
      <c r="L226" s="7">
        <v>-0.004709842498186272</v>
      </c>
      <c r="M226" s="8">
        <f t="shared" si="1"/>
        <v>12317124</v>
      </c>
    </row>
    <row r="227">
      <c r="A227" s="3">
        <v>45839.0</v>
      </c>
      <c r="B227" s="1">
        <v>417.0</v>
      </c>
      <c r="C227" s="1">
        <v>418.85</v>
      </c>
      <c r="D227" s="1">
        <v>414.9</v>
      </c>
      <c r="E227" s="1">
        <v>416.45</v>
      </c>
      <c r="F227" s="1">
        <v>415.1</v>
      </c>
      <c r="G227" s="1">
        <v>416.37</v>
      </c>
      <c r="H227" s="1" t="s">
        <v>7490</v>
      </c>
      <c r="I227" s="1" t="s">
        <v>7491</v>
      </c>
      <c r="J227" s="1" t="s">
        <v>7492</v>
      </c>
      <c r="K227" s="6">
        <f t="shared" si="2"/>
        <v>-0.003241685677</v>
      </c>
      <c r="L227" s="7">
        <v>9.699397069802348E-4</v>
      </c>
      <c r="M227" s="8">
        <f t="shared" si="1"/>
        <v>13670465</v>
      </c>
    </row>
    <row r="228">
      <c r="A228" s="3">
        <v>45840.0</v>
      </c>
      <c r="B228" s="1">
        <v>416.9</v>
      </c>
      <c r="C228" s="1">
        <v>416.9</v>
      </c>
      <c r="D228" s="1">
        <v>411.7</v>
      </c>
      <c r="E228" s="1">
        <v>415.1</v>
      </c>
      <c r="F228" s="1">
        <v>412.95</v>
      </c>
      <c r="G228" s="1">
        <v>413.58</v>
      </c>
      <c r="H228" s="1" t="s">
        <v>7496</v>
      </c>
      <c r="I228" s="1" t="s">
        <v>7497</v>
      </c>
      <c r="J228" s="1" t="s">
        <v>7498</v>
      </c>
      <c r="K228" s="6">
        <f t="shared" si="2"/>
        <v>-0.005179474825</v>
      </c>
      <c r="L228" s="7">
        <v>-0.00346099335207377</v>
      </c>
      <c r="M228" s="8">
        <f t="shared" si="1"/>
        <v>15990899</v>
      </c>
    </row>
    <row r="229">
      <c r="A229" s="3">
        <v>45841.0</v>
      </c>
      <c r="B229" s="1">
        <v>414.0</v>
      </c>
      <c r="C229" s="1">
        <v>416.0</v>
      </c>
      <c r="D229" s="1">
        <v>411.25</v>
      </c>
      <c r="E229" s="1">
        <v>412.95</v>
      </c>
      <c r="F229" s="1">
        <v>413.35</v>
      </c>
      <c r="G229" s="1">
        <v>413.57</v>
      </c>
      <c r="H229" s="1" t="s">
        <v>7502</v>
      </c>
      <c r="I229" s="1" t="s">
        <v>7503</v>
      </c>
      <c r="J229" s="1" t="s">
        <v>7504</v>
      </c>
      <c r="K229" s="6">
        <f t="shared" si="2"/>
        <v>0.0009686402712</v>
      </c>
      <c r="L229" s="7">
        <v>-0.0018897278948982132</v>
      </c>
      <c r="M229" s="8">
        <f t="shared" si="1"/>
        <v>14185298</v>
      </c>
    </row>
    <row r="230">
      <c r="A230" s="3">
        <v>45842.0</v>
      </c>
      <c r="B230" s="1">
        <v>414.9</v>
      </c>
      <c r="C230" s="1">
        <v>415.0</v>
      </c>
      <c r="D230" s="1">
        <v>411.75</v>
      </c>
      <c r="E230" s="1">
        <v>413.35</v>
      </c>
      <c r="F230" s="1">
        <v>412.55</v>
      </c>
      <c r="G230" s="1">
        <v>412.8</v>
      </c>
      <c r="H230" s="1" t="s">
        <v>7508</v>
      </c>
      <c r="I230" s="1" t="s">
        <v>7509</v>
      </c>
      <c r="J230" s="1" t="s">
        <v>7510</v>
      </c>
      <c r="K230" s="6">
        <f t="shared" si="2"/>
        <v>-0.00193540583</v>
      </c>
      <c r="L230" s="7">
        <v>0.0021924559048702723</v>
      </c>
      <c r="M230" s="8">
        <f t="shared" si="1"/>
        <v>8256733</v>
      </c>
    </row>
    <row r="231">
      <c r="A231" s="3">
        <v>45845.0</v>
      </c>
      <c r="B231" s="1">
        <v>413.0</v>
      </c>
      <c r="C231" s="1">
        <v>417.2</v>
      </c>
      <c r="D231" s="1">
        <v>412.0</v>
      </c>
      <c r="E231" s="1">
        <v>412.55</v>
      </c>
      <c r="F231" s="1">
        <v>416.15</v>
      </c>
      <c r="G231" s="1">
        <v>415.88</v>
      </c>
      <c r="H231" s="1" t="s">
        <v>7514</v>
      </c>
      <c r="I231" s="1" t="s">
        <v>7515</v>
      </c>
      <c r="J231" s="1" t="s">
        <v>7516</v>
      </c>
      <c r="K231" s="6">
        <f t="shared" si="2"/>
        <v>0.008726215004</v>
      </c>
      <c r="L231" s="7">
        <v>1.1782726522888827E-5</v>
      </c>
      <c r="M231" s="8">
        <f t="shared" si="1"/>
        <v>6845218</v>
      </c>
    </row>
    <row r="232">
      <c r="A232" s="3">
        <v>45846.0</v>
      </c>
      <c r="B232" s="1">
        <v>416.15</v>
      </c>
      <c r="C232" s="1">
        <v>418.1</v>
      </c>
      <c r="D232" s="1">
        <v>414.65</v>
      </c>
      <c r="E232" s="1">
        <v>416.15</v>
      </c>
      <c r="F232" s="1">
        <v>417.2</v>
      </c>
      <c r="G232" s="1">
        <v>416.46</v>
      </c>
      <c r="H232" s="1" t="s">
        <v>7520</v>
      </c>
      <c r="I232" s="1" t="s">
        <v>7521</v>
      </c>
      <c r="J232" s="11">
        <v>76566.0</v>
      </c>
      <c r="K232" s="6">
        <f t="shared" si="2"/>
        <v>0.00252312868</v>
      </c>
      <c r="L232" s="7">
        <v>0.002403647889149444</v>
      </c>
      <c r="M232" s="8">
        <f t="shared" si="1"/>
        <v>6807192</v>
      </c>
    </row>
    <row r="233">
      <c r="A233" s="3">
        <v>45847.0</v>
      </c>
      <c r="B233" s="1">
        <v>416.2</v>
      </c>
      <c r="C233" s="1">
        <v>420.3</v>
      </c>
      <c r="D233" s="1">
        <v>415.45</v>
      </c>
      <c r="E233" s="1">
        <v>417.2</v>
      </c>
      <c r="F233" s="1">
        <v>419.45</v>
      </c>
      <c r="G233" s="1">
        <v>419.08</v>
      </c>
      <c r="H233" s="1" t="s">
        <v>7525</v>
      </c>
      <c r="I233" s="1" t="s">
        <v>7526</v>
      </c>
      <c r="J233" s="1" t="s">
        <v>7527</v>
      </c>
      <c r="K233" s="6">
        <f t="shared" si="2"/>
        <v>0.005393096836</v>
      </c>
      <c r="L233" s="7">
        <v>-0.0018180037222059538</v>
      </c>
      <c r="M233" s="8">
        <f t="shared" si="1"/>
        <v>9930533</v>
      </c>
    </row>
    <row r="234">
      <c r="A234" s="9">
        <v>45848.0</v>
      </c>
      <c r="B234" s="1">
        <v>420.3</v>
      </c>
      <c r="C234" s="1">
        <v>420.3</v>
      </c>
      <c r="D234" s="1">
        <v>416.4</v>
      </c>
      <c r="E234" s="1">
        <v>419.45</v>
      </c>
      <c r="F234" s="1">
        <v>416.85</v>
      </c>
      <c r="G234" s="1">
        <v>417.61</v>
      </c>
      <c r="H234" s="1" t="s">
        <v>7531</v>
      </c>
      <c r="I234" s="1" t="s">
        <v>7532</v>
      </c>
      <c r="J234" s="11">
        <v>76333.0</v>
      </c>
      <c r="K234" s="6">
        <f t="shared" si="2"/>
        <v>-0.006198593396</v>
      </c>
      <c r="L234" s="7">
        <v>-0.004743661706462079</v>
      </c>
      <c r="M234" s="8">
        <f t="shared" si="1"/>
        <v>6220360</v>
      </c>
    </row>
    <row r="235">
      <c r="A235" s="9">
        <v>45849.0</v>
      </c>
      <c r="B235" s="1">
        <v>417.0</v>
      </c>
      <c r="C235" s="1">
        <v>418.05</v>
      </c>
      <c r="D235" s="1">
        <v>415.5</v>
      </c>
      <c r="E235" s="1">
        <v>416.85</v>
      </c>
      <c r="F235" s="1">
        <v>416.8</v>
      </c>
      <c r="G235" s="1">
        <v>416.92</v>
      </c>
      <c r="H235" s="1" t="s">
        <v>7536</v>
      </c>
      <c r="I235" s="1" t="s">
        <v>7537</v>
      </c>
      <c r="J235" s="11">
        <v>96778.0</v>
      </c>
      <c r="K235" s="6">
        <f t="shared" si="2"/>
        <v>-0.0001199472232</v>
      </c>
      <c r="L235" s="7">
        <v>-0.008100886404196426</v>
      </c>
      <c r="M235" s="8">
        <f t="shared" si="1"/>
        <v>8578844</v>
      </c>
    </row>
    <row r="236">
      <c r="A236" s="9">
        <v>45852.0</v>
      </c>
      <c r="B236" s="1">
        <v>417.05</v>
      </c>
      <c r="C236" s="1">
        <v>419.95</v>
      </c>
      <c r="D236" s="1">
        <v>416.55</v>
      </c>
      <c r="E236" s="1">
        <v>416.8</v>
      </c>
      <c r="F236" s="1">
        <v>419.4</v>
      </c>
      <c r="G236" s="1">
        <v>418.9</v>
      </c>
      <c r="H236" s="1" t="s">
        <v>7541</v>
      </c>
      <c r="I236" s="1" t="s">
        <v>7542</v>
      </c>
      <c r="J236" s="11">
        <v>94592.0</v>
      </c>
      <c r="K236" s="6">
        <f t="shared" si="2"/>
        <v>0.006238003839</v>
      </c>
      <c r="L236" s="7">
        <v>-0.0026859007111374135</v>
      </c>
      <c r="M236" s="8">
        <f t="shared" si="1"/>
        <v>6896989</v>
      </c>
    </row>
    <row r="237">
      <c r="A237" s="9">
        <v>45853.0</v>
      </c>
      <c r="B237" s="1">
        <v>420.9</v>
      </c>
      <c r="C237" s="1">
        <v>422.4</v>
      </c>
      <c r="D237" s="1">
        <v>419.0</v>
      </c>
      <c r="E237" s="1">
        <v>419.4</v>
      </c>
      <c r="F237" s="1">
        <v>422.1</v>
      </c>
      <c r="G237" s="1">
        <v>421.37</v>
      </c>
      <c r="H237" s="1" t="s">
        <v>7546</v>
      </c>
      <c r="I237" s="1" t="s">
        <v>7547</v>
      </c>
      <c r="J237" s="1" t="s">
        <v>7549</v>
      </c>
      <c r="K237" s="6">
        <f t="shared" si="2"/>
        <v>0.00643776824</v>
      </c>
      <c r="L237" s="7">
        <v>0.004525103359739737</v>
      </c>
      <c r="M237" s="8">
        <f t="shared" si="1"/>
        <v>8532755</v>
      </c>
    </row>
    <row r="238">
      <c r="A238" s="9">
        <v>45854.0</v>
      </c>
      <c r="B238" s="1">
        <v>422.1</v>
      </c>
      <c r="C238" s="1">
        <v>425.45</v>
      </c>
      <c r="D238" s="1">
        <v>420.3</v>
      </c>
      <c r="E238" s="1">
        <v>422.1</v>
      </c>
      <c r="F238" s="1">
        <v>424.6</v>
      </c>
      <c r="G238" s="1">
        <v>423.52</v>
      </c>
      <c r="H238" s="1" t="s">
        <v>7553</v>
      </c>
      <c r="I238" s="1" t="s">
        <v>7555</v>
      </c>
      <c r="J238" s="11">
        <v>91064.0</v>
      </c>
      <c r="K238" s="6">
        <f t="shared" si="2"/>
        <v>0.005922767117</v>
      </c>
      <c r="L238" s="7">
        <v>6.449487613014868E-4</v>
      </c>
      <c r="M238" s="8">
        <f t="shared" si="1"/>
        <v>9780773</v>
      </c>
    </row>
    <row r="239">
      <c r="A239" s="9">
        <v>45855.0</v>
      </c>
      <c r="B239" s="1">
        <v>425.8</v>
      </c>
      <c r="C239" s="1">
        <v>425.9</v>
      </c>
      <c r="D239" s="1">
        <v>423.0</v>
      </c>
      <c r="E239" s="1">
        <v>424.6</v>
      </c>
      <c r="F239" s="1">
        <v>423.95</v>
      </c>
      <c r="G239" s="1">
        <v>424.62</v>
      </c>
      <c r="H239" s="1" t="s">
        <v>7559</v>
      </c>
      <c r="I239" s="1" t="s">
        <v>7561</v>
      </c>
      <c r="J239" s="11">
        <v>85266.0</v>
      </c>
      <c r="K239" s="6">
        <f t="shared" si="2"/>
        <v>-0.001530852567</v>
      </c>
      <c r="L239" s="7">
        <v>-0.0039901555010401196</v>
      </c>
      <c r="M239" s="8">
        <f t="shared" si="1"/>
        <v>7240795</v>
      </c>
    </row>
    <row r="240">
      <c r="A240" s="9">
        <v>45856.0</v>
      </c>
      <c r="B240" s="1">
        <v>425.2</v>
      </c>
      <c r="C240" s="1">
        <v>425.2</v>
      </c>
      <c r="D240" s="1">
        <v>420.1</v>
      </c>
      <c r="E240" s="1">
        <v>423.95</v>
      </c>
      <c r="F240" s="1">
        <v>422.75</v>
      </c>
      <c r="G240" s="1">
        <v>422.22</v>
      </c>
      <c r="H240" s="1" t="s">
        <v>7565</v>
      </c>
      <c r="I240" s="1" t="s">
        <v>7566</v>
      </c>
      <c r="J240" s="11">
        <v>82551.0</v>
      </c>
      <c r="K240" s="6">
        <f t="shared" si="2"/>
        <v>-0.002830522467</v>
      </c>
      <c r="L240" s="7">
        <v>-0.00569660453697414</v>
      </c>
      <c r="M240" s="8">
        <f t="shared" si="1"/>
        <v>6730256</v>
      </c>
    </row>
    <row r="241">
      <c r="A241" s="9">
        <v>45859.0</v>
      </c>
      <c r="B241" s="1">
        <v>422.0</v>
      </c>
      <c r="C241" s="1">
        <v>422.75</v>
      </c>
      <c r="D241" s="1">
        <v>418.4</v>
      </c>
      <c r="E241" s="1">
        <v>422.75</v>
      </c>
      <c r="F241" s="1">
        <v>420.1</v>
      </c>
      <c r="G241" s="1">
        <v>420.55</v>
      </c>
      <c r="H241" s="1" t="s">
        <v>7569</v>
      </c>
      <c r="I241" s="1" t="s">
        <v>7571</v>
      </c>
      <c r="J241" s="11">
        <v>85747.0</v>
      </c>
      <c r="K241" s="6">
        <f t="shared" si="2"/>
        <v>-0.006268480189</v>
      </c>
      <c r="L241" s="7">
        <v>0.00489819131382064</v>
      </c>
      <c r="M241" s="8">
        <f t="shared" si="1"/>
        <v>4822343</v>
      </c>
    </row>
    <row r="242">
      <c r="A242" s="9">
        <v>45860.0</v>
      </c>
      <c r="B242" s="1">
        <v>420.1</v>
      </c>
      <c r="C242" s="1">
        <v>420.4</v>
      </c>
      <c r="D242" s="1">
        <v>415.2</v>
      </c>
      <c r="E242" s="1">
        <v>420.1</v>
      </c>
      <c r="F242" s="1">
        <v>416.0</v>
      </c>
      <c r="G242" s="1">
        <v>416.82</v>
      </c>
      <c r="H242" s="1" t="s">
        <v>7574</v>
      </c>
      <c r="I242" s="1" t="s">
        <v>7576</v>
      </c>
      <c r="J242" s="1" t="s">
        <v>7577</v>
      </c>
      <c r="K242" s="6">
        <f t="shared" si="2"/>
        <v>-0.009759581052</v>
      </c>
      <c r="L242" s="7">
        <v>-0.0011876910568457346</v>
      </c>
      <c r="M242" s="8">
        <f t="shared" si="1"/>
        <v>9869507</v>
      </c>
    </row>
    <row r="243">
      <c r="A243" s="9">
        <v>45861.0</v>
      </c>
      <c r="B243" s="1">
        <v>417.1</v>
      </c>
      <c r="C243" s="1">
        <v>417.9</v>
      </c>
      <c r="D243" s="1">
        <v>414.0</v>
      </c>
      <c r="E243" s="1">
        <v>416.0</v>
      </c>
      <c r="F243" s="1">
        <v>414.95</v>
      </c>
      <c r="G243" s="1">
        <v>415.04</v>
      </c>
      <c r="H243" s="1" t="s">
        <v>7578</v>
      </c>
      <c r="I243" s="1" t="s">
        <v>7581</v>
      </c>
      <c r="J243" s="11">
        <v>99775.0</v>
      </c>
      <c r="K243" s="6">
        <f t="shared" si="2"/>
        <v>-0.002524038462</v>
      </c>
      <c r="L243" s="7">
        <v>0.006344544689137261</v>
      </c>
      <c r="M243" s="8">
        <f t="shared" si="1"/>
        <v>12196187</v>
      </c>
    </row>
    <row r="244">
      <c r="A244" s="9">
        <v>45862.0</v>
      </c>
      <c r="B244" s="1">
        <v>415.85</v>
      </c>
      <c r="C244" s="1">
        <v>415.85</v>
      </c>
      <c r="D244" s="1">
        <v>409.45</v>
      </c>
      <c r="E244" s="1">
        <v>414.95</v>
      </c>
      <c r="F244" s="1">
        <v>409.95</v>
      </c>
      <c r="G244" s="1">
        <v>411.42</v>
      </c>
      <c r="H244" s="1" t="s">
        <v>7585</v>
      </c>
      <c r="I244" s="1" t="s">
        <v>7587</v>
      </c>
      <c r="J244" s="1" t="s">
        <v>7588</v>
      </c>
      <c r="K244" s="6">
        <f t="shared" si="2"/>
        <v>-0.01204964454</v>
      </c>
      <c r="L244" s="7">
        <v>-0.0062569637468825375</v>
      </c>
      <c r="M244" s="8">
        <f t="shared" si="1"/>
        <v>9005157</v>
      </c>
    </row>
    <row r="245">
      <c r="A245" s="9">
        <v>45863.0</v>
      </c>
      <c r="B245" s="1">
        <v>410.0</v>
      </c>
      <c r="C245" s="1">
        <v>410.25</v>
      </c>
      <c r="D245" s="1">
        <v>407.75</v>
      </c>
      <c r="E245" s="1">
        <v>409.95</v>
      </c>
      <c r="F245" s="1">
        <v>409.4</v>
      </c>
      <c r="G245" s="1">
        <v>409.17</v>
      </c>
      <c r="H245" s="1" t="s">
        <v>7592</v>
      </c>
      <c r="I245" s="1" t="s">
        <v>7593</v>
      </c>
      <c r="J245" s="1" t="s">
        <v>7594</v>
      </c>
      <c r="K245" s="6">
        <f t="shared" si="2"/>
        <v>-0.001341627028</v>
      </c>
      <c r="L245" s="7">
        <v>-0.008981689483323367</v>
      </c>
      <c r="M245" s="8">
        <f t="shared" si="1"/>
        <v>5824089</v>
      </c>
    </row>
    <row r="246">
      <c r="A246" s="9">
        <v>45866.0</v>
      </c>
      <c r="B246" s="1">
        <v>410.8</v>
      </c>
      <c r="C246" s="1">
        <v>410.85</v>
      </c>
      <c r="D246" s="1">
        <v>408.6</v>
      </c>
      <c r="E246" s="1">
        <v>409.4</v>
      </c>
      <c r="F246" s="1">
        <v>409.9</v>
      </c>
      <c r="G246" s="1">
        <v>409.88</v>
      </c>
      <c r="H246" s="1" t="s">
        <v>7598</v>
      </c>
      <c r="I246" s="1" t="s">
        <v>7599</v>
      </c>
      <c r="J246" s="11">
        <v>86106.0</v>
      </c>
      <c r="K246" s="6">
        <f t="shared" si="2"/>
        <v>0.001221299463</v>
      </c>
      <c r="L246" s="7">
        <v>-0.006284978056931133</v>
      </c>
      <c r="M246" s="8">
        <f t="shared" si="1"/>
        <v>8123337</v>
      </c>
    </row>
    <row r="247">
      <c r="A247" s="9">
        <v>45867.0</v>
      </c>
      <c r="B247" s="1">
        <v>410.0</v>
      </c>
      <c r="C247" s="1">
        <v>411.4</v>
      </c>
      <c r="D247" s="1">
        <v>408.0</v>
      </c>
      <c r="E247" s="1">
        <v>409.9</v>
      </c>
      <c r="F247" s="1">
        <v>408.45</v>
      </c>
      <c r="G247" s="1">
        <v>409.3</v>
      </c>
      <c r="H247" s="1" t="s">
        <v>7603</v>
      </c>
      <c r="I247" s="1" t="s">
        <v>7604</v>
      </c>
      <c r="J247" s="11">
        <v>97448.0</v>
      </c>
      <c r="K247" s="6">
        <f t="shared" si="2"/>
        <v>-0.003537448158</v>
      </c>
      <c r="L247" s="7">
        <v>0.005680505978306993</v>
      </c>
      <c r="M247" s="8">
        <f t="shared" si="1"/>
        <v>6811772</v>
      </c>
    </row>
    <row r="248">
      <c r="A248" s="9">
        <v>45868.0</v>
      </c>
      <c r="B248" s="1">
        <v>409.0</v>
      </c>
      <c r="C248" s="1">
        <v>409.3</v>
      </c>
      <c r="D248" s="1">
        <v>405.75</v>
      </c>
      <c r="E248" s="1">
        <v>408.45</v>
      </c>
      <c r="F248" s="1">
        <v>407.6</v>
      </c>
      <c r="G248" s="1">
        <v>407.37</v>
      </c>
      <c r="H248" s="1" t="s">
        <v>7608</v>
      </c>
      <c r="I248" s="1" t="s">
        <v>7609</v>
      </c>
      <c r="J248" s="1" t="s">
        <v>7610</v>
      </c>
      <c r="K248" s="6">
        <f t="shared" si="2"/>
        <v>-0.002081038071</v>
      </c>
      <c r="L248" s="7">
        <v>0.0013677878901418845</v>
      </c>
      <c r="M248" s="8">
        <f t="shared" si="1"/>
        <v>10915863</v>
      </c>
    </row>
    <row r="249">
      <c r="A249" s="9">
        <v>45869.0</v>
      </c>
      <c r="B249" s="1">
        <v>405.95</v>
      </c>
      <c r="C249" s="1">
        <v>414.0</v>
      </c>
      <c r="D249" s="1">
        <v>405.55</v>
      </c>
      <c r="E249" s="1">
        <v>407.6</v>
      </c>
      <c r="F249" s="1">
        <v>411.95</v>
      </c>
      <c r="G249" s="1">
        <v>410.46</v>
      </c>
      <c r="H249" s="1" t="s">
        <v>7614</v>
      </c>
      <c r="I249" s="1" t="s">
        <v>7615</v>
      </c>
      <c r="J249" s="1" t="s">
        <v>7616</v>
      </c>
      <c r="K249" s="6">
        <f t="shared" si="2"/>
        <v>0.01067222767</v>
      </c>
      <c r="L249" s="7">
        <v>-0.003488224726966984</v>
      </c>
      <c r="M249" s="8">
        <f t="shared" si="1"/>
        <v>19364174</v>
      </c>
    </row>
    <row r="250">
      <c r="A250" s="3">
        <v>45870.0</v>
      </c>
      <c r="B250" s="1">
        <v>412.4</v>
      </c>
      <c r="C250" s="1">
        <v>419.35</v>
      </c>
      <c r="D250" s="1">
        <v>411.8</v>
      </c>
      <c r="E250" s="1">
        <v>411.95</v>
      </c>
      <c r="F250" s="1">
        <v>416.45</v>
      </c>
      <c r="G250" s="1">
        <v>416.54</v>
      </c>
      <c r="H250" s="1" t="s">
        <v>7620</v>
      </c>
      <c r="I250" s="1" t="s">
        <v>7621</v>
      </c>
      <c r="J250" s="1" t="s">
        <v>7622</v>
      </c>
      <c r="K250" s="6">
        <f t="shared" si="2"/>
        <v>0.01092365578</v>
      </c>
      <c r="L250" s="7">
        <v>-0.008195943613522903</v>
      </c>
      <c r="M250" s="8">
        <f t="shared" si="1"/>
        <v>14324065</v>
      </c>
    </row>
    <row r="251">
      <c r="A251" s="3">
        <v>45873.0</v>
      </c>
      <c r="B251" s="1">
        <v>420.2</v>
      </c>
      <c r="C251" s="1">
        <v>422.5</v>
      </c>
      <c r="D251" s="1">
        <v>415.1</v>
      </c>
      <c r="E251" s="1">
        <v>416.45</v>
      </c>
      <c r="F251" s="1">
        <v>416.85</v>
      </c>
      <c r="G251" s="1">
        <v>417.96</v>
      </c>
      <c r="H251" s="1" t="s">
        <v>7626</v>
      </c>
      <c r="I251" s="1" t="s">
        <v>7627</v>
      </c>
      <c r="J251" s="1" t="s">
        <v>7628</v>
      </c>
      <c r="K251" s="6">
        <f t="shared" si="2"/>
        <v>0.0009604994597</v>
      </c>
      <c r="L251" s="7">
        <v>0.006407399039704359</v>
      </c>
      <c r="M251" s="8">
        <f t="shared" si="1"/>
        <v>18352458</v>
      </c>
    </row>
    <row r="252">
      <c r="A252" s="3">
        <v>45874.0</v>
      </c>
      <c r="B252" s="1">
        <v>417.2</v>
      </c>
      <c r="C252" s="1">
        <v>417.95</v>
      </c>
      <c r="D252" s="1">
        <v>413.0</v>
      </c>
      <c r="E252" s="1">
        <v>416.85</v>
      </c>
      <c r="F252" s="1">
        <v>414.15</v>
      </c>
      <c r="G252" s="1">
        <v>414.33</v>
      </c>
      <c r="H252" s="1" t="s">
        <v>7632</v>
      </c>
      <c r="I252" s="1" t="s">
        <v>7633</v>
      </c>
      <c r="J252" s="1" t="s">
        <v>7634</v>
      </c>
      <c r="K252" s="6">
        <f t="shared" si="2"/>
        <v>-0.006477150054</v>
      </c>
      <c r="L252" s="7">
        <v>-0.002960835667553194</v>
      </c>
      <c r="M252" s="8">
        <f t="shared" si="1"/>
        <v>8495104</v>
      </c>
    </row>
    <row r="253">
      <c r="A253" s="3">
        <v>45875.0</v>
      </c>
      <c r="B253" s="1">
        <v>414.15</v>
      </c>
      <c r="C253" s="1">
        <v>415.0</v>
      </c>
      <c r="D253" s="1">
        <v>410.5</v>
      </c>
      <c r="E253" s="1">
        <v>414.15</v>
      </c>
      <c r="F253" s="1">
        <v>412.0</v>
      </c>
      <c r="G253" s="1">
        <v>411.74</v>
      </c>
      <c r="H253" s="1" t="s">
        <v>7638</v>
      </c>
      <c r="I253" s="1" t="s">
        <v>7639</v>
      </c>
      <c r="J253" s="1" t="s">
        <v>7640</v>
      </c>
      <c r="K253" s="6">
        <f t="shared" si="2"/>
        <v>-0.005191355789</v>
      </c>
      <c r="L253" s="7">
        <v>-0.0030568509364267723</v>
      </c>
      <c r="M253" s="8">
        <f t="shared" si="1"/>
        <v>9080543</v>
      </c>
    </row>
    <row r="254">
      <c r="A254" s="3">
        <v>45876.0</v>
      </c>
      <c r="B254" s="1">
        <v>412.0</v>
      </c>
      <c r="C254" s="1">
        <v>414.75</v>
      </c>
      <c r="D254" s="1">
        <v>411.65</v>
      </c>
      <c r="E254" s="1">
        <v>412.0</v>
      </c>
      <c r="F254" s="1">
        <v>413.6</v>
      </c>
      <c r="G254" s="1">
        <v>413.34</v>
      </c>
      <c r="H254" s="1" t="s">
        <v>7644</v>
      </c>
      <c r="I254" s="1" t="s">
        <v>7645</v>
      </c>
      <c r="J254" s="1" t="s">
        <v>7646</v>
      </c>
      <c r="K254" s="6">
        <f t="shared" si="2"/>
        <v>0.003883495146</v>
      </c>
      <c r="L254" s="7">
        <v>8.932132073475729E-4</v>
      </c>
      <c r="M254" s="8">
        <f t="shared" si="1"/>
        <v>11514878</v>
      </c>
    </row>
    <row r="255">
      <c r="A255" s="3">
        <v>45877.0</v>
      </c>
      <c r="B255" s="1">
        <v>413.9</v>
      </c>
      <c r="C255" s="1">
        <v>415.35</v>
      </c>
      <c r="D255" s="1">
        <v>412.95</v>
      </c>
      <c r="E255" s="1">
        <v>413.6</v>
      </c>
      <c r="F255" s="1">
        <v>414.5</v>
      </c>
      <c r="G255" s="1">
        <v>414.32</v>
      </c>
      <c r="H255" s="1" t="s">
        <v>7650</v>
      </c>
      <c r="I255" s="1" t="s">
        <v>7651</v>
      </c>
      <c r="J255" s="11">
        <v>95336.0</v>
      </c>
      <c r="K255" s="6">
        <f t="shared" si="2"/>
        <v>0.002176015474</v>
      </c>
      <c r="L255" s="7">
        <v>-0.009466928767307167</v>
      </c>
      <c r="M255" s="8">
        <f t="shared" si="1"/>
        <v>9814361</v>
      </c>
    </row>
    <row r="256">
      <c r="A256" s="9">
        <v>45880.0</v>
      </c>
      <c r="B256" s="1">
        <v>414.5</v>
      </c>
      <c r="C256" s="1">
        <v>417.0</v>
      </c>
      <c r="D256" s="1">
        <v>414.0</v>
      </c>
      <c r="E256" s="1">
        <v>414.5</v>
      </c>
      <c r="F256" s="1">
        <v>416.85</v>
      </c>
      <c r="G256" s="1">
        <v>416.05</v>
      </c>
      <c r="H256" s="1" t="s">
        <v>7655</v>
      </c>
      <c r="I256" s="1" t="s">
        <v>7656</v>
      </c>
      <c r="J256" s="1" t="s">
        <v>7657</v>
      </c>
      <c r="K256" s="6">
        <f t="shared" si="2"/>
        <v>0.005669481303</v>
      </c>
      <c r="L256" s="7">
        <v>0.009101804763722484</v>
      </c>
      <c r="M256" s="8">
        <f t="shared" si="1"/>
        <v>8514272</v>
      </c>
    </row>
    <row r="257">
      <c r="A257" s="9">
        <v>45881.0</v>
      </c>
      <c r="B257" s="1">
        <v>417.0</v>
      </c>
      <c r="C257" s="1">
        <v>419.8</v>
      </c>
      <c r="D257" s="1">
        <v>415.3</v>
      </c>
      <c r="E257" s="1">
        <v>416.85</v>
      </c>
      <c r="F257" s="1">
        <v>416.35</v>
      </c>
      <c r="G257" s="1">
        <v>417.43</v>
      </c>
      <c r="H257" s="1" t="s">
        <v>7661</v>
      </c>
      <c r="I257" s="1" t="s">
        <v>7664</v>
      </c>
      <c r="J257" s="1" t="s">
        <v>7666</v>
      </c>
      <c r="K257" s="6">
        <f t="shared" si="2"/>
        <v>-0.001199472232</v>
      </c>
      <c r="L257" s="7">
        <v>-0.003971926028216246</v>
      </c>
      <c r="M257" s="8">
        <f t="shared" si="1"/>
        <v>13635738</v>
      </c>
    </row>
    <row r="258">
      <c r="A258" s="9">
        <v>45882.0</v>
      </c>
      <c r="B258" s="1">
        <v>417.2</v>
      </c>
      <c r="C258" s="1">
        <v>417.5</v>
      </c>
      <c r="D258" s="1">
        <v>413.6</v>
      </c>
      <c r="E258" s="1">
        <v>416.35</v>
      </c>
      <c r="F258" s="1">
        <v>414.1</v>
      </c>
      <c r="G258" s="1">
        <v>414.82</v>
      </c>
      <c r="H258" s="1" t="s">
        <v>7669</v>
      </c>
      <c r="I258" s="1" t="s">
        <v>7670</v>
      </c>
      <c r="J258" s="11">
        <v>86765.0</v>
      </c>
      <c r="K258" s="6">
        <f t="shared" si="2"/>
        <v>-0.005404107121</v>
      </c>
      <c r="L258" s="7">
        <v>0.005388485506831966</v>
      </c>
      <c r="M258" s="8">
        <f t="shared" si="1"/>
        <v>10874910</v>
      </c>
    </row>
    <row r="259">
      <c r="A259" s="9">
        <v>45883.0</v>
      </c>
      <c r="B259" s="1">
        <v>414.25</v>
      </c>
      <c r="C259" s="1">
        <v>415.05</v>
      </c>
      <c r="D259" s="1">
        <v>411.0</v>
      </c>
      <c r="E259" s="1">
        <v>414.1</v>
      </c>
      <c r="F259" s="1">
        <v>411.45</v>
      </c>
      <c r="G259" s="1">
        <v>412.48</v>
      </c>
      <c r="H259" s="1" t="s">
        <v>7674</v>
      </c>
      <c r="I259" s="1" t="s">
        <v>7675</v>
      </c>
      <c r="J259" s="1" t="s">
        <v>7676</v>
      </c>
      <c r="K259" s="6">
        <f t="shared" si="2"/>
        <v>-0.00639942043</v>
      </c>
      <c r="L259" s="7">
        <v>4.853905566150499E-4</v>
      </c>
      <c r="M259" s="8">
        <f t="shared" si="1"/>
        <v>9580361</v>
      </c>
    </row>
    <row r="260">
      <c r="A260" s="9">
        <v>45887.0</v>
      </c>
      <c r="B260" s="1">
        <v>413.0</v>
      </c>
      <c r="C260" s="1">
        <v>413.7</v>
      </c>
      <c r="D260" s="1">
        <v>404.85</v>
      </c>
      <c r="E260" s="1">
        <v>411.45</v>
      </c>
      <c r="F260" s="1">
        <v>406.3</v>
      </c>
      <c r="G260" s="1">
        <v>408.7</v>
      </c>
      <c r="H260" s="1" t="s">
        <v>7680</v>
      </c>
      <c r="I260" s="1" t="s">
        <v>7681</v>
      </c>
      <c r="J260" s="1" t="s">
        <v>7682</v>
      </c>
      <c r="K260" s="6">
        <f t="shared" si="2"/>
        <v>-0.0125167092</v>
      </c>
      <c r="L260" s="7">
        <v>0.009973083028504443</v>
      </c>
      <c r="M260" s="8">
        <f t="shared" si="1"/>
        <v>30950814</v>
      </c>
    </row>
    <row r="261">
      <c r="A261" s="9">
        <v>45888.0</v>
      </c>
      <c r="B261" s="1">
        <v>406.35</v>
      </c>
      <c r="C261" s="1">
        <v>409.4</v>
      </c>
      <c r="D261" s="1">
        <v>404.5</v>
      </c>
      <c r="E261" s="1">
        <v>406.3</v>
      </c>
      <c r="F261" s="1">
        <v>409.1</v>
      </c>
      <c r="G261" s="1">
        <v>406.86</v>
      </c>
      <c r="H261" s="1" t="s">
        <v>7686</v>
      </c>
      <c r="I261" s="1" t="s">
        <v>7687</v>
      </c>
      <c r="J261" s="1" t="s">
        <v>7688</v>
      </c>
      <c r="K261" s="6">
        <f t="shared" si="2"/>
        <v>0.006891459513</v>
      </c>
      <c r="L261" s="7">
        <v>0.0041685174428537555</v>
      </c>
      <c r="M261" s="8">
        <f t="shared" si="1"/>
        <v>16681331</v>
      </c>
    </row>
    <row r="262">
      <c r="A262" s="9">
        <v>45889.0</v>
      </c>
      <c r="B262" s="1">
        <v>409.1</v>
      </c>
      <c r="C262" s="1">
        <v>410.25</v>
      </c>
      <c r="D262" s="1">
        <v>405.45</v>
      </c>
      <c r="E262" s="1">
        <v>409.1</v>
      </c>
      <c r="F262" s="1">
        <v>406.05</v>
      </c>
      <c r="G262" s="1">
        <v>407.87</v>
      </c>
      <c r="H262" s="1" t="s">
        <v>7691</v>
      </c>
      <c r="I262" s="1" t="s">
        <v>7692</v>
      </c>
      <c r="J262" s="1" t="s">
        <v>7693</v>
      </c>
      <c r="K262" s="6">
        <f t="shared" si="2"/>
        <v>-0.00745538988</v>
      </c>
      <c r="L262" s="7">
        <v>0.0027981657803138756</v>
      </c>
      <c r="M262" s="8">
        <f t="shared" si="1"/>
        <v>18188129</v>
      </c>
    </row>
    <row r="263">
      <c r="A263" s="9">
        <v>45890.0</v>
      </c>
      <c r="B263" s="1">
        <v>406.05</v>
      </c>
      <c r="C263" s="1">
        <v>406.85</v>
      </c>
      <c r="D263" s="1">
        <v>403.35</v>
      </c>
      <c r="E263" s="1">
        <v>406.05</v>
      </c>
      <c r="F263" s="1">
        <v>405.55</v>
      </c>
      <c r="G263" s="1">
        <v>405.69</v>
      </c>
      <c r="H263" s="1" t="s">
        <v>7697</v>
      </c>
      <c r="I263" s="1" t="s">
        <v>7698</v>
      </c>
      <c r="J263" s="1" t="s">
        <v>7699</v>
      </c>
      <c r="K263" s="6">
        <f t="shared" si="2"/>
        <v>-0.001231375446</v>
      </c>
      <c r="L263" s="7">
        <v>0.0013253202025504721</v>
      </c>
      <c r="M263" s="8">
        <f t="shared" si="1"/>
        <v>15028966</v>
      </c>
    </row>
    <row r="264">
      <c r="A264" s="9">
        <v>45891.0</v>
      </c>
      <c r="B264" s="1">
        <v>406.0</v>
      </c>
      <c r="C264" s="1">
        <v>406.5</v>
      </c>
      <c r="D264" s="1">
        <v>397.5</v>
      </c>
      <c r="E264" s="1">
        <v>405.55</v>
      </c>
      <c r="F264" s="1">
        <v>398.3</v>
      </c>
      <c r="G264" s="1">
        <v>399.91</v>
      </c>
      <c r="H264" s="1" t="s">
        <v>7703</v>
      </c>
      <c r="I264" s="1" t="s">
        <v>7704</v>
      </c>
      <c r="J264" s="1" t="s">
        <v>7705</v>
      </c>
      <c r="K264" s="6">
        <f t="shared" si="2"/>
        <v>-0.01787695722</v>
      </c>
      <c r="L264" s="7">
        <v>-0.008517466487267712</v>
      </c>
      <c r="M264" s="8">
        <f t="shared" si="1"/>
        <v>13087624</v>
      </c>
    </row>
    <row r="265">
      <c r="A265" s="9">
        <v>45894.0</v>
      </c>
      <c r="B265" s="1">
        <v>399.0</v>
      </c>
      <c r="C265" s="1">
        <v>400.55</v>
      </c>
      <c r="D265" s="1">
        <v>396.25</v>
      </c>
      <c r="E265" s="1">
        <v>398.3</v>
      </c>
      <c r="F265" s="1">
        <v>399.35</v>
      </c>
      <c r="G265" s="1">
        <v>399.17</v>
      </c>
      <c r="H265" s="1" t="s">
        <v>7709</v>
      </c>
      <c r="I265" s="1" t="s">
        <v>7710</v>
      </c>
      <c r="J265" s="1" t="s">
        <v>7711</v>
      </c>
      <c r="K265" s="6">
        <f t="shared" si="2"/>
        <v>0.002636203866</v>
      </c>
      <c r="L265" s="7">
        <v>0.003926401582623369</v>
      </c>
      <c r="M265" s="8">
        <f t="shared" si="1"/>
        <v>10440286</v>
      </c>
    </row>
    <row r="266">
      <c r="A266" s="9">
        <v>45895.0</v>
      </c>
      <c r="B266" s="1">
        <v>399.3</v>
      </c>
      <c r="C266" s="1">
        <v>405.4</v>
      </c>
      <c r="D266" s="1">
        <v>398.4</v>
      </c>
      <c r="E266" s="1">
        <v>399.35</v>
      </c>
      <c r="F266" s="1">
        <v>403.35</v>
      </c>
      <c r="G266" s="1">
        <v>402.3</v>
      </c>
      <c r="H266" s="1" t="s">
        <v>7712</v>
      </c>
      <c r="I266" s="1" t="s">
        <v>7714</v>
      </c>
      <c r="J266" s="1" t="s">
        <v>7716</v>
      </c>
      <c r="K266" s="6">
        <f t="shared" si="2"/>
        <v>0.01001627645</v>
      </c>
      <c r="L266" s="7">
        <v>-0.010241211162399524</v>
      </c>
      <c r="M266" s="8">
        <f t="shared" si="1"/>
        <v>13715752</v>
      </c>
    </row>
    <row r="267">
      <c r="A267" s="9">
        <v>45897.0</v>
      </c>
      <c r="B267" s="1">
        <v>404.5</v>
      </c>
      <c r="C267" s="1">
        <v>404.5</v>
      </c>
      <c r="D267" s="1">
        <v>400.0</v>
      </c>
      <c r="E267" s="1">
        <v>403.35</v>
      </c>
      <c r="F267" s="1">
        <v>400.9</v>
      </c>
      <c r="G267" s="1">
        <v>401.4</v>
      </c>
      <c r="H267" s="1" t="s">
        <v>7718</v>
      </c>
      <c r="I267" s="1" t="s">
        <v>7719</v>
      </c>
      <c r="J267" s="1" t="s">
        <v>7721</v>
      </c>
      <c r="K267" s="6">
        <f t="shared" si="2"/>
        <v>-0.006074129168</v>
      </c>
      <c r="L267" s="7">
        <v>-0.008544414566982416</v>
      </c>
      <c r="M267" s="8">
        <f t="shared" si="1"/>
        <v>12471719</v>
      </c>
    </row>
    <row r="268">
      <c r="A268" s="9">
        <v>45898.0</v>
      </c>
      <c r="B268" s="1">
        <v>402.0</v>
      </c>
      <c r="C268" s="1">
        <v>410.45</v>
      </c>
      <c r="D268" s="1">
        <v>401.9</v>
      </c>
      <c r="E268" s="1">
        <v>400.9</v>
      </c>
      <c r="F268" s="1">
        <v>409.75</v>
      </c>
      <c r="G268" s="1">
        <v>407.54</v>
      </c>
      <c r="H268" s="1" t="s">
        <v>7724</v>
      </c>
      <c r="I268" s="1" t="s">
        <v>7725</v>
      </c>
      <c r="J268" s="1" t="s">
        <v>7727</v>
      </c>
      <c r="K268" s="6">
        <f t="shared" si="2"/>
        <v>0.02207533051</v>
      </c>
      <c r="L268" s="7">
        <v>-0.0030223379549323866</v>
      </c>
      <c r="M268" s="8">
        <f t="shared" si="1"/>
        <v>25255050</v>
      </c>
    </row>
    <row r="269">
      <c r="A269" s="3">
        <v>45901.0</v>
      </c>
      <c r="B269" s="1">
        <v>409.75</v>
      </c>
      <c r="C269" s="1">
        <v>410.2</v>
      </c>
      <c r="D269" s="1">
        <v>405.0</v>
      </c>
      <c r="E269" s="1">
        <v>409.75</v>
      </c>
      <c r="F269" s="1">
        <v>405.85</v>
      </c>
      <c r="G269" s="1">
        <v>406.32</v>
      </c>
      <c r="H269" s="1" t="s">
        <v>7731</v>
      </c>
      <c r="I269" s="1" t="s">
        <v>7733</v>
      </c>
      <c r="J269" s="1" t="s">
        <v>7735</v>
      </c>
      <c r="K269" s="6">
        <f t="shared" si="2"/>
        <v>-0.00951799878</v>
      </c>
      <c r="L269" s="7">
        <v>0.008114022069976306</v>
      </c>
      <c r="M269" s="8">
        <f t="shared" si="1"/>
        <v>12268090</v>
      </c>
    </row>
    <row r="270">
      <c r="A270" s="3">
        <v>45902.0</v>
      </c>
      <c r="B270" s="1">
        <v>406.55</v>
      </c>
      <c r="C270" s="1">
        <v>407.85</v>
      </c>
      <c r="D270" s="1">
        <v>404.45</v>
      </c>
      <c r="E270" s="1">
        <v>405.85</v>
      </c>
      <c r="F270" s="1">
        <v>406.75</v>
      </c>
      <c r="G270" s="1">
        <v>406.37</v>
      </c>
      <c r="H270" s="1" t="s">
        <v>7738</v>
      </c>
      <c r="I270" s="1" t="s">
        <v>7740</v>
      </c>
      <c r="J270" s="1" t="s">
        <v>7741</v>
      </c>
      <c r="K270" s="6">
        <f t="shared" si="2"/>
        <v>0.002217568067</v>
      </c>
      <c r="L270" s="7">
        <v>-0.001845681531611133</v>
      </c>
      <c r="M270" s="8">
        <f t="shared" si="1"/>
        <v>19808255</v>
      </c>
    </row>
    <row r="271">
      <c r="A271" s="3">
        <v>45903.0</v>
      </c>
      <c r="B271" s="1">
        <v>408.5</v>
      </c>
      <c r="C271" s="1">
        <v>413.25</v>
      </c>
      <c r="D271" s="1">
        <v>407.3</v>
      </c>
      <c r="E271" s="1">
        <v>406.75</v>
      </c>
      <c r="F271" s="1">
        <v>411.75</v>
      </c>
      <c r="G271" s="1">
        <v>410.55</v>
      </c>
      <c r="H271" s="1" t="s">
        <v>7745</v>
      </c>
      <c r="I271" s="1" t="s">
        <v>7746</v>
      </c>
      <c r="J271" s="1" t="s">
        <v>7747</v>
      </c>
      <c r="K271" s="6">
        <f t="shared" si="2"/>
        <v>0.012292563</v>
      </c>
      <c r="L271" s="7">
        <v>0.005510667382707641</v>
      </c>
      <c r="M271" s="8">
        <f t="shared" si="1"/>
        <v>12936588</v>
      </c>
    </row>
    <row r="272">
      <c r="A272" s="3">
        <v>45904.0</v>
      </c>
      <c r="B272" s="1">
        <v>423.95</v>
      </c>
      <c r="C272" s="1">
        <v>427.0</v>
      </c>
      <c r="D272" s="1">
        <v>415.0</v>
      </c>
      <c r="E272" s="1">
        <v>411.75</v>
      </c>
      <c r="F272" s="1">
        <v>415.9</v>
      </c>
      <c r="G272" s="1">
        <v>418.56</v>
      </c>
      <c r="H272" s="1" t="s">
        <v>7751</v>
      </c>
      <c r="I272" s="1" t="s">
        <v>7752</v>
      </c>
      <c r="J272" s="1" t="s">
        <v>7753</v>
      </c>
      <c r="K272" s="6">
        <f t="shared" si="2"/>
        <v>0.01007893139</v>
      </c>
      <c r="L272" s="7">
        <v>7.788776474253542E-4</v>
      </c>
      <c r="M272" s="8">
        <f t="shared" si="1"/>
        <v>27274123</v>
      </c>
    </row>
    <row r="273">
      <c r="A273" s="3">
        <v>45905.0</v>
      </c>
      <c r="B273" s="1">
        <v>416.9</v>
      </c>
      <c r="C273" s="1">
        <v>417.0</v>
      </c>
      <c r="D273" s="1">
        <v>404.4</v>
      </c>
      <c r="E273" s="1">
        <v>415.9</v>
      </c>
      <c r="F273" s="1">
        <v>407.35</v>
      </c>
      <c r="G273" s="1">
        <v>406.82</v>
      </c>
      <c r="H273" s="1" t="s">
        <v>7757</v>
      </c>
      <c r="I273" s="1" t="s">
        <v>7758</v>
      </c>
      <c r="J273" s="1" t="s">
        <v>7759</v>
      </c>
      <c r="K273" s="6">
        <f t="shared" si="2"/>
        <v>-0.0205578264</v>
      </c>
      <c r="L273" s="7">
        <v>2.708789009594259E-4</v>
      </c>
      <c r="M273" s="8">
        <f t="shared" si="1"/>
        <v>16000675</v>
      </c>
    </row>
    <row r="274">
      <c r="A274" s="3">
        <v>45908.0</v>
      </c>
      <c r="B274" s="1">
        <v>407.45</v>
      </c>
      <c r="C274" s="1">
        <v>410.55</v>
      </c>
      <c r="D274" s="1">
        <v>406.8</v>
      </c>
      <c r="E274" s="1">
        <v>407.35</v>
      </c>
      <c r="F274" s="1">
        <v>407.55</v>
      </c>
      <c r="G274" s="1">
        <v>408.21</v>
      </c>
      <c r="H274" s="1" t="s">
        <v>7763</v>
      </c>
      <c r="I274" s="1" t="s">
        <v>7764</v>
      </c>
      <c r="J274" s="1" t="s">
        <v>7765</v>
      </c>
      <c r="K274" s="6">
        <f t="shared" si="2"/>
        <v>0.0004909782742</v>
      </c>
      <c r="L274" s="7">
        <v>0.0012994624307829698</v>
      </c>
      <c r="M274" s="8">
        <f t="shared" si="1"/>
        <v>7419022</v>
      </c>
    </row>
    <row r="275">
      <c r="A275" s="3">
        <v>45909.0</v>
      </c>
      <c r="B275" s="1">
        <v>408.5</v>
      </c>
      <c r="C275" s="1">
        <v>410.95</v>
      </c>
      <c r="D275" s="1">
        <v>407.4</v>
      </c>
      <c r="E275" s="1">
        <v>407.55</v>
      </c>
      <c r="F275" s="1">
        <v>410.05</v>
      </c>
      <c r="G275" s="1">
        <v>409.78</v>
      </c>
      <c r="H275" s="1" t="s">
        <v>7769</v>
      </c>
      <c r="I275" s="1" t="s">
        <v>7770</v>
      </c>
      <c r="J275" s="11">
        <v>88691.0</v>
      </c>
      <c r="K275" s="6">
        <f t="shared" si="2"/>
        <v>0.006134216661</v>
      </c>
      <c r="L275" s="7">
        <v>0.0038529617751475722</v>
      </c>
      <c r="M275" s="8">
        <f t="shared" si="1"/>
        <v>8825896</v>
      </c>
    </row>
    <row r="276">
      <c r="A276" s="9">
        <v>45910.0</v>
      </c>
      <c r="B276" s="1">
        <v>411.0</v>
      </c>
      <c r="C276" s="1">
        <v>413.7</v>
      </c>
      <c r="D276" s="1">
        <v>408.95</v>
      </c>
      <c r="E276" s="1">
        <v>410.05</v>
      </c>
      <c r="F276" s="1">
        <v>413.05</v>
      </c>
      <c r="G276" s="1">
        <v>411.25</v>
      </c>
      <c r="H276" s="1" t="s">
        <v>7774</v>
      </c>
      <c r="I276" s="1" t="s">
        <v>7775</v>
      </c>
      <c r="J276" s="1" t="s">
        <v>7776</v>
      </c>
      <c r="K276" s="6">
        <f t="shared" si="2"/>
        <v>0.007316180954</v>
      </c>
      <c r="L276" s="7">
        <v>0.004202086164882623</v>
      </c>
      <c r="M276" s="8">
        <f t="shared" si="1"/>
        <v>9252397</v>
      </c>
    </row>
    <row r="277">
      <c r="A277" s="9">
        <v>45911.0</v>
      </c>
      <c r="B277" s="1">
        <v>413.05</v>
      </c>
      <c r="C277" s="1">
        <v>416.7</v>
      </c>
      <c r="D277" s="1">
        <v>412.45</v>
      </c>
      <c r="E277" s="1">
        <v>413.05</v>
      </c>
      <c r="F277" s="1">
        <v>415.05</v>
      </c>
      <c r="G277" s="1">
        <v>415.51</v>
      </c>
      <c r="H277" s="1" t="s">
        <v>7780</v>
      </c>
      <c r="I277" s="1" t="s">
        <v>7781</v>
      </c>
      <c r="J277" s="1" t="s">
        <v>7782</v>
      </c>
      <c r="K277" s="6">
        <f t="shared" si="2"/>
        <v>0.00484202881</v>
      </c>
      <c r="L277" s="7">
        <v>0.0012973959980940074</v>
      </c>
      <c r="M277" s="8">
        <f t="shared" si="1"/>
        <v>8274406</v>
      </c>
    </row>
    <row r="278">
      <c r="A278" s="9">
        <v>45912.0</v>
      </c>
      <c r="B278" s="1">
        <v>415.35</v>
      </c>
      <c r="C278" s="1">
        <v>417.05</v>
      </c>
      <c r="D278" s="1">
        <v>412.85</v>
      </c>
      <c r="E278" s="1">
        <v>415.05</v>
      </c>
      <c r="F278" s="1">
        <v>413.75</v>
      </c>
      <c r="G278" s="1">
        <v>414.89</v>
      </c>
      <c r="H278" s="1" t="s">
        <v>7786</v>
      </c>
      <c r="I278" s="1" t="s">
        <v>7787</v>
      </c>
      <c r="J278" s="11">
        <v>78225.0</v>
      </c>
      <c r="K278" s="6">
        <f t="shared" si="2"/>
        <v>-0.003132152753</v>
      </c>
      <c r="L278" s="7">
        <v>0.0043390454100097975</v>
      </c>
      <c r="M278" s="8">
        <f t="shared" si="1"/>
        <v>7803379</v>
      </c>
    </row>
    <row r="279">
      <c r="A279" s="9">
        <v>45915.0</v>
      </c>
      <c r="B279" s="1">
        <v>413.05</v>
      </c>
      <c r="C279" s="1">
        <v>414.3</v>
      </c>
      <c r="D279" s="1">
        <v>411.75</v>
      </c>
      <c r="E279" s="1">
        <v>413.75</v>
      </c>
      <c r="F279" s="1">
        <v>412.65</v>
      </c>
      <c r="G279" s="1">
        <v>413.05</v>
      </c>
      <c r="H279" s="1" t="s">
        <v>7791</v>
      </c>
      <c r="I279" s="1" t="s">
        <v>7792</v>
      </c>
      <c r="J279" s="11">
        <v>91972.0</v>
      </c>
      <c r="K279" s="6">
        <f t="shared" si="2"/>
        <v>-0.002658610272</v>
      </c>
      <c r="L279" s="7">
        <v>-0.0017838655729871494</v>
      </c>
      <c r="M279" s="8">
        <f t="shared" si="1"/>
        <v>5707331</v>
      </c>
    </row>
    <row r="280">
      <c r="A280" s="9">
        <v>45916.0</v>
      </c>
      <c r="B280" s="1">
        <v>413.2</v>
      </c>
      <c r="C280" s="1">
        <v>414.35</v>
      </c>
      <c r="D280" s="1">
        <v>412.0</v>
      </c>
      <c r="E280" s="1">
        <v>412.65</v>
      </c>
      <c r="F280" s="1">
        <v>413.1</v>
      </c>
      <c r="G280" s="1">
        <v>413.12</v>
      </c>
      <c r="H280" s="1" t="s">
        <v>7799</v>
      </c>
      <c r="I280" s="1" t="s">
        <v>7800</v>
      </c>
      <c r="J280" s="11">
        <v>97899.0</v>
      </c>
      <c r="K280" s="6">
        <f t="shared" si="2"/>
        <v>0.001090512541</v>
      </c>
      <c r="L280" s="7">
        <v>0.006777240598024581</v>
      </c>
      <c r="M280" s="8">
        <f t="shared" si="1"/>
        <v>8239087</v>
      </c>
    </row>
    <row r="281">
      <c r="A281" s="9">
        <v>45917.0</v>
      </c>
      <c r="B281" s="1">
        <v>413.95</v>
      </c>
      <c r="C281" s="1">
        <v>414.6</v>
      </c>
      <c r="D281" s="1">
        <v>408.05</v>
      </c>
      <c r="E281" s="1">
        <v>413.1</v>
      </c>
      <c r="F281" s="1">
        <v>409.3</v>
      </c>
      <c r="G281" s="1">
        <v>410.17</v>
      </c>
      <c r="H281" s="1" t="s">
        <v>7803</v>
      </c>
      <c r="I281" s="1" t="s">
        <v>7804</v>
      </c>
      <c r="J281" s="1" t="s">
        <v>7805</v>
      </c>
      <c r="K281" s="6">
        <f t="shared" si="2"/>
        <v>-0.009198741225</v>
      </c>
      <c r="L281" s="7">
        <v>0.0036114599965926465</v>
      </c>
      <c r="M281" s="8">
        <f t="shared" si="1"/>
        <v>14113882</v>
      </c>
    </row>
    <row r="282">
      <c r="A282" s="9">
        <v>45918.0</v>
      </c>
      <c r="B282" s="1">
        <v>411.35</v>
      </c>
      <c r="C282" s="1">
        <v>413.05</v>
      </c>
      <c r="D282" s="1">
        <v>410.1</v>
      </c>
      <c r="E282" s="1">
        <v>409.3</v>
      </c>
      <c r="F282" s="1">
        <v>411.55</v>
      </c>
      <c r="G282" s="1">
        <v>411.51</v>
      </c>
      <c r="H282" s="1" t="s">
        <v>7809</v>
      </c>
      <c r="I282" s="1" t="s">
        <v>7810</v>
      </c>
      <c r="J282" s="1" t="s">
        <v>7811</v>
      </c>
      <c r="K282" s="6">
        <f t="shared" si="2"/>
        <v>0.005497190325</v>
      </c>
      <c r="L282" s="7">
        <v>0.003685316962919772</v>
      </c>
      <c r="M282" s="8">
        <f t="shared" si="1"/>
        <v>15647808</v>
      </c>
    </row>
    <row r="283">
      <c r="A283" s="9">
        <v>45919.0</v>
      </c>
      <c r="B283" s="1">
        <v>411.55</v>
      </c>
      <c r="C283" s="1">
        <v>412.6</v>
      </c>
      <c r="D283" s="1">
        <v>408.95</v>
      </c>
      <c r="E283" s="1">
        <v>411.55</v>
      </c>
      <c r="F283" s="1">
        <v>410.65</v>
      </c>
      <c r="G283" s="1">
        <v>410.47</v>
      </c>
      <c r="H283" s="1" t="s">
        <v>7815</v>
      </c>
      <c r="I283" s="1" t="s">
        <v>7816</v>
      </c>
      <c r="J283" s="1" t="s">
        <v>7817</v>
      </c>
      <c r="K283" s="6">
        <f t="shared" si="2"/>
        <v>-0.002186854574</v>
      </c>
      <c r="L283" s="7">
        <v>-0.0037976525747730173</v>
      </c>
      <c r="M283" s="8">
        <f t="shared" si="1"/>
        <v>19505321</v>
      </c>
    </row>
    <row r="284">
      <c r="A284" s="9">
        <v>45922.0</v>
      </c>
      <c r="B284" s="1">
        <v>410.65</v>
      </c>
      <c r="C284" s="1">
        <v>411.0</v>
      </c>
      <c r="D284" s="1">
        <v>406.05</v>
      </c>
      <c r="E284" s="1">
        <v>410.65</v>
      </c>
      <c r="F284" s="1">
        <v>406.95</v>
      </c>
      <c r="G284" s="1">
        <v>408.02</v>
      </c>
      <c r="H284" s="1" t="s">
        <v>7821</v>
      </c>
      <c r="I284" s="1" t="s">
        <v>7822</v>
      </c>
      <c r="J284" s="1" t="s">
        <v>7823</v>
      </c>
      <c r="K284" s="6">
        <f t="shared" si="2"/>
        <v>-0.00901010593</v>
      </c>
      <c r="L284" s="7">
        <v>-0.004923589600841816</v>
      </c>
      <c r="M284" s="8">
        <f t="shared" si="1"/>
        <v>8930779</v>
      </c>
    </row>
    <row r="285">
      <c r="A285" s="9">
        <v>45923.0</v>
      </c>
      <c r="B285" s="1">
        <v>407.1</v>
      </c>
      <c r="C285" s="1">
        <v>408.1</v>
      </c>
      <c r="D285" s="1">
        <v>402.1</v>
      </c>
      <c r="E285" s="1">
        <v>406.95</v>
      </c>
      <c r="F285" s="1">
        <v>403.2</v>
      </c>
      <c r="G285" s="1">
        <v>403.67</v>
      </c>
      <c r="H285" s="1" t="s">
        <v>7827</v>
      </c>
      <c r="I285" s="1" t="s">
        <v>7828</v>
      </c>
      <c r="J285" s="1" t="s">
        <v>7829</v>
      </c>
      <c r="K285" s="6">
        <f t="shared" si="2"/>
        <v>-0.009214891264</v>
      </c>
      <c r="L285" s="7">
        <v>-0.0013034498766979488</v>
      </c>
      <c r="M285" s="8">
        <f t="shared" si="1"/>
        <v>14936357</v>
      </c>
    </row>
    <row r="286">
      <c r="A286" s="9">
        <v>45924.0</v>
      </c>
      <c r="B286" s="1">
        <v>403.2</v>
      </c>
      <c r="C286" s="1">
        <v>404.65</v>
      </c>
      <c r="D286" s="1">
        <v>400.7</v>
      </c>
      <c r="E286" s="1">
        <v>403.2</v>
      </c>
      <c r="F286" s="1">
        <v>401.0</v>
      </c>
      <c r="G286" s="1">
        <v>401.65</v>
      </c>
      <c r="H286" s="1" t="s">
        <v>7833</v>
      </c>
      <c r="I286" s="1" t="s">
        <v>7834</v>
      </c>
      <c r="J286" s="1" t="s">
        <v>7835</v>
      </c>
      <c r="K286" s="6">
        <f t="shared" si="2"/>
        <v>-0.005456349206</v>
      </c>
      <c r="L286" s="7">
        <v>-0.004473668527384276</v>
      </c>
      <c r="M286" s="8">
        <f t="shared" si="1"/>
        <v>12380865</v>
      </c>
    </row>
    <row r="287">
      <c r="A287" s="9">
        <v>45925.0</v>
      </c>
      <c r="B287" s="1">
        <v>401.45</v>
      </c>
      <c r="C287" s="1">
        <v>403.0</v>
      </c>
      <c r="D287" s="1">
        <v>398.0</v>
      </c>
      <c r="E287" s="1">
        <v>401.0</v>
      </c>
      <c r="F287" s="1">
        <v>400.1</v>
      </c>
      <c r="G287" s="1">
        <v>400.05</v>
      </c>
      <c r="H287" s="1" t="s">
        <v>7839</v>
      </c>
      <c r="I287" s="1" t="s">
        <v>7840</v>
      </c>
      <c r="J287" s="1" t="s">
        <v>7841</v>
      </c>
      <c r="K287" s="6">
        <f t="shared" si="2"/>
        <v>-0.002244389027</v>
      </c>
      <c r="L287" s="7">
        <v>-0.006626917136597221</v>
      </c>
      <c r="M287" s="8">
        <f t="shared" si="1"/>
        <v>22006368</v>
      </c>
    </row>
    <row r="288">
      <c r="A288" s="9">
        <v>45926.0</v>
      </c>
      <c r="B288" s="1">
        <v>400.1</v>
      </c>
      <c r="C288" s="1">
        <v>405.9</v>
      </c>
      <c r="D288" s="1">
        <v>399.8</v>
      </c>
      <c r="E288" s="1">
        <v>400.1</v>
      </c>
      <c r="F288" s="1">
        <v>405.1</v>
      </c>
      <c r="G288" s="1">
        <v>403.62</v>
      </c>
      <c r="H288" s="1" t="s">
        <v>7848</v>
      </c>
      <c r="I288" s="1" t="s">
        <v>7849</v>
      </c>
      <c r="J288" s="1" t="s">
        <v>7850</v>
      </c>
      <c r="K288" s="6">
        <f t="shared" si="2"/>
        <v>0.01249687578</v>
      </c>
      <c r="L288" s="7">
        <v>-0.009487422084822247</v>
      </c>
      <c r="M288" s="8">
        <f t="shared" si="1"/>
        <v>14414044</v>
      </c>
    </row>
    <row r="289">
      <c r="A289" s="9">
        <v>45929.0</v>
      </c>
      <c r="B289" s="1">
        <v>406.9</v>
      </c>
      <c r="C289" s="1">
        <v>408.0</v>
      </c>
      <c r="D289" s="1">
        <v>403.2</v>
      </c>
      <c r="E289" s="1">
        <v>405.1</v>
      </c>
      <c r="F289" s="1">
        <v>407.25</v>
      </c>
      <c r="G289" s="1">
        <v>406.55</v>
      </c>
      <c r="H289" s="1" t="s">
        <v>7854</v>
      </c>
      <c r="I289" s="1" t="s">
        <v>7855</v>
      </c>
      <c r="J289" s="1" t="s">
        <v>7857</v>
      </c>
      <c r="K289" s="6">
        <f t="shared" si="2"/>
        <v>0.005307331523</v>
      </c>
      <c r="L289" s="7">
        <v>-8.03092310999496E-4</v>
      </c>
      <c r="M289" s="8">
        <f t="shared" si="1"/>
        <v>19717660</v>
      </c>
    </row>
    <row r="290">
      <c r="A290" s="9">
        <v>45930.0</v>
      </c>
      <c r="B290" s="1">
        <v>406.75</v>
      </c>
      <c r="C290" s="1">
        <v>406.75</v>
      </c>
      <c r="D290" s="1">
        <v>400.4</v>
      </c>
      <c r="E290" s="1">
        <v>407.25</v>
      </c>
      <c r="F290" s="1">
        <v>401.55</v>
      </c>
      <c r="G290" s="1">
        <v>402.22</v>
      </c>
      <c r="H290" s="1" t="s">
        <v>7860</v>
      </c>
      <c r="I290" s="1" t="s">
        <v>7862</v>
      </c>
      <c r="J290" s="1" t="s">
        <v>7864</v>
      </c>
      <c r="K290" s="6">
        <f t="shared" si="2"/>
        <v>-0.01399631676</v>
      </c>
      <c r="L290" s="7">
        <v>-9.661090566636321E-4</v>
      </c>
      <c r="M290" s="8">
        <f t="shared" si="1"/>
        <v>9465490</v>
      </c>
    </row>
    <row r="291">
      <c r="A291" s="3">
        <v>45931.0</v>
      </c>
      <c r="B291" s="1">
        <v>402.35</v>
      </c>
      <c r="C291" s="1">
        <v>406.0</v>
      </c>
      <c r="D291" s="1">
        <v>399.75</v>
      </c>
      <c r="E291" s="1">
        <v>401.55</v>
      </c>
      <c r="F291" s="1">
        <v>405.6</v>
      </c>
      <c r="G291" s="1">
        <v>403.72</v>
      </c>
      <c r="H291" s="1" t="s">
        <v>7869</v>
      </c>
      <c r="I291" s="1" t="s">
        <v>7870</v>
      </c>
      <c r="J291" s="1" t="s">
        <v>7871</v>
      </c>
      <c r="K291" s="6">
        <f t="shared" si="2"/>
        <v>0.01008591707</v>
      </c>
      <c r="L291" s="7">
        <v>0.009150342731531737</v>
      </c>
      <c r="M291" s="8">
        <f t="shared" si="1"/>
        <v>17643039</v>
      </c>
    </row>
    <row r="292">
      <c r="A292" s="3">
        <v>45933.0</v>
      </c>
      <c r="B292" s="1">
        <v>404.9</v>
      </c>
      <c r="C292" s="1">
        <v>405.5</v>
      </c>
      <c r="D292" s="1">
        <v>402.3</v>
      </c>
      <c r="E292" s="1">
        <v>405.6</v>
      </c>
      <c r="F292" s="1">
        <v>404.3</v>
      </c>
      <c r="G292" s="1">
        <v>404.32</v>
      </c>
      <c r="H292" s="1" t="s">
        <v>7875</v>
      </c>
      <c r="I292" s="1" t="s">
        <v>7876</v>
      </c>
      <c r="J292" s="1" t="s">
        <v>7877</v>
      </c>
      <c r="K292" s="6">
        <f t="shared" si="2"/>
        <v>-0.003205128205</v>
      </c>
      <c r="L292" s="7">
        <v>0.002333278306350009</v>
      </c>
      <c r="M292" s="8">
        <f t="shared" si="1"/>
        <v>16987141</v>
      </c>
    </row>
    <row r="293">
      <c r="A293" s="3">
        <v>45936.0</v>
      </c>
      <c r="B293" s="1">
        <v>403.0</v>
      </c>
      <c r="C293" s="1">
        <v>403.9</v>
      </c>
      <c r="D293" s="1">
        <v>399.8</v>
      </c>
      <c r="E293" s="1">
        <v>404.3</v>
      </c>
      <c r="F293" s="1">
        <v>400.75</v>
      </c>
      <c r="G293" s="1">
        <v>400.71</v>
      </c>
      <c r="H293" s="1" t="s">
        <v>7881</v>
      </c>
      <c r="I293" s="1" t="s">
        <v>7882</v>
      </c>
      <c r="J293" s="1" t="s">
        <v>7883</v>
      </c>
      <c r="K293" s="6">
        <f t="shared" si="2"/>
        <v>-0.008780608459</v>
      </c>
      <c r="L293" s="7">
        <v>0.007367163099912689</v>
      </c>
      <c r="M293" s="8">
        <f t="shared" si="1"/>
        <v>13989077</v>
      </c>
    </row>
    <row r="294">
      <c r="A294" s="3">
        <v>45937.0</v>
      </c>
      <c r="B294" s="1">
        <v>402.5</v>
      </c>
      <c r="C294" s="1">
        <v>402.6</v>
      </c>
      <c r="D294" s="1">
        <v>399.5</v>
      </c>
      <c r="E294" s="1">
        <v>400.75</v>
      </c>
      <c r="F294" s="1">
        <v>399.8</v>
      </c>
      <c r="G294" s="1">
        <v>400.47</v>
      </c>
      <c r="H294" s="1" t="s">
        <v>7887</v>
      </c>
      <c r="I294" s="1" t="s">
        <v>7888</v>
      </c>
      <c r="J294" s="1" t="s">
        <v>7889</v>
      </c>
      <c r="K294" s="6">
        <f t="shared" si="2"/>
        <v>-0.002370555209</v>
      </c>
      <c r="L294" s="7">
        <v>0.0012222038348887482</v>
      </c>
      <c r="M294" s="8">
        <f t="shared" si="1"/>
        <v>12298968</v>
      </c>
    </row>
    <row r="295">
      <c r="A295" s="3">
        <v>45938.0</v>
      </c>
      <c r="B295" s="1">
        <v>400.0</v>
      </c>
      <c r="C295" s="1">
        <v>401.75</v>
      </c>
      <c r="D295" s="1">
        <v>398.0</v>
      </c>
      <c r="E295" s="1">
        <v>399.8</v>
      </c>
      <c r="F295" s="1">
        <v>399.75</v>
      </c>
      <c r="G295" s="1">
        <v>399.5</v>
      </c>
      <c r="H295" s="1" t="s">
        <v>7893</v>
      </c>
      <c r="I295" s="1" t="s">
        <v>7894</v>
      </c>
      <c r="J295" s="11">
        <v>93216.0</v>
      </c>
      <c r="K295" s="6">
        <f t="shared" si="2"/>
        <v>-0.0001250625313</v>
      </c>
      <c r="L295" s="7">
        <v>-0.0024752770996044264</v>
      </c>
      <c r="M295" s="8">
        <f t="shared" si="1"/>
        <v>8402463</v>
      </c>
    </row>
    <row r="296">
      <c r="A296" s="3">
        <v>45939.0</v>
      </c>
      <c r="B296" s="1">
        <v>399.0</v>
      </c>
      <c r="C296" s="1">
        <v>401.4</v>
      </c>
      <c r="D296" s="1">
        <v>398.95</v>
      </c>
      <c r="E296" s="1">
        <v>399.75</v>
      </c>
      <c r="F296" s="1">
        <v>399.9</v>
      </c>
      <c r="G296" s="1">
        <v>399.97</v>
      </c>
      <c r="H296" s="1" t="s">
        <v>7898</v>
      </c>
      <c r="I296" s="1" t="s">
        <v>7899</v>
      </c>
      <c r="J296" s="1" t="s">
        <v>7901</v>
      </c>
      <c r="K296" s="6">
        <f t="shared" si="2"/>
        <v>0.0003752345216</v>
      </c>
      <c r="L296" s="7">
        <v>0.005416002060196789</v>
      </c>
      <c r="M296" s="8">
        <f t="shared" si="1"/>
        <v>15656267</v>
      </c>
    </row>
    <row r="297">
      <c r="A297" s="9">
        <v>45940.0</v>
      </c>
      <c r="B297" s="1">
        <v>400.45</v>
      </c>
      <c r="C297" s="1">
        <v>403.85</v>
      </c>
      <c r="D297" s="1">
        <v>399.5</v>
      </c>
      <c r="E297" s="1">
        <v>399.9</v>
      </c>
      <c r="F297" s="1">
        <v>402.8</v>
      </c>
      <c r="G297" s="1">
        <v>402.29</v>
      </c>
      <c r="H297" s="1" t="s">
        <v>7907</v>
      </c>
      <c r="I297" s="1" t="s">
        <v>7908</v>
      </c>
      <c r="J297" s="1" t="s">
        <v>7909</v>
      </c>
      <c r="K297" s="6">
        <f t="shared" si="2"/>
        <v>0.007251812953</v>
      </c>
      <c r="L297" s="7">
        <v>0.004112096831838839</v>
      </c>
      <c r="M297" s="8">
        <f t="shared" si="1"/>
        <v>15085738</v>
      </c>
    </row>
    <row r="298">
      <c r="A298" s="9">
        <v>45943.0</v>
      </c>
      <c r="B298" s="1">
        <v>400.0</v>
      </c>
      <c r="C298" s="1">
        <v>400.95</v>
      </c>
      <c r="D298" s="1">
        <v>398.55</v>
      </c>
      <c r="E298" s="1">
        <v>402.8</v>
      </c>
      <c r="F298" s="1">
        <v>399.25</v>
      </c>
      <c r="G298" s="1">
        <v>399.67</v>
      </c>
      <c r="H298" s="1" t="s">
        <v>7913</v>
      </c>
      <c r="I298" s="1" t="s">
        <v>7914</v>
      </c>
      <c r="J298" s="1" t="s">
        <v>7915</v>
      </c>
      <c r="K298" s="6">
        <f t="shared" si="2"/>
        <v>-0.008813306852</v>
      </c>
      <c r="L298" s="7">
        <v>-0.002293818357270119</v>
      </c>
      <c r="M298" s="8">
        <f t="shared" si="1"/>
        <v>9508594</v>
      </c>
    </row>
    <row r="299">
      <c r="A299" s="9">
        <v>45944.0</v>
      </c>
      <c r="B299" s="1">
        <v>400.0</v>
      </c>
      <c r="C299" s="1">
        <v>400.85</v>
      </c>
      <c r="D299" s="1">
        <v>396.2</v>
      </c>
      <c r="E299" s="1">
        <v>399.25</v>
      </c>
      <c r="F299" s="1">
        <v>396.8</v>
      </c>
      <c r="G299" s="1">
        <v>397.77</v>
      </c>
      <c r="H299" s="1" t="s">
        <v>7919</v>
      </c>
      <c r="I299" s="1" t="s">
        <v>7920</v>
      </c>
      <c r="J299" s="1" t="s">
        <v>7921</v>
      </c>
      <c r="K299" s="6">
        <f t="shared" si="2"/>
        <v>-0.006136505949</v>
      </c>
      <c r="L299" s="7">
        <v>-0.003244494566412982</v>
      </c>
      <c r="M299" s="8">
        <f t="shared" si="1"/>
        <v>10291102</v>
      </c>
    </row>
    <row r="300">
      <c r="A300" s="9">
        <v>45945.0</v>
      </c>
      <c r="B300" s="1">
        <v>398.0</v>
      </c>
      <c r="C300" s="1">
        <v>400.85</v>
      </c>
      <c r="D300" s="1">
        <v>397.25</v>
      </c>
      <c r="E300" s="1">
        <v>396.8</v>
      </c>
      <c r="F300" s="1">
        <v>399.9</v>
      </c>
      <c r="G300" s="1">
        <v>399.77</v>
      </c>
      <c r="H300" s="1" t="s">
        <v>7925</v>
      </c>
      <c r="I300" s="1" t="s">
        <v>7926</v>
      </c>
      <c r="J300" s="1" t="s">
        <v>7927</v>
      </c>
      <c r="K300" s="6">
        <f t="shared" si="2"/>
        <v>0.0078125</v>
      </c>
      <c r="L300" s="7">
        <v>0.007080789803344506</v>
      </c>
      <c r="M300" s="8">
        <f t="shared" si="1"/>
        <v>16043867</v>
      </c>
    </row>
    <row r="301">
      <c r="A301" s="9">
        <v>45946.0</v>
      </c>
      <c r="B301" s="1">
        <v>401.0</v>
      </c>
      <c r="C301" s="1">
        <v>406.0</v>
      </c>
      <c r="D301" s="1">
        <v>399.55</v>
      </c>
      <c r="E301" s="1">
        <v>399.9</v>
      </c>
      <c r="F301" s="1">
        <v>405.15</v>
      </c>
      <c r="G301" s="1">
        <v>403.0</v>
      </c>
      <c r="H301" s="1" t="s">
        <v>7928</v>
      </c>
      <c r="I301" s="1" t="s">
        <v>7930</v>
      </c>
      <c r="J301" s="1" t="s">
        <v>7931</v>
      </c>
      <c r="K301" s="6">
        <f t="shared" si="2"/>
        <v>0.01312828207</v>
      </c>
      <c r="L301" s="7">
        <v>0.01033622853036008</v>
      </c>
      <c r="M301" s="8">
        <f t="shared" si="1"/>
        <v>22962049</v>
      </c>
    </row>
    <row r="302">
      <c r="A302" s="9">
        <v>45947.0</v>
      </c>
      <c r="B302" s="1">
        <v>405.35</v>
      </c>
      <c r="C302" s="1">
        <v>413.85</v>
      </c>
      <c r="D302" s="1">
        <v>405.25</v>
      </c>
      <c r="E302" s="1">
        <v>405.15</v>
      </c>
      <c r="F302" s="1">
        <v>412.15</v>
      </c>
      <c r="G302" s="1">
        <v>411.42</v>
      </c>
      <c r="H302" s="1" t="s">
        <v>7934</v>
      </c>
      <c r="I302" s="1" t="s">
        <v>7935</v>
      </c>
      <c r="J302" s="1" t="s">
        <v>7936</v>
      </c>
      <c r="K302" s="6">
        <f t="shared" si="2"/>
        <v>0.01727755152</v>
      </c>
      <c r="L302" s="7">
        <v>0.004868029688922908</v>
      </c>
      <c r="M302" s="8">
        <f t="shared" si="1"/>
        <v>21071344</v>
      </c>
    </row>
    <row r="303">
      <c r="A303" s="9">
        <v>45950.0</v>
      </c>
      <c r="B303" s="1">
        <v>412.55</v>
      </c>
      <c r="C303" s="1">
        <v>414.85</v>
      </c>
      <c r="D303" s="1">
        <v>411.3</v>
      </c>
      <c r="E303" s="1">
        <v>412.15</v>
      </c>
      <c r="F303" s="1">
        <v>413.05</v>
      </c>
      <c r="G303" s="1">
        <v>412.96</v>
      </c>
      <c r="H303" s="1" t="s">
        <v>7939</v>
      </c>
      <c r="I303" s="1" t="s">
        <v>7941</v>
      </c>
      <c r="J303" s="1" t="s">
        <v>7942</v>
      </c>
      <c r="K303" s="6">
        <f t="shared" si="2"/>
        <v>0.002183670994</v>
      </c>
      <c r="L303" s="7">
        <v>0.0051847832640020425</v>
      </c>
      <c r="M303" s="8">
        <f t="shared" si="1"/>
        <v>13083621</v>
      </c>
    </row>
    <row r="304">
      <c r="A304" s="9">
        <v>45951.0</v>
      </c>
      <c r="B304" s="1">
        <v>413.5</v>
      </c>
      <c r="C304" s="1">
        <v>413.95</v>
      </c>
      <c r="D304" s="1">
        <v>412.35</v>
      </c>
      <c r="E304" s="1">
        <v>413.05</v>
      </c>
      <c r="F304" s="1">
        <v>412.85</v>
      </c>
      <c r="G304" s="1">
        <v>412.93</v>
      </c>
      <c r="H304" s="1" t="s">
        <v>7943</v>
      </c>
      <c r="I304" s="1" t="s">
        <v>7944</v>
      </c>
      <c r="J304" s="11">
        <v>38260.0</v>
      </c>
      <c r="K304" s="6">
        <f t="shared" si="2"/>
        <v>-0.000484202881</v>
      </c>
      <c r="L304" s="7">
        <v>9.847870712353984E-4</v>
      </c>
      <c r="M304" s="8">
        <f t="shared" si="1"/>
        <v>1142130</v>
      </c>
    </row>
    <row r="305">
      <c r="A305" s="9">
        <v>45953.0</v>
      </c>
      <c r="B305" s="1">
        <v>416.0</v>
      </c>
      <c r="C305" s="1">
        <v>420.45</v>
      </c>
      <c r="D305" s="1">
        <v>413.55</v>
      </c>
      <c r="E305" s="1">
        <v>412.85</v>
      </c>
      <c r="F305" s="1">
        <v>415.95</v>
      </c>
      <c r="G305" s="1">
        <v>417.33</v>
      </c>
      <c r="H305" s="1" t="s">
        <v>7948</v>
      </c>
      <c r="I305" s="1" t="s">
        <v>7949</v>
      </c>
      <c r="J305" s="1" t="s">
        <v>7950</v>
      </c>
      <c r="K305" s="6">
        <f t="shared" si="2"/>
        <v>0.007508780429</v>
      </c>
      <c r="L305" s="7">
        <v>8.813774228216027E-4</v>
      </c>
      <c r="M305" s="8">
        <f t="shared" si="1"/>
        <v>24305990</v>
      </c>
    </row>
    <row r="306">
      <c r="A306" s="9">
        <v>45954.0</v>
      </c>
      <c r="B306" s="1">
        <v>415.95</v>
      </c>
      <c r="C306" s="1">
        <v>417.95</v>
      </c>
      <c r="D306" s="1">
        <v>413.45</v>
      </c>
      <c r="E306" s="1">
        <v>415.95</v>
      </c>
      <c r="F306" s="1">
        <v>416.8</v>
      </c>
      <c r="G306" s="1">
        <v>415.51</v>
      </c>
      <c r="H306" s="1" t="s">
        <v>7954</v>
      </c>
      <c r="I306" s="1" t="s">
        <v>7955</v>
      </c>
      <c r="J306" s="1" t="s">
        <v>7956</v>
      </c>
      <c r="K306" s="6">
        <f t="shared" si="2"/>
        <v>0.002043514846</v>
      </c>
      <c r="L306" s="7">
        <v>-0.003717450582046548</v>
      </c>
      <c r="M306" s="8">
        <f t="shared" si="1"/>
        <v>14935678</v>
      </c>
    </row>
    <row r="307">
      <c r="A307" s="9">
        <v>45957.0</v>
      </c>
      <c r="B307" s="1">
        <v>417.0</v>
      </c>
      <c r="C307" s="1">
        <v>422.7</v>
      </c>
      <c r="D307" s="1">
        <v>416.6</v>
      </c>
      <c r="E307" s="1">
        <v>416.8</v>
      </c>
      <c r="F307" s="1">
        <v>420.65</v>
      </c>
      <c r="G307" s="1">
        <v>420.58</v>
      </c>
      <c r="H307" s="1" t="s">
        <v>7960</v>
      </c>
      <c r="I307" s="1" t="s">
        <v>7961</v>
      </c>
      <c r="J307" s="1" t="s">
        <v>7962</v>
      </c>
      <c r="K307" s="6">
        <f t="shared" si="2"/>
        <v>0.009237044146</v>
      </c>
      <c r="L307" s="7">
        <v>0.0066252764570083065</v>
      </c>
      <c r="M307" s="8">
        <f t="shared" si="1"/>
        <v>11603679</v>
      </c>
    </row>
    <row r="308">
      <c r="A308" s="9">
        <v>45958.0</v>
      </c>
      <c r="B308" s="1">
        <v>420.5</v>
      </c>
      <c r="C308" s="1">
        <v>421.65</v>
      </c>
      <c r="D308" s="1">
        <v>415.9</v>
      </c>
      <c r="E308" s="1">
        <v>420.65</v>
      </c>
      <c r="F308" s="1">
        <v>417.9</v>
      </c>
      <c r="G308" s="1">
        <v>417.96</v>
      </c>
      <c r="H308" s="1" t="s">
        <v>7964</v>
      </c>
      <c r="I308" s="1" t="s">
        <v>7965</v>
      </c>
      <c r="J308" s="1" t="s">
        <v>7967</v>
      </c>
      <c r="K308" s="6">
        <f t="shared" si="2"/>
        <v>-0.006537501486</v>
      </c>
      <c r="L308" s="7">
        <v>-0.0011495780066663411</v>
      </c>
      <c r="M308" s="8">
        <f t="shared" si="1"/>
        <v>17163147</v>
      </c>
    </row>
    <row r="309">
      <c r="A309" s="9">
        <v>45959.0</v>
      </c>
      <c r="B309" s="1">
        <v>418.2</v>
      </c>
      <c r="C309" s="1">
        <v>422.2</v>
      </c>
      <c r="D309" s="1">
        <v>416.05</v>
      </c>
      <c r="E309" s="1">
        <v>417.9</v>
      </c>
      <c r="F309" s="1">
        <v>421.6</v>
      </c>
      <c r="G309" s="1">
        <v>419.47</v>
      </c>
      <c r="H309" s="1" t="s">
        <v>7969</v>
      </c>
      <c r="I309" s="1" t="s">
        <v>7970</v>
      </c>
      <c r="J309" s="1" t="s">
        <v>7971</v>
      </c>
      <c r="K309" s="6">
        <f t="shared" si="2"/>
        <v>0.008853792773</v>
      </c>
      <c r="L309" s="7">
        <v>0.004538058774994052</v>
      </c>
      <c r="M309" s="8">
        <f t="shared" si="1"/>
        <v>11470661</v>
      </c>
    </row>
    <row r="310">
      <c r="A310" s="9">
        <v>45960.0</v>
      </c>
      <c r="B310" s="1">
        <v>421.6</v>
      </c>
      <c r="C310" s="1">
        <v>421.7</v>
      </c>
      <c r="D310" s="1">
        <v>416.15</v>
      </c>
      <c r="E310" s="1">
        <v>421.6</v>
      </c>
      <c r="F310" s="1">
        <v>418.75</v>
      </c>
      <c r="G310" s="1">
        <v>419.29</v>
      </c>
      <c r="H310" s="1" t="s">
        <v>7975</v>
      </c>
      <c r="I310" s="1" t="s">
        <v>7976</v>
      </c>
      <c r="J310" s="1" t="s">
        <v>7977</v>
      </c>
      <c r="K310" s="6">
        <f t="shared" si="2"/>
        <v>-0.006759962049</v>
      </c>
      <c r="L310" s="7">
        <v>-0.006757145763206388</v>
      </c>
      <c r="M310" s="8">
        <f t="shared" si="1"/>
        <v>12938674</v>
      </c>
    </row>
    <row r="311">
      <c r="A311" s="9">
        <v>45961.0</v>
      </c>
      <c r="B311" s="1">
        <v>420.5</v>
      </c>
      <c r="C311" s="1">
        <v>426.4</v>
      </c>
      <c r="D311" s="1">
        <v>418.2</v>
      </c>
      <c r="E311" s="1">
        <v>418.75</v>
      </c>
      <c r="F311" s="1">
        <v>420.35</v>
      </c>
      <c r="G311" s="1">
        <v>422.45</v>
      </c>
      <c r="H311" s="1" t="s">
        <v>7981</v>
      </c>
      <c r="I311" s="1" t="s">
        <v>7982</v>
      </c>
      <c r="J311" s="1" t="s">
        <v>7983</v>
      </c>
      <c r="K311" s="6">
        <f t="shared" si="2"/>
        <v>0.003820895522</v>
      </c>
      <c r="L311" s="7">
        <v>-0.006018660746545792</v>
      </c>
      <c r="M311" s="8">
        <f t="shared" si="1"/>
        <v>18599864</v>
      </c>
    </row>
    <row r="312">
      <c r="A312" s="3">
        <v>45964.0</v>
      </c>
      <c r="B312" s="1">
        <v>419.95</v>
      </c>
      <c r="C312" s="1">
        <v>421.65</v>
      </c>
      <c r="D312" s="1">
        <v>413.3</v>
      </c>
      <c r="E312" s="1">
        <v>420.35</v>
      </c>
      <c r="F312" s="1">
        <v>413.95</v>
      </c>
      <c r="G312" s="1">
        <v>415.71</v>
      </c>
      <c r="H312" s="1" t="s">
        <v>7987</v>
      </c>
      <c r="I312" s="1" t="s">
        <v>7988</v>
      </c>
      <c r="J312" s="1" t="s">
        <v>7989</v>
      </c>
      <c r="K312" s="6">
        <f t="shared" si="2"/>
        <v>-0.0152254074</v>
      </c>
      <c r="L312" s="7">
        <v>0.0016036793263380518</v>
      </c>
      <c r="M312" s="8">
        <f t="shared" si="1"/>
        <v>7635440</v>
      </c>
    </row>
    <row r="313">
      <c r="A313" s="3">
        <v>45965.0</v>
      </c>
      <c r="B313" s="1">
        <v>414.0</v>
      </c>
      <c r="C313" s="1">
        <v>414.5</v>
      </c>
      <c r="D313" s="1">
        <v>408.35</v>
      </c>
      <c r="E313" s="1">
        <v>413.95</v>
      </c>
      <c r="F313" s="1">
        <v>408.9</v>
      </c>
      <c r="G313" s="1">
        <v>410.16</v>
      </c>
      <c r="H313" s="1" t="s">
        <v>7993</v>
      </c>
      <c r="I313" s="1" t="s">
        <v>7994</v>
      </c>
      <c r="J313" s="1" t="s">
        <v>7995</v>
      </c>
      <c r="K313" s="6">
        <f t="shared" si="2"/>
        <v>-0.01219954101</v>
      </c>
      <c r="L313" s="7">
        <v>-0.006431617006328645</v>
      </c>
      <c r="M313" s="8">
        <f t="shared" si="1"/>
        <v>10085404</v>
      </c>
    </row>
    <row r="314">
      <c r="A314" s="3">
        <v>45967.0</v>
      </c>
      <c r="B314" s="1">
        <v>410.0</v>
      </c>
      <c r="C314" s="1">
        <v>413.3</v>
      </c>
      <c r="D314" s="1">
        <v>406.55</v>
      </c>
      <c r="E314" s="1">
        <v>408.9</v>
      </c>
      <c r="F314" s="1">
        <v>407.5</v>
      </c>
      <c r="G314" s="1">
        <v>408.26</v>
      </c>
      <c r="H314" s="1" t="s">
        <v>7999</v>
      </c>
      <c r="I314" s="1" t="s">
        <v>8000</v>
      </c>
      <c r="J314" s="1" t="s">
        <v>8001</v>
      </c>
      <c r="K314" s="6">
        <f t="shared" si="2"/>
        <v>-0.003423820005</v>
      </c>
      <c r="L314" s="7">
        <v>-0.003435862276419934</v>
      </c>
      <c r="M314" s="8">
        <f t="shared" si="1"/>
        <v>10095563</v>
      </c>
    </row>
    <row r="315">
      <c r="A315" s="3">
        <v>45968.0</v>
      </c>
      <c r="B315" s="1">
        <v>406.05</v>
      </c>
      <c r="C315" s="1">
        <v>409.1</v>
      </c>
      <c r="D315" s="1">
        <v>403.1</v>
      </c>
      <c r="E315" s="1">
        <v>407.5</v>
      </c>
      <c r="F315" s="1">
        <v>404.05</v>
      </c>
      <c r="G315" s="1">
        <v>405.13</v>
      </c>
      <c r="H315" s="1" t="s">
        <v>8005</v>
      </c>
      <c r="I315" s="1" t="s">
        <v>8006</v>
      </c>
      <c r="J315" s="11">
        <v>92747.0</v>
      </c>
      <c r="K315" s="6">
        <f t="shared" si="2"/>
        <v>-0.008466257669</v>
      </c>
      <c r="L315" s="7">
        <v>-6.820934781671856E-4</v>
      </c>
      <c r="M315" s="8">
        <f t="shared" si="1"/>
        <v>8411611</v>
      </c>
    </row>
    <row r="316">
      <c r="A316" s="9">
        <v>45971.0</v>
      </c>
      <c r="B316" s="1">
        <v>404.05</v>
      </c>
      <c r="C316" s="1">
        <v>407.1</v>
      </c>
      <c r="D316" s="1">
        <v>403.65</v>
      </c>
      <c r="E316" s="1">
        <v>404.05</v>
      </c>
      <c r="F316" s="1">
        <v>405.55</v>
      </c>
      <c r="G316" s="1">
        <v>405.75</v>
      </c>
      <c r="H316" s="1" t="s">
        <v>8010</v>
      </c>
      <c r="I316" s="1" t="s">
        <v>8011</v>
      </c>
      <c r="J316" s="1" t="s">
        <v>8012</v>
      </c>
      <c r="K316" s="6">
        <f t="shared" si="2"/>
        <v>0.00371241183</v>
      </c>
      <c r="L316" s="7">
        <v>0.003218618955527719</v>
      </c>
      <c r="M316" s="8">
        <f t="shared" si="1"/>
        <v>6650003</v>
      </c>
    </row>
    <row r="317">
      <c r="A317" s="9">
        <v>45972.0</v>
      </c>
      <c r="B317" s="1">
        <v>406.0</v>
      </c>
      <c r="C317" s="1">
        <v>408.05</v>
      </c>
      <c r="D317" s="1">
        <v>404.6</v>
      </c>
      <c r="E317" s="1">
        <v>405.55</v>
      </c>
      <c r="F317" s="1">
        <v>406.85</v>
      </c>
      <c r="G317" s="1">
        <v>406.29</v>
      </c>
      <c r="H317" s="1" t="s">
        <v>8016</v>
      </c>
      <c r="I317" s="1" t="s">
        <v>8017</v>
      </c>
      <c r="J317" s="11">
        <v>97321.0</v>
      </c>
      <c r="K317" s="6">
        <f t="shared" si="2"/>
        <v>0.003205523363</v>
      </c>
      <c r="L317" s="7">
        <v>0.004715662372650808</v>
      </c>
      <c r="M317" s="8">
        <f t="shared" si="1"/>
        <v>12005318</v>
      </c>
    </row>
    <row r="318">
      <c r="A318" s="9">
        <v>45973.0</v>
      </c>
      <c r="B318" s="1">
        <v>408.0</v>
      </c>
      <c r="C318" s="1">
        <v>408.1</v>
      </c>
      <c r="D318" s="1">
        <v>405.55</v>
      </c>
      <c r="E318" s="1">
        <v>406.85</v>
      </c>
      <c r="F318" s="1">
        <v>407.0</v>
      </c>
      <c r="G318" s="1">
        <v>406.82</v>
      </c>
      <c r="H318" s="1" t="s">
        <v>8021</v>
      </c>
      <c r="I318" s="1" t="s">
        <v>8022</v>
      </c>
      <c r="J318" s="1" t="s">
        <v>8023</v>
      </c>
      <c r="K318" s="6">
        <f t="shared" si="2"/>
        <v>0.000368686248</v>
      </c>
      <c r="L318" s="7">
        <v>0.007038348002233845</v>
      </c>
      <c r="M318" s="8">
        <f t="shared" si="1"/>
        <v>7987236</v>
      </c>
    </row>
    <row r="319">
      <c r="A319" s="9">
        <v>45974.0</v>
      </c>
      <c r="B319" s="1">
        <v>407.0</v>
      </c>
      <c r="C319" s="1">
        <v>407.5</v>
      </c>
      <c r="D319" s="1">
        <v>404.5</v>
      </c>
      <c r="E319" s="1">
        <v>407.0</v>
      </c>
      <c r="F319" s="1">
        <v>405.7</v>
      </c>
      <c r="G319" s="1">
        <v>406.31</v>
      </c>
      <c r="H319" s="1" t="s">
        <v>8027</v>
      </c>
      <c r="I319" s="1" t="s">
        <v>8029</v>
      </c>
      <c r="J319" s="11">
        <v>90395.0</v>
      </c>
      <c r="K319" s="6">
        <f t="shared" si="2"/>
        <v>-0.003194103194</v>
      </c>
      <c r="L319" s="7">
        <v>1.2946459626377477E-4</v>
      </c>
      <c r="M319" s="8">
        <f t="shared" si="1"/>
        <v>6617185</v>
      </c>
    </row>
    <row r="320">
      <c r="A320" s="9">
        <v>45975.0</v>
      </c>
      <c r="B320" s="1">
        <v>404.7</v>
      </c>
      <c r="C320" s="1">
        <v>408.75</v>
      </c>
      <c r="D320" s="1">
        <v>400.1</v>
      </c>
      <c r="E320" s="1">
        <v>405.7</v>
      </c>
      <c r="F320" s="1">
        <v>408.15</v>
      </c>
      <c r="G320" s="1">
        <v>401.39</v>
      </c>
      <c r="H320" s="1" t="s">
        <v>8032</v>
      </c>
      <c r="I320" s="1" t="s">
        <v>8035</v>
      </c>
      <c r="J320" s="1" t="s">
        <v>1359</v>
      </c>
      <c r="K320" s="6">
        <f t="shared" si="2"/>
        <v>0.006038945033</v>
      </c>
      <c r="L320" s="7">
        <v>0.001194011395273717</v>
      </c>
      <c r="M320" s="8">
        <f t="shared" si="1"/>
        <v>64020258</v>
      </c>
    </row>
    <row r="321">
      <c r="A321" s="9">
        <v>45978.0</v>
      </c>
      <c r="B321" s="1">
        <v>409.75</v>
      </c>
      <c r="C321" s="1">
        <v>412.0</v>
      </c>
      <c r="D321" s="1">
        <v>406.0</v>
      </c>
      <c r="E321" s="1">
        <v>408.15</v>
      </c>
      <c r="F321" s="1">
        <v>407.1</v>
      </c>
      <c r="G321" s="1">
        <v>407.38</v>
      </c>
      <c r="H321" s="1" t="s">
        <v>8038</v>
      </c>
      <c r="I321" s="1" t="s">
        <v>8040</v>
      </c>
      <c r="J321" s="1" t="s">
        <v>8042</v>
      </c>
      <c r="K321" s="6">
        <f t="shared" si="2"/>
        <v>-0.002572583609</v>
      </c>
      <c r="L321" s="7">
        <v>0.003990729465979474</v>
      </c>
      <c r="M321" s="8">
        <f t="shared" si="1"/>
        <v>7855399</v>
      </c>
    </row>
    <row r="322">
      <c r="A322" s="9">
        <v>45979.0</v>
      </c>
      <c r="B322" s="1">
        <v>408.25</v>
      </c>
      <c r="C322" s="1">
        <v>409.8</v>
      </c>
      <c r="D322" s="1">
        <v>404.55</v>
      </c>
      <c r="E322" s="1">
        <v>407.1</v>
      </c>
      <c r="F322" s="1">
        <v>405.85</v>
      </c>
      <c r="G322" s="1">
        <v>405.64</v>
      </c>
      <c r="H322" s="1" t="s">
        <v>8045</v>
      </c>
      <c r="I322" s="1" t="s">
        <v>8047</v>
      </c>
      <c r="J322" s="11">
        <v>92029.0</v>
      </c>
      <c r="K322" s="6">
        <f t="shared" si="2"/>
        <v>-0.003070498649</v>
      </c>
      <c r="L322" s="7">
        <v>-0.003974866847726905</v>
      </c>
      <c r="M322" s="8">
        <f t="shared" si="1"/>
        <v>7661681</v>
      </c>
    </row>
    <row r="323">
      <c r="A323" s="9">
        <v>45980.0</v>
      </c>
      <c r="B323" s="1">
        <v>404.85</v>
      </c>
      <c r="C323" s="1">
        <v>405.55</v>
      </c>
      <c r="D323" s="1">
        <v>402.8</v>
      </c>
      <c r="E323" s="1">
        <v>405.85</v>
      </c>
      <c r="F323" s="1">
        <v>403.55</v>
      </c>
      <c r="G323" s="1">
        <v>403.68</v>
      </c>
      <c r="H323" s="1" t="s">
        <v>8051</v>
      </c>
      <c r="I323" s="1" t="s">
        <v>8052</v>
      </c>
      <c r="J323" s="1" t="s">
        <v>106</v>
      </c>
      <c r="K323" s="6">
        <f t="shared" si="2"/>
        <v>-0.005667118393</v>
      </c>
      <c r="L323" s="7">
        <v>0.005503655917298584</v>
      </c>
      <c r="M323" s="8">
        <f t="shared" si="1"/>
        <v>7882450</v>
      </c>
    </row>
    <row r="324">
      <c r="A324" s="9">
        <v>45981.0</v>
      </c>
      <c r="B324" s="1">
        <v>403.55</v>
      </c>
      <c r="C324" s="1">
        <v>407.0</v>
      </c>
      <c r="D324" s="1">
        <v>403.25</v>
      </c>
      <c r="E324" s="1">
        <v>403.55</v>
      </c>
      <c r="F324" s="1">
        <v>405.45</v>
      </c>
      <c r="G324" s="1">
        <v>405.55</v>
      </c>
      <c r="H324" s="1" t="s">
        <v>8054</v>
      </c>
      <c r="I324" s="1" t="s">
        <v>8056</v>
      </c>
      <c r="J324" s="1" t="s">
        <v>8058</v>
      </c>
      <c r="K324" s="6">
        <f t="shared" si="2"/>
        <v>0.004708214595</v>
      </c>
      <c r="L324" s="7">
        <v>0.00535454166850589</v>
      </c>
      <c r="M324" s="8">
        <f t="shared" si="1"/>
        <v>6693410</v>
      </c>
    </row>
    <row r="325">
      <c r="A325" s="9">
        <v>45982.0</v>
      </c>
      <c r="B325" s="1">
        <v>405.0</v>
      </c>
      <c r="C325" s="1">
        <v>408.5</v>
      </c>
      <c r="D325" s="1">
        <v>404.7</v>
      </c>
      <c r="E325" s="1">
        <v>405.45</v>
      </c>
      <c r="F325" s="1">
        <v>407.85</v>
      </c>
      <c r="G325" s="1">
        <v>407.28</v>
      </c>
      <c r="H325" s="1" t="s">
        <v>8061</v>
      </c>
      <c r="I325" s="1" t="s">
        <v>8063</v>
      </c>
      <c r="J325" s="11">
        <v>92059.0</v>
      </c>
      <c r="K325" s="6">
        <f t="shared" si="2"/>
        <v>0.005919348872</v>
      </c>
      <c r="L325" s="7">
        <v>-0.004734242893385995</v>
      </c>
      <c r="M325" s="8">
        <f t="shared" si="1"/>
        <v>5808131</v>
      </c>
    </row>
    <row r="326">
      <c r="A326" s="9">
        <v>45985.0</v>
      </c>
      <c r="B326" s="1">
        <v>408.4</v>
      </c>
      <c r="C326" s="1">
        <v>408.8</v>
      </c>
      <c r="D326" s="1">
        <v>402.85</v>
      </c>
      <c r="E326" s="1">
        <v>407.85</v>
      </c>
      <c r="F326" s="1">
        <v>403.55</v>
      </c>
      <c r="G326" s="1">
        <v>404.39</v>
      </c>
      <c r="H326" s="1" t="s">
        <v>8067</v>
      </c>
      <c r="I326" s="1" t="s">
        <v>8068</v>
      </c>
      <c r="J326" s="1" t="s">
        <v>8069</v>
      </c>
      <c r="K326" s="6">
        <f t="shared" si="2"/>
        <v>-0.01054309182</v>
      </c>
      <c r="L326" s="7">
        <v>-0.004167921390662607</v>
      </c>
      <c r="M326" s="8">
        <f t="shared" si="1"/>
        <v>11037491</v>
      </c>
    </row>
    <row r="327">
      <c r="A327" s="9">
        <v>45986.0</v>
      </c>
      <c r="B327" s="1">
        <v>403.55</v>
      </c>
      <c r="C327" s="1">
        <v>404.5</v>
      </c>
      <c r="D327" s="1">
        <v>400.1</v>
      </c>
      <c r="E327" s="1">
        <v>403.55</v>
      </c>
      <c r="F327" s="1">
        <v>400.8</v>
      </c>
      <c r="G327" s="1">
        <v>402.29</v>
      </c>
      <c r="H327" s="1" t="s">
        <v>8073</v>
      </c>
      <c r="I327" s="1" t="s">
        <v>8074</v>
      </c>
      <c r="J327" s="1" t="s">
        <v>8075</v>
      </c>
      <c r="K327" s="6">
        <f t="shared" si="2"/>
        <v>-0.006814521125</v>
      </c>
      <c r="L327" s="7">
        <v>-0.0028775592750245856</v>
      </c>
      <c r="M327" s="8">
        <f t="shared" si="1"/>
        <v>8199785</v>
      </c>
    </row>
    <row r="328">
      <c r="A328" s="9">
        <v>45987.0</v>
      </c>
      <c r="B328" s="1">
        <v>401.0</v>
      </c>
      <c r="C328" s="1">
        <v>403.95</v>
      </c>
      <c r="D328" s="1">
        <v>400.95</v>
      </c>
      <c r="E328" s="1">
        <v>400.8</v>
      </c>
      <c r="F328" s="1">
        <v>402.3</v>
      </c>
      <c r="G328" s="1">
        <v>402.6</v>
      </c>
      <c r="H328" s="1" t="s">
        <v>8079</v>
      </c>
      <c r="I328" s="1" t="s">
        <v>8080</v>
      </c>
      <c r="J328" s="1" t="s">
        <v>8081</v>
      </c>
      <c r="K328" s="6">
        <f t="shared" si="2"/>
        <v>0.00374251497</v>
      </c>
      <c r="L328" s="7">
        <v>0.012381783904067252</v>
      </c>
      <c r="M328" s="8">
        <f t="shared" si="1"/>
        <v>11443953</v>
      </c>
    </row>
    <row r="329">
      <c r="A329" s="9">
        <v>45988.0</v>
      </c>
      <c r="B329" s="1">
        <v>403.5</v>
      </c>
      <c r="C329" s="1">
        <v>405.95</v>
      </c>
      <c r="D329" s="1">
        <v>402.1</v>
      </c>
      <c r="E329" s="1">
        <v>402.3</v>
      </c>
      <c r="F329" s="1">
        <v>404.3</v>
      </c>
      <c r="G329" s="1">
        <v>403.22</v>
      </c>
      <c r="H329" s="1" t="s">
        <v>8085</v>
      </c>
      <c r="I329" s="1" t="s">
        <v>8086</v>
      </c>
      <c r="J329" s="1" t="s">
        <v>8087</v>
      </c>
      <c r="K329" s="6">
        <f t="shared" si="2"/>
        <v>0.004971414367</v>
      </c>
      <c r="L329" s="7">
        <v>3.9114224985022116E-4</v>
      </c>
      <c r="M329" s="8">
        <f t="shared" si="1"/>
        <v>8679529</v>
      </c>
    </row>
    <row r="330">
      <c r="A330" s="9">
        <v>45989.0</v>
      </c>
      <c r="B330" s="1">
        <v>404.3</v>
      </c>
      <c r="C330" s="1">
        <v>405.0</v>
      </c>
      <c r="D330" s="1">
        <v>402.5</v>
      </c>
      <c r="E330" s="1">
        <v>404.3</v>
      </c>
      <c r="F330" s="1">
        <v>404.25</v>
      </c>
      <c r="G330" s="1">
        <v>403.67</v>
      </c>
      <c r="H330" s="1" t="s">
        <v>8091</v>
      </c>
      <c r="I330" s="1" t="s">
        <v>8092</v>
      </c>
      <c r="J330" s="1" t="s">
        <v>8094</v>
      </c>
      <c r="K330" s="6">
        <f t="shared" si="2"/>
        <v>-0.0001236705417</v>
      </c>
      <c r="L330" s="7">
        <v>-4.806307706684981E-4</v>
      </c>
      <c r="M330" s="8">
        <f t="shared" si="1"/>
        <v>6883500</v>
      </c>
    </row>
    <row r="331">
      <c r="A331" s="3">
        <v>45992.0</v>
      </c>
      <c r="B331" s="1">
        <v>402.8</v>
      </c>
      <c r="C331" s="1">
        <v>405.5</v>
      </c>
      <c r="D331" s="1">
        <v>398.2</v>
      </c>
      <c r="E331" s="1">
        <v>404.25</v>
      </c>
      <c r="F331" s="1">
        <v>404.25</v>
      </c>
      <c r="G331" s="1">
        <v>402.48</v>
      </c>
      <c r="H331" s="1" t="s">
        <v>8097</v>
      </c>
      <c r="I331" s="1" t="s">
        <v>8098</v>
      </c>
      <c r="J331" s="1" t="s">
        <v>8100</v>
      </c>
      <c r="K331" s="6">
        <f t="shared" si="2"/>
        <v>0</v>
      </c>
      <c r="L331" s="7">
        <v>-0.001038051059136499</v>
      </c>
      <c r="M331" s="8">
        <f t="shared" si="1"/>
        <v>13442658</v>
      </c>
    </row>
    <row r="332">
      <c r="A332" s="3">
        <v>45993.0</v>
      </c>
      <c r="B332" s="1">
        <v>404.25</v>
      </c>
      <c r="C332" s="1">
        <v>405.5</v>
      </c>
      <c r="D332" s="1">
        <v>400.5</v>
      </c>
      <c r="E332" s="1">
        <v>404.25</v>
      </c>
      <c r="F332" s="1">
        <v>400.95</v>
      </c>
      <c r="G332" s="1">
        <v>401.68</v>
      </c>
      <c r="H332" s="1" t="s">
        <v>8103</v>
      </c>
      <c r="I332" s="1" t="s">
        <v>8104</v>
      </c>
      <c r="J332" s="1" t="s">
        <v>8105</v>
      </c>
      <c r="K332" s="6">
        <f t="shared" si="2"/>
        <v>-0.008163265306</v>
      </c>
      <c r="L332" s="7">
        <v>-0.005484083550614568</v>
      </c>
      <c r="M332" s="8">
        <f t="shared" si="1"/>
        <v>8093808</v>
      </c>
    </row>
    <row r="333">
      <c r="A333" s="3">
        <v>45994.0</v>
      </c>
      <c r="B333" s="1">
        <v>401.7</v>
      </c>
      <c r="C333" s="1">
        <v>402.2</v>
      </c>
      <c r="D333" s="1">
        <v>398.85</v>
      </c>
      <c r="E333" s="1">
        <v>400.95</v>
      </c>
      <c r="F333" s="1">
        <v>400.5</v>
      </c>
      <c r="G333" s="1">
        <v>400.33</v>
      </c>
      <c r="H333" s="1" t="s">
        <v>8109</v>
      </c>
      <c r="I333" s="1" t="s">
        <v>8110</v>
      </c>
      <c r="J333" s="1" t="s">
        <v>8111</v>
      </c>
      <c r="K333" s="6">
        <f t="shared" si="2"/>
        <v>-0.001122334456</v>
      </c>
      <c r="L333" s="7">
        <v>-0.00177472514808586</v>
      </c>
      <c r="M333" s="8">
        <f t="shared" si="1"/>
        <v>10772192</v>
      </c>
    </row>
    <row r="334">
      <c r="A334" s="3">
        <v>45995.0</v>
      </c>
      <c r="B334" s="1">
        <v>400.1</v>
      </c>
      <c r="C334" s="1">
        <v>403.55</v>
      </c>
      <c r="D334" s="1">
        <v>399.05</v>
      </c>
      <c r="E334" s="1">
        <v>400.5</v>
      </c>
      <c r="F334" s="1">
        <v>403.05</v>
      </c>
      <c r="G334" s="1">
        <v>402.09</v>
      </c>
      <c r="H334" s="1" t="s">
        <v>8115</v>
      </c>
      <c r="I334" s="1" t="s">
        <v>8116</v>
      </c>
      <c r="J334" s="1" t="s">
        <v>8117</v>
      </c>
      <c r="K334" s="6">
        <f t="shared" si="2"/>
        <v>0.006367041199</v>
      </c>
      <c r="L334" s="7">
        <v>0.0018375278996382667</v>
      </c>
      <c r="M334" s="8">
        <f t="shared" si="1"/>
        <v>8057989</v>
      </c>
    </row>
    <row r="335">
      <c r="A335" s="3">
        <v>45996.0</v>
      </c>
      <c r="B335" s="1">
        <v>403.05</v>
      </c>
      <c r="C335" s="1">
        <v>405.35</v>
      </c>
      <c r="D335" s="1">
        <v>402.0</v>
      </c>
      <c r="E335" s="1">
        <v>403.05</v>
      </c>
      <c r="F335" s="1">
        <v>404.95</v>
      </c>
      <c r="G335" s="1">
        <v>404.12</v>
      </c>
      <c r="H335" s="1" t="s">
        <v>8121</v>
      </c>
      <c r="I335" s="1" t="s">
        <v>8122</v>
      </c>
      <c r="J335" s="11">
        <v>73360.0</v>
      </c>
      <c r="K335" s="6">
        <f t="shared" si="2"/>
        <v>0.004714055328</v>
      </c>
      <c r="L335" s="7">
        <v>0.005865463100782666</v>
      </c>
      <c r="M335" s="8">
        <f t="shared" si="1"/>
        <v>4419747</v>
      </c>
    </row>
    <row r="336">
      <c r="A336" s="3">
        <v>45999.0</v>
      </c>
      <c r="B336" s="1">
        <v>404.95</v>
      </c>
      <c r="C336" s="1">
        <v>405.25</v>
      </c>
      <c r="D336" s="1">
        <v>400.55</v>
      </c>
      <c r="E336" s="1">
        <v>404.95</v>
      </c>
      <c r="F336" s="1">
        <v>402.3</v>
      </c>
      <c r="G336" s="1">
        <v>402.89</v>
      </c>
      <c r="H336" s="1" t="s">
        <v>8126</v>
      </c>
      <c r="I336" s="1" t="s">
        <v>8127</v>
      </c>
      <c r="J336" s="1" t="s">
        <v>8128</v>
      </c>
      <c r="K336" s="6">
        <f t="shared" si="2"/>
        <v>-0.00654401778</v>
      </c>
      <c r="L336" s="7">
        <v>-0.0086265988707901</v>
      </c>
      <c r="M336" s="8">
        <f t="shared" si="1"/>
        <v>6056866</v>
      </c>
    </row>
    <row r="337">
      <c r="A337" s="3">
        <v>46000.0</v>
      </c>
      <c r="B337" s="1">
        <v>402.0</v>
      </c>
      <c r="C337" s="1">
        <v>404.5</v>
      </c>
      <c r="D337" s="1">
        <v>400.0</v>
      </c>
      <c r="E337" s="1">
        <v>402.3</v>
      </c>
      <c r="F337" s="1">
        <v>401.05</v>
      </c>
      <c r="G337" s="1">
        <v>402.28</v>
      </c>
      <c r="H337" s="1" t="s">
        <v>8132</v>
      </c>
      <c r="I337" s="1" t="s">
        <v>8133</v>
      </c>
      <c r="J337" s="1" t="s">
        <v>8134</v>
      </c>
      <c r="K337" s="6">
        <f t="shared" si="2"/>
        <v>-0.00310713398</v>
      </c>
      <c r="L337" s="7">
        <v>-0.0046570662023723616</v>
      </c>
      <c r="M337" s="8">
        <f t="shared" si="1"/>
        <v>9426717</v>
      </c>
    </row>
    <row r="338">
      <c r="A338" s="9">
        <v>46001.0</v>
      </c>
      <c r="B338" s="1">
        <v>401.1</v>
      </c>
      <c r="C338" s="1">
        <v>404.4</v>
      </c>
      <c r="D338" s="1">
        <v>401.0</v>
      </c>
      <c r="E338" s="1">
        <v>401.05</v>
      </c>
      <c r="F338" s="1">
        <v>403.15</v>
      </c>
      <c r="G338" s="1">
        <v>403.31</v>
      </c>
      <c r="H338" s="1" t="s">
        <v>8138</v>
      </c>
      <c r="I338" s="1" t="s">
        <v>8139</v>
      </c>
      <c r="J338" s="1" t="s">
        <v>8140</v>
      </c>
      <c r="K338" s="6">
        <f t="shared" si="2"/>
        <v>0.005236254831</v>
      </c>
      <c r="L338" s="7">
        <v>-0.003159872521493188</v>
      </c>
      <c r="M338" s="8">
        <f t="shared" si="1"/>
        <v>6969146</v>
      </c>
    </row>
    <row r="339">
      <c r="A339" s="9">
        <v>46002.0</v>
      </c>
      <c r="B339" s="1">
        <v>403.15</v>
      </c>
      <c r="C339" s="1">
        <v>404.0</v>
      </c>
      <c r="D339" s="1">
        <v>401.1</v>
      </c>
      <c r="E339" s="1">
        <v>403.15</v>
      </c>
      <c r="F339" s="1">
        <v>402.9</v>
      </c>
      <c r="G339" s="1">
        <v>402.4</v>
      </c>
      <c r="H339" s="1" t="s">
        <v>8144</v>
      </c>
      <c r="I339" s="1" t="s">
        <v>8145</v>
      </c>
      <c r="J339" s="11">
        <v>99653.0</v>
      </c>
      <c r="K339" s="6">
        <f t="shared" si="2"/>
        <v>-0.0006201165819</v>
      </c>
      <c r="L339" s="7">
        <v>0.0054565571861169065</v>
      </c>
      <c r="M339" s="8">
        <f t="shared" si="1"/>
        <v>6980147</v>
      </c>
    </row>
    <row r="340">
      <c r="A340" s="9">
        <v>46003.0</v>
      </c>
      <c r="B340" s="1">
        <v>402.9</v>
      </c>
      <c r="C340" s="1">
        <v>404.0</v>
      </c>
      <c r="D340" s="1">
        <v>399.85</v>
      </c>
      <c r="E340" s="1">
        <v>402.9</v>
      </c>
      <c r="F340" s="1">
        <v>400.1</v>
      </c>
      <c r="G340" s="1">
        <v>400.55</v>
      </c>
      <c r="H340" s="1" t="s">
        <v>8149</v>
      </c>
      <c r="I340" s="1" t="s">
        <v>8150</v>
      </c>
      <c r="J340" s="1" t="s">
        <v>8151</v>
      </c>
      <c r="K340" s="6">
        <f t="shared" si="2"/>
        <v>-0.006949615289</v>
      </c>
      <c r="L340" s="7">
        <v>0.005730050524064145</v>
      </c>
      <c r="M340" s="8">
        <f t="shared" si="1"/>
        <v>12407516</v>
      </c>
    </row>
    <row r="341">
      <c r="A341" s="9">
        <v>46006.0</v>
      </c>
      <c r="B341" s="1">
        <v>400.1</v>
      </c>
      <c r="C341" s="1">
        <v>403.35</v>
      </c>
      <c r="D341" s="1">
        <v>399.5</v>
      </c>
      <c r="E341" s="1">
        <v>400.1</v>
      </c>
      <c r="F341" s="1">
        <v>402.3</v>
      </c>
      <c r="G341" s="1">
        <v>401.8</v>
      </c>
      <c r="H341" s="1" t="s">
        <v>8155</v>
      </c>
      <c r="I341" s="1" t="s">
        <v>8156</v>
      </c>
      <c r="J341" s="11">
        <v>96420.0</v>
      </c>
      <c r="K341" s="6">
        <f t="shared" si="2"/>
        <v>0.005498625344</v>
      </c>
      <c r="L341" s="7">
        <v>-7.544069459188679E-4</v>
      </c>
      <c r="M341" s="8">
        <f t="shared" si="1"/>
        <v>7756564</v>
      </c>
    </row>
    <row r="342">
      <c r="A342" s="9">
        <v>46007.0</v>
      </c>
      <c r="B342" s="1">
        <v>401.4</v>
      </c>
      <c r="C342" s="1">
        <v>405.75</v>
      </c>
      <c r="D342" s="1">
        <v>401.05</v>
      </c>
      <c r="E342" s="1">
        <v>402.3</v>
      </c>
      <c r="F342" s="1">
        <v>401.7</v>
      </c>
      <c r="G342" s="1">
        <v>403.11</v>
      </c>
      <c r="H342" s="1" t="s">
        <v>8160</v>
      </c>
      <c r="I342" s="1" t="s">
        <v>8161</v>
      </c>
      <c r="J342" s="1" t="s">
        <v>8162</v>
      </c>
      <c r="K342" s="6">
        <f t="shared" si="2"/>
        <v>-0.00149142431</v>
      </c>
      <c r="L342" s="7">
        <v>-0.006424024005563417</v>
      </c>
      <c r="M342" s="8">
        <f t="shared" si="1"/>
        <v>12347384</v>
      </c>
    </row>
    <row r="343">
      <c r="A343" s="9">
        <v>46008.0</v>
      </c>
      <c r="B343" s="1">
        <v>401.0</v>
      </c>
      <c r="C343" s="1">
        <v>403.1</v>
      </c>
      <c r="D343" s="1">
        <v>399.1</v>
      </c>
      <c r="E343" s="1">
        <v>401.7</v>
      </c>
      <c r="F343" s="1">
        <v>399.8</v>
      </c>
      <c r="G343" s="1">
        <v>400.53</v>
      </c>
      <c r="H343" s="1" t="s">
        <v>8166</v>
      </c>
      <c r="I343" s="1" t="s">
        <v>8167</v>
      </c>
      <c r="J343" s="1" t="s">
        <v>8168</v>
      </c>
      <c r="K343" s="6">
        <f t="shared" si="2"/>
        <v>-0.004729897934</v>
      </c>
      <c r="L343" s="7">
        <v>-0.0016067223251263248</v>
      </c>
      <c r="M343" s="8">
        <f t="shared" si="1"/>
        <v>8087490</v>
      </c>
    </row>
    <row r="344">
      <c r="A344" s="9">
        <v>46009.0</v>
      </c>
      <c r="B344" s="1">
        <v>400.0</v>
      </c>
      <c r="C344" s="1">
        <v>401.95</v>
      </c>
      <c r="D344" s="1">
        <v>399.85</v>
      </c>
      <c r="E344" s="1">
        <v>399.8</v>
      </c>
      <c r="F344" s="1">
        <v>400.4</v>
      </c>
      <c r="G344" s="1">
        <v>400.74</v>
      </c>
      <c r="H344" s="1" t="s">
        <v>8172</v>
      </c>
      <c r="I344" s="1" t="s">
        <v>8173</v>
      </c>
      <c r="J344" s="1" t="s">
        <v>8174</v>
      </c>
      <c r="K344" s="6">
        <f t="shared" si="2"/>
        <v>0.001500750375</v>
      </c>
      <c r="L344" s="7">
        <v>-1.1619552608492731E-4</v>
      </c>
      <c r="M344" s="8">
        <f t="shared" si="1"/>
        <v>7227668</v>
      </c>
    </row>
    <row r="345">
      <c r="A345" s="9">
        <v>46010.0</v>
      </c>
      <c r="B345" s="1">
        <v>400.25</v>
      </c>
      <c r="C345" s="1">
        <v>402.65</v>
      </c>
      <c r="D345" s="1">
        <v>400.25</v>
      </c>
      <c r="E345" s="1">
        <v>400.4</v>
      </c>
      <c r="F345" s="1">
        <v>401.05</v>
      </c>
      <c r="G345" s="1">
        <v>401.39</v>
      </c>
      <c r="H345" s="1" t="s">
        <v>8178</v>
      </c>
      <c r="I345" s="1" t="s">
        <v>8179</v>
      </c>
      <c r="J345" s="1" t="s">
        <v>8180</v>
      </c>
      <c r="K345" s="6">
        <f t="shared" si="2"/>
        <v>0.001623376623</v>
      </c>
      <c r="L345" s="7">
        <v>0.005843377344275143</v>
      </c>
      <c r="M345" s="8">
        <f t="shared" si="1"/>
        <v>10654835</v>
      </c>
    </row>
    <row r="346">
      <c r="A346" s="9">
        <v>46013.0</v>
      </c>
      <c r="B346" s="1">
        <v>401.6</v>
      </c>
      <c r="C346" s="1">
        <v>403.65</v>
      </c>
      <c r="D346" s="1">
        <v>401.2</v>
      </c>
      <c r="E346" s="1">
        <v>401.05</v>
      </c>
      <c r="F346" s="1">
        <v>402.7</v>
      </c>
      <c r="G346" s="1">
        <v>402.79</v>
      </c>
      <c r="H346" s="1" t="s">
        <v>8184</v>
      </c>
      <c r="I346" s="1" t="s">
        <v>8185</v>
      </c>
      <c r="J346" s="11">
        <v>96410.0</v>
      </c>
      <c r="K346" s="6">
        <f t="shared" si="2"/>
        <v>0.004114200224</v>
      </c>
      <c r="L346" s="7">
        <v>0.007933329225460594</v>
      </c>
      <c r="M346" s="8">
        <f t="shared" si="1"/>
        <v>6847871</v>
      </c>
    </row>
    <row r="347">
      <c r="A347" s="9">
        <v>46014.0</v>
      </c>
      <c r="B347" s="1">
        <v>402.5</v>
      </c>
      <c r="C347" s="1">
        <v>408.9</v>
      </c>
      <c r="D347" s="1">
        <v>401.8</v>
      </c>
      <c r="E347" s="1">
        <v>402.7</v>
      </c>
      <c r="F347" s="1">
        <v>407.35</v>
      </c>
      <c r="G347" s="1">
        <v>405.66</v>
      </c>
      <c r="H347" s="1" t="s">
        <v>8189</v>
      </c>
      <c r="I347" s="1" t="s">
        <v>8190</v>
      </c>
      <c r="J347" s="1" t="s">
        <v>8191</v>
      </c>
      <c r="K347" s="6">
        <f t="shared" si="2"/>
        <v>0.01154705736</v>
      </c>
      <c r="L347" s="7">
        <v>1.8148889670034082E-4</v>
      </c>
      <c r="M347" s="8">
        <f t="shared" si="1"/>
        <v>10081997</v>
      </c>
    </row>
    <row r="348">
      <c r="A348" s="9">
        <v>46015.0</v>
      </c>
      <c r="B348" s="1">
        <v>407.95</v>
      </c>
      <c r="C348" s="1">
        <v>409.5</v>
      </c>
      <c r="D348" s="1">
        <v>405.65</v>
      </c>
      <c r="E348" s="1">
        <v>407.35</v>
      </c>
      <c r="F348" s="1">
        <v>406.6</v>
      </c>
      <c r="G348" s="1">
        <v>407.18</v>
      </c>
      <c r="H348" s="1" t="s">
        <v>8195</v>
      </c>
      <c r="I348" s="1" t="s">
        <v>8196</v>
      </c>
      <c r="J348" s="11">
        <v>73260.0</v>
      </c>
      <c r="K348" s="6">
        <f t="shared" si="2"/>
        <v>-0.001841168528</v>
      </c>
      <c r="L348" s="7">
        <v>-0.0013389540114184665</v>
      </c>
      <c r="M348" s="8">
        <f t="shared" si="1"/>
        <v>5777430</v>
      </c>
    </row>
    <row r="349">
      <c r="A349" s="9">
        <v>46017.0</v>
      </c>
      <c r="B349" s="1">
        <v>406.5</v>
      </c>
      <c r="C349" s="1">
        <v>407.15</v>
      </c>
      <c r="D349" s="1">
        <v>403.85</v>
      </c>
      <c r="E349" s="1">
        <v>406.6</v>
      </c>
      <c r="F349" s="1">
        <v>404.15</v>
      </c>
      <c r="G349" s="1">
        <v>404.63</v>
      </c>
      <c r="H349" s="1" t="s">
        <v>8200</v>
      </c>
      <c r="I349" s="1" t="s">
        <v>8201</v>
      </c>
      <c r="J349" s="11">
        <v>76263.0</v>
      </c>
      <c r="K349" s="6">
        <f t="shared" si="2"/>
        <v>-0.006025577964</v>
      </c>
      <c r="L349" s="7">
        <v>-0.003817596903079679</v>
      </c>
      <c r="M349" s="8">
        <f t="shared" si="1"/>
        <v>3152453</v>
      </c>
    </row>
    <row r="350">
      <c r="A350" s="9">
        <v>46020.0</v>
      </c>
      <c r="B350" s="1">
        <v>404.1</v>
      </c>
      <c r="C350" s="1">
        <v>404.8</v>
      </c>
      <c r="D350" s="1">
        <v>401.45</v>
      </c>
      <c r="E350" s="1">
        <v>404.15</v>
      </c>
      <c r="F350" s="1">
        <v>402.6</v>
      </c>
      <c r="G350" s="1">
        <v>402.55</v>
      </c>
      <c r="H350" s="1" t="s">
        <v>8205</v>
      </c>
      <c r="I350" s="1" t="s">
        <v>8206</v>
      </c>
      <c r="J350" s="11">
        <v>90644.0</v>
      </c>
      <c r="K350" s="6">
        <f t="shared" si="2"/>
        <v>-0.003835209699</v>
      </c>
      <c r="L350" s="7">
        <v>-0.003847586426698131</v>
      </c>
      <c r="M350" s="8">
        <f t="shared" si="1"/>
        <v>6647710</v>
      </c>
    </row>
    <row r="351">
      <c r="A351" s="9">
        <v>46021.0</v>
      </c>
      <c r="B351" s="1">
        <v>403.0</v>
      </c>
      <c r="C351" s="1">
        <v>403.45</v>
      </c>
      <c r="D351" s="1">
        <v>400.3</v>
      </c>
      <c r="E351" s="1">
        <v>402.6</v>
      </c>
      <c r="F351" s="1">
        <v>400.6</v>
      </c>
      <c r="G351" s="1">
        <v>401.22</v>
      </c>
      <c r="H351" s="1" t="s">
        <v>8210</v>
      </c>
      <c r="I351" s="1" t="s">
        <v>8211</v>
      </c>
      <c r="J351" s="1" t="s">
        <v>8212</v>
      </c>
      <c r="K351" s="6">
        <f t="shared" si="2"/>
        <v>-0.004967709886</v>
      </c>
      <c r="L351" s="7">
        <v>-1.252789866664611E-4</v>
      </c>
      <c r="M351" s="8">
        <f t="shared" si="1"/>
        <v>12340527</v>
      </c>
    </row>
    <row r="352">
      <c r="A352" s="9">
        <v>46022.0</v>
      </c>
      <c r="B352" s="1">
        <v>401.1</v>
      </c>
      <c r="C352" s="1">
        <v>403.75</v>
      </c>
      <c r="D352" s="1">
        <v>400.85</v>
      </c>
      <c r="E352" s="1">
        <v>400.6</v>
      </c>
      <c r="F352" s="1">
        <v>403.0</v>
      </c>
      <c r="G352" s="1">
        <v>402.81</v>
      </c>
      <c r="H352" s="1" t="s">
        <v>8216</v>
      </c>
      <c r="I352" s="1" t="s">
        <v>8217</v>
      </c>
      <c r="J352" s="11">
        <v>93789.0</v>
      </c>
      <c r="K352" s="6">
        <f t="shared" si="2"/>
        <v>0.00599101348</v>
      </c>
      <c r="L352" s="7">
        <v>0.007353834113694324</v>
      </c>
      <c r="M352" s="8">
        <f t="shared" si="1"/>
        <v>9945109</v>
      </c>
    </row>
    <row r="353">
      <c r="A353" s="3">
        <v>46023.0</v>
      </c>
      <c r="B353" s="1">
        <v>402.7</v>
      </c>
      <c r="C353" s="1">
        <v>402.7</v>
      </c>
      <c r="D353" s="1">
        <v>362.7</v>
      </c>
      <c r="E353" s="1">
        <v>403.0</v>
      </c>
      <c r="F353" s="1">
        <v>363.85</v>
      </c>
      <c r="G353" s="1">
        <v>374.71</v>
      </c>
      <c r="H353" s="1" t="s">
        <v>8221</v>
      </c>
      <c r="I353" s="1" t="s">
        <v>8222</v>
      </c>
      <c r="J353" s="1" t="s">
        <v>8223</v>
      </c>
      <c r="K353" s="6">
        <f t="shared" si="2"/>
        <v>-0.09714640199</v>
      </c>
      <c r="L353" s="7">
        <v>6.486896087196409E-4</v>
      </c>
      <c r="M353" s="8">
        <f t="shared" si="1"/>
        <v>282626710</v>
      </c>
    </row>
    <row r="354">
      <c r="A354" s="3">
        <v>46024.0</v>
      </c>
      <c r="B354" s="1">
        <v>360.0</v>
      </c>
      <c r="C354" s="1">
        <v>360.0</v>
      </c>
      <c r="D354" s="1">
        <v>345.25</v>
      </c>
      <c r="E354" s="1">
        <v>363.85</v>
      </c>
      <c r="F354" s="1">
        <v>350.05</v>
      </c>
      <c r="G354" s="1">
        <v>349.61</v>
      </c>
      <c r="H354" s="1" t="s">
        <v>8227</v>
      </c>
      <c r="I354" s="1" t="s">
        <v>8228</v>
      </c>
      <c r="J354" s="1" t="s">
        <v>8229</v>
      </c>
      <c r="K354" s="6">
        <f t="shared" si="2"/>
        <v>-0.03792771747</v>
      </c>
      <c r="L354" s="7">
        <v>0.006960765378223896</v>
      </c>
      <c r="M354" s="8">
        <f t="shared" si="1"/>
        <v>118790358</v>
      </c>
    </row>
    <row r="355">
      <c r="A355" s="3">
        <v>46027.0</v>
      </c>
      <c r="B355" s="1">
        <v>350.2</v>
      </c>
      <c r="C355" s="1">
        <v>353.95</v>
      </c>
      <c r="D355" s="1">
        <v>346.05</v>
      </c>
      <c r="E355" s="1">
        <v>350.05</v>
      </c>
      <c r="F355" s="1">
        <v>349.7</v>
      </c>
      <c r="G355" s="1">
        <v>350.61</v>
      </c>
      <c r="H355" s="1" t="s">
        <v>8233</v>
      </c>
      <c r="I355" s="1" t="s">
        <v>8234</v>
      </c>
      <c r="J355" s="1" t="s">
        <v>8235</v>
      </c>
      <c r="K355" s="6">
        <f t="shared" si="2"/>
        <v>-0.0009998571633</v>
      </c>
      <c r="L355" s="7">
        <v>-0.0029720588486642826</v>
      </c>
      <c r="M355" s="8">
        <f t="shared" si="1"/>
        <v>48358124</v>
      </c>
    </row>
    <row r="356">
      <c r="A356" s="3">
        <v>46028.0</v>
      </c>
      <c r="B356" s="1">
        <v>350.25</v>
      </c>
      <c r="C356" s="1">
        <v>350.7</v>
      </c>
      <c r="D356" s="1">
        <v>337.75</v>
      </c>
      <c r="E356" s="1">
        <v>349.7</v>
      </c>
      <c r="F356" s="1">
        <v>342.45</v>
      </c>
      <c r="G356" s="1">
        <v>342.54</v>
      </c>
      <c r="H356" s="1" t="s">
        <v>8239</v>
      </c>
      <c r="I356" s="1" t="s">
        <v>8240</v>
      </c>
      <c r="J356" s="1" t="s">
        <v>8241</v>
      </c>
      <c r="K356" s="6">
        <f t="shared" si="2"/>
        <v>-0.02073205605</v>
      </c>
      <c r="L356" s="7">
        <v>-0.002727587875186133</v>
      </c>
      <c r="M356" s="8">
        <f t="shared" si="1"/>
        <v>72582738</v>
      </c>
    </row>
    <row r="357">
      <c r="A357" s="3">
        <v>46029.0</v>
      </c>
      <c r="B357" s="1">
        <v>343.0</v>
      </c>
      <c r="C357" s="1">
        <v>344.55</v>
      </c>
      <c r="D357" s="1">
        <v>339.3</v>
      </c>
      <c r="E357" s="1">
        <v>342.45</v>
      </c>
      <c r="F357" s="1">
        <v>341.25</v>
      </c>
      <c r="G357" s="1">
        <v>341.74</v>
      </c>
      <c r="H357" s="1" t="s">
        <v>8245</v>
      </c>
      <c r="I357" s="1" t="s">
        <v>8246</v>
      </c>
      <c r="J357" s="1" t="s">
        <v>8247</v>
      </c>
      <c r="K357" s="6">
        <f t="shared" si="2"/>
        <v>-0.003504161191</v>
      </c>
      <c r="L357" s="7">
        <v>-0.0014496518161711898</v>
      </c>
      <c r="M357" s="8">
        <f t="shared" si="1"/>
        <v>29440734</v>
      </c>
    </row>
    <row r="358">
      <c r="A358" s="3">
        <v>46030.0</v>
      </c>
      <c r="B358" s="1">
        <v>341.5</v>
      </c>
      <c r="C358" s="1">
        <v>345.15</v>
      </c>
      <c r="D358" s="1">
        <v>339.05</v>
      </c>
      <c r="E358" s="1">
        <v>341.25</v>
      </c>
      <c r="F358" s="1">
        <v>340.9</v>
      </c>
      <c r="G358" s="1">
        <v>341.13</v>
      </c>
      <c r="H358" s="1" t="s">
        <v>8250</v>
      </c>
      <c r="I358" s="1" t="s">
        <v>8252</v>
      </c>
      <c r="J358" s="1" t="s">
        <v>8253</v>
      </c>
      <c r="K358" s="6">
        <f t="shared" si="2"/>
        <v>-0.001025641026</v>
      </c>
      <c r="L358" s="7">
        <v>-0.01009534921530566</v>
      </c>
      <c r="M358" s="8">
        <f t="shared" si="1"/>
        <v>36706319</v>
      </c>
    </row>
    <row r="359">
      <c r="A359" s="3">
        <v>46031.0</v>
      </c>
      <c r="B359" s="1">
        <v>340.9</v>
      </c>
      <c r="C359" s="1">
        <v>341.0</v>
      </c>
      <c r="D359" s="1">
        <v>336.1</v>
      </c>
      <c r="E359" s="1">
        <v>340.9</v>
      </c>
      <c r="F359" s="1">
        <v>337.15</v>
      </c>
      <c r="G359" s="1">
        <v>338.09</v>
      </c>
      <c r="H359" s="1" t="s">
        <v>8254</v>
      </c>
      <c r="I359" s="1" t="s">
        <v>8256</v>
      </c>
      <c r="J359" s="1" t="s">
        <v>8258</v>
      </c>
      <c r="K359" s="6">
        <f t="shared" si="2"/>
        <v>-0.01100029334</v>
      </c>
      <c r="L359" s="7">
        <v>-0.007479658459201923</v>
      </c>
      <c r="M359" s="8">
        <f t="shared" si="1"/>
        <v>35193201</v>
      </c>
    </row>
    <row r="360">
      <c r="A360" s="9">
        <v>46034.0</v>
      </c>
      <c r="B360" s="1">
        <v>338.25</v>
      </c>
      <c r="C360" s="1">
        <v>339.5</v>
      </c>
      <c r="D360" s="1">
        <v>335.8</v>
      </c>
      <c r="E360" s="1">
        <v>337.15</v>
      </c>
      <c r="F360" s="1">
        <v>338.4</v>
      </c>
      <c r="G360" s="1">
        <v>337.78</v>
      </c>
      <c r="H360" s="1" t="s">
        <v>8260</v>
      </c>
      <c r="I360" s="1" t="s">
        <v>8262</v>
      </c>
      <c r="J360" s="1" t="s">
        <v>8264</v>
      </c>
      <c r="K360" s="6">
        <f t="shared" si="2"/>
        <v>0.003707548569</v>
      </c>
      <c r="L360" s="7">
        <v>0.0041641845090000405</v>
      </c>
      <c r="M360" s="8">
        <f t="shared" si="1"/>
        <v>16156143</v>
      </c>
    </row>
    <row r="361">
      <c r="A361" s="9">
        <v>46035.0</v>
      </c>
      <c r="B361" s="1">
        <v>339.0</v>
      </c>
      <c r="C361" s="1">
        <v>339.5</v>
      </c>
      <c r="D361" s="1">
        <v>333.7</v>
      </c>
      <c r="E361" s="1">
        <v>338.4</v>
      </c>
      <c r="F361" s="1">
        <v>334.7</v>
      </c>
      <c r="G361" s="1">
        <v>335.34</v>
      </c>
      <c r="H361" s="1" t="s">
        <v>8266</v>
      </c>
      <c r="I361" s="1" t="s">
        <v>8268</v>
      </c>
      <c r="J361" s="1" t="s">
        <v>8270</v>
      </c>
      <c r="K361" s="6">
        <f t="shared" si="2"/>
        <v>-0.01093380615</v>
      </c>
      <c r="L361" s="7">
        <v>-0.002246973177848246</v>
      </c>
      <c r="M361" s="8">
        <f t="shared" si="1"/>
        <v>24922339</v>
      </c>
    </row>
    <row r="362">
      <c r="A362" s="9">
        <v>46036.0</v>
      </c>
      <c r="B362" s="1">
        <v>336.0</v>
      </c>
      <c r="C362" s="1">
        <v>336.0</v>
      </c>
      <c r="D362" s="1">
        <v>333.45</v>
      </c>
      <c r="E362" s="1">
        <v>334.7</v>
      </c>
      <c r="F362" s="1">
        <v>334.75</v>
      </c>
      <c r="G362" s="1">
        <v>334.9</v>
      </c>
      <c r="H362" s="1" t="s">
        <v>8272</v>
      </c>
      <c r="I362" s="1" t="s">
        <v>8274</v>
      </c>
      <c r="J362" s="1" t="s">
        <v>6456</v>
      </c>
      <c r="K362" s="6">
        <f t="shared" si="2"/>
        <v>0.0001493875112</v>
      </c>
      <c r="L362" s="7">
        <v>-0.002592072997749938</v>
      </c>
      <c r="M362" s="8">
        <f t="shared" si="1"/>
        <v>14913422</v>
      </c>
    </row>
    <row r="363">
      <c r="A363" s="9">
        <v>46038.0</v>
      </c>
      <c r="B363" s="1">
        <v>337.5</v>
      </c>
      <c r="C363" s="1">
        <v>337.5</v>
      </c>
      <c r="D363" s="1">
        <v>328.55</v>
      </c>
      <c r="E363" s="1">
        <v>334.75</v>
      </c>
      <c r="F363" s="1">
        <v>329.2</v>
      </c>
      <c r="G363" s="1">
        <v>331.06</v>
      </c>
      <c r="H363" s="1" t="s">
        <v>8278</v>
      </c>
      <c r="I363" s="1" t="s">
        <v>8280</v>
      </c>
      <c r="J363" s="1" t="s">
        <v>8282</v>
      </c>
      <c r="K363" s="6">
        <f t="shared" si="2"/>
        <v>-0.01657953697</v>
      </c>
      <c r="L363" s="7">
        <v>0.0011201764229162772</v>
      </c>
      <c r="M363" s="8">
        <f t="shared" si="1"/>
        <v>30526898</v>
      </c>
    </row>
    <row r="364">
      <c r="A364" s="9">
        <v>46041.0</v>
      </c>
      <c r="B364" s="1">
        <v>330.0</v>
      </c>
      <c r="C364" s="1">
        <v>334.65</v>
      </c>
      <c r="D364" s="1">
        <v>327.3</v>
      </c>
      <c r="E364" s="1">
        <v>329.2</v>
      </c>
      <c r="F364" s="1">
        <v>333.2</v>
      </c>
      <c r="G364" s="1">
        <v>331.9</v>
      </c>
      <c r="H364" s="1" t="s">
        <v>8284</v>
      </c>
      <c r="I364" s="1" t="s">
        <v>8285</v>
      </c>
      <c r="J364" s="1" t="s">
        <v>8286</v>
      </c>
      <c r="K364" s="6">
        <f t="shared" si="2"/>
        <v>0.01215066829</v>
      </c>
      <c r="L364" s="7">
        <v>-0.004236339895735777</v>
      </c>
      <c r="M364" s="8">
        <f t="shared" si="1"/>
        <v>15507440</v>
      </c>
    </row>
    <row r="365">
      <c r="A365" s="9">
        <v>46042.0</v>
      </c>
      <c r="B365" s="1">
        <v>334.05</v>
      </c>
      <c r="C365" s="1">
        <v>334.5</v>
      </c>
      <c r="D365" s="1">
        <v>325.5</v>
      </c>
      <c r="E365" s="1">
        <v>333.2</v>
      </c>
      <c r="F365" s="1">
        <v>326.3</v>
      </c>
      <c r="G365" s="1">
        <v>329.59</v>
      </c>
      <c r="H365" s="1" t="s">
        <v>8292</v>
      </c>
      <c r="I365" s="1" t="s">
        <v>8293</v>
      </c>
      <c r="J365" s="1" t="s">
        <v>8294</v>
      </c>
      <c r="K365" s="6">
        <f t="shared" si="2"/>
        <v>-0.02070828331</v>
      </c>
      <c r="L365" s="7">
        <v>-0.013796877137441129</v>
      </c>
      <c r="M365" s="8">
        <f t="shared" si="1"/>
        <v>18771011</v>
      </c>
    </row>
    <row r="366">
      <c r="A366" s="9">
        <v>46043.0</v>
      </c>
      <c r="B366" s="1">
        <v>326.0</v>
      </c>
      <c r="C366" s="1">
        <v>329.3</v>
      </c>
      <c r="D366" s="1">
        <v>324.35</v>
      </c>
      <c r="E366" s="1">
        <v>326.3</v>
      </c>
      <c r="F366" s="1">
        <v>324.75</v>
      </c>
      <c r="G366" s="1">
        <v>326.02</v>
      </c>
      <c r="H366" s="1" t="s">
        <v>8298</v>
      </c>
      <c r="I366" s="1" t="s">
        <v>8299</v>
      </c>
      <c r="J366" s="1" t="s">
        <v>8300</v>
      </c>
      <c r="K366" s="6">
        <f t="shared" si="2"/>
        <v>-0.00475022985</v>
      </c>
      <c r="L366" s="7">
        <v>-0.002972357079163777</v>
      </c>
      <c r="M366" s="8">
        <f t="shared" si="1"/>
        <v>14177965</v>
      </c>
    </row>
    <row r="367">
      <c r="A367" s="9">
        <v>46044.0</v>
      </c>
      <c r="B367" s="1">
        <v>326.1</v>
      </c>
      <c r="C367" s="1">
        <v>328.7</v>
      </c>
      <c r="D367" s="1">
        <v>321.05</v>
      </c>
      <c r="E367" s="1">
        <v>324.75</v>
      </c>
      <c r="F367" s="1">
        <v>324.85</v>
      </c>
      <c r="G367" s="1">
        <v>325.12</v>
      </c>
      <c r="H367" s="1" t="s">
        <v>8304</v>
      </c>
      <c r="I367" s="1" t="s">
        <v>8305</v>
      </c>
      <c r="J367" s="1" t="s">
        <v>8306</v>
      </c>
      <c r="K367" s="6">
        <f t="shared" si="2"/>
        <v>0.0003079291763</v>
      </c>
      <c r="L367" s="7">
        <v>0.005262844082281683</v>
      </c>
      <c r="M367" s="8">
        <f t="shared" si="1"/>
        <v>18622852</v>
      </c>
    </row>
    <row r="368">
      <c r="A368" s="9">
        <v>46045.0</v>
      </c>
      <c r="B368" s="1">
        <v>325.55</v>
      </c>
      <c r="C368" s="1">
        <v>326.4</v>
      </c>
      <c r="D368" s="1">
        <v>322.7</v>
      </c>
      <c r="E368" s="1">
        <v>324.85</v>
      </c>
      <c r="F368" s="1">
        <v>323.4</v>
      </c>
      <c r="G368" s="1">
        <v>324.48</v>
      </c>
      <c r="H368" s="1" t="s">
        <v>8310</v>
      </c>
      <c r="I368" s="1" t="s">
        <v>8311</v>
      </c>
      <c r="J368" s="1" t="s">
        <v>8312</v>
      </c>
      <c r="K368" s="6">
        <f t="shared" si="2"/>
        <v>-0.004463598584</v>
      </c>
      <c r="L368" s="7">
        <v>-0.009539381334050351</v>
      </c>
      <c r="M368" s="8">
        <f t="shared" si="1"/>
        <v>11950089</v>
      </c>
    </row>
    <row r="369">
      <c r="A369" s="9">
        <v>46049.0</v>
      </c>
      <c r="B369" s="1">
        <v>323.6</v>
      </c>
      <c r="C369" s="1">
        <v>324.7</v>
      </c>
      <c r="D369" s="1">
        <v>317.85</v>
      </c>
      <c r="E369" s="1">
        <v>323.4</v>
      </c>
      <c r="F369" s="1">
        <v>318.65</v>
      </c>
      <c r="G369" s="1">
        <v>320.05</v>
      </c>
      <c r="H369" s="1" t="s">
        <v>8316</v>
      </c>
      <c r="I369" s="1" t="s">
        <v>8317</v>
      </c>
      <c r="J369" s="1" t="s">
        <v>8318</v>
      </c>
      <c r="K369" s="6">
        <f t="shared" si="2"/>
        <v>-0.01468769326</v>
      </c>
      <c r="L369" s="7">
        <v>0.00506015294237414</v>
      </c>
      <c r="M369" s="8">
        <f t="shared" si="1"/>
        <v>47847784</v>
      </c>
    </row>
    <row r="370">
      <c r="A370" s="9">
        <v>46050.0</v>
      </c>
      <c r="B370" s="1">
        <v>319.95</v>
      </c>
      <c r="C370" s="1">
        <v>323.7</v>
      </c>
      <c r="D370" s="1">
        <v>319.35</v>
      </c>
      <c r="E370" s="1">
        <v>318.65</v>
      </c>
      <c r="F370" s="1">
        <v>321.15</v>
      </c>
      <c r="G370" s="1">
        <v>321.1</v>
      </c>
      <c r="H370" s="1" t="s">
        <v>8323</v>
      </c>
      <c r="I370" s="1" t="s">
        <v>8325</v>
      </c>
      <c r="J370" s="1" t="s">
        <v>8326</v>
      </c>
      <c r="K370" s="6">
        <f t="shared" si="2"/>
        <v>0.007845598619</v>
      </c>
      <c r="L370" s="7">
        <v>0.0066473621074540435</v>
      </c>
      <c r="M370" s="8">
        <f t="shared" si="1"/>
        <v>28400238</v>
      </c>
    </row>
    <row r="371">
      <c r="A371" s="9">
        <v>46051.0</v>
      </c>
      <c r="B371" s="1">
        <v>322.6</v>
      </c>
      <c r="C371" s="1">
        <v>322.6</v>
      </c>
      <c r="D371" s="1">
        <v>318.05</v>
      </c>
      <c r="E371" s="1">
        <v>321.15</v>
      </c>
      <c r="F371" s="1">
        <v>318.6</v>
      </c>
      <c r="G371" s="1">
        <v>318.98</v>
      </c>
      <c r="H371" s="1" t="s">
        <v>8331</v>
      </c>
      <c r="I371" s="1" t="s">
        <v>8332</v>
      </c>
      <c r="J371" s="1" t="s">
        <v>8333</v>
      </c>
      <c r="K371" s="6">
        <f t="shared" si="2"/>
        <v>-0.007940214853</v>
      </c>
      <c r="L371" s="7">
        <v>0.003004804135305026</v>
      </c>
      <c r="M371" s="8">
        <f t="shared" si="1"/>
        <v>17719420</v>
      </c>
    </row>
    <row r="372">
      <c r="A372" s="9">
        <v>46052.0</v>
      </c>
      <c r="B372" s="1">
        <v>318.8</v>
      </c>
      <c r="C372" s="1">
        <v>325.15</v>
      </c>
      <c r="D372" s="1">
        <v>316.45</v>
      </c>
      <c r="E372" s="1">
        <v>318.6</v>
      </c>
      <c r="F372" s="1">
        <v>322.15</v>
      </c>
      <c r="G372" s="1">
        <v>321.82</v>
      </c>
      <c r="H372" s="1" t="s">
        <v>8335</v>
      </c>
      <c r="I372" s="1" t="s">
        <v>8336</v>
      </c>
      <c r="J372" s="1" t="s">
        <v>8337</v>
      </c>
      <c r="K372" s="6">
        <f t="shared" si="2"/>
        <v>0.01114249843</v>
      </c>
      <c r="L372" s="7">
        <v>-0.0038652341368037167</v>
      </c>
      <c r="M372" s="8">
        <f t="shared" si="1"/>
        <v>41975824</v>
      </c>
    </row>
    <row r="373">
      <c r="A373" s="3">
        <v>46054.0</v>
      </c>
      <c r="B373" s="1">
        <v>324.6</v>
      </c>
      <c r="C373" s="1">
        <v>324.6</v>
      </c>
      <c r="D373" s="1">
        <v>306.05</v>
      </c>
      <c r="E373" s="1">
        <v>322.15</v>
      </c>
      <c r="F373" s="1">
        <v>309.45</v>
      </c>
      <c r="G373" s="1">
        <v>314.62</v>
      </c>
      <c r="H373" s="1" t="s">
        <v>8341</v>
      </c>
      <c r="I373" s="1" t="s">
        <v>8342</v>
      </c>
      <c r="J373" s="1" t="s">
        <v>8343</v>
      </c>
      <c r="K373" s="6">
        <f t="shared" si="2"/>
        <v>-0.03942262921</v>
      </c>
      <c r="L373" s="7">
        <v>-0.019557159867538972</v>
      </c>
      <c r="M373" s="8">
        <f t="shared" si="1"/>
        <v>33278995</v>
      </c>
    </row>
    <row r="374">
      <c r="A374" s="3">
        <v>46055.0</v>
      </c>
      <c r="B374" s="1">
        <v>309.45</v>
      </c>
      <c r="C374" s="1">
        <v>315.4</v>
      </c>
      <c r="D374" s="1">
        <v>302.0</v>
      </c>
      <c r="E374" s="1">
        <v>309.45</v>
      </c>
      <c r="F374" s="1">
        <v>314.7</v>
      </c>
      <c r="G374" s="1">
        <v>308.57</v>
      </c>
      <c r="H374" s="1" t="s">
        <v>8347</v>
      </c>
      <c r="I374" s="1" t="s">
        <v>8348</v>
      </c>
      <c r="J374" s="1" t="s">
        <v>8349</v>
      </c>
      <c r="K374" s="6">
        <f t="shared" si="2"/>
        <v>0.0169655841</v>
      </c>
      <c r="L374" s="7">
        <v>0.010591953015957443</v>
      </c>
      <c r="M374" s="8">
        <f t="shared" si="1"/>
        <v>35227572</v>
      </c>
    </row>
    <row r="375">
      <c r="A375" s="3">
        <v>46056.0</v>
      </c>
      <c r="B375" s="1">
        <v>321.2</v>
      </c>
      <c r="C375" s="1">
        <v>324.75</v>
      </c>
      <c r="D375" s="1">
        <v>311.6</v>
      </c>
      <c r="E375" s="1">
        <v>314.7</v>
      </c>
      <c r="F375" s="1">
        <v>316.65</v>
      </c>
      <c r="G375" s="1">
        <v>315.87</v>
      </c>
      <c r="H375" s="1" t="s">
        <v>8353</v>
      </c>
      <c r="I375" s="1" t="s">
        <v>8354</v>
      </c>
      <c r="J375" s="1" t="s">
        <v>8355</v>
      </c>
      <c r="K375" s="6">
        <f t="shared" si="2"/>
        <v>0.006196377502</v>
      </c>
      <c r="L375" s="7">
        <v>0.025475917156932995</v>
      </c>
      <c r="M375" s="8">
        <f t="shared" si="1"/>
        <v>33168353</v>
      </c>
    </row>
    <row r="376">
      <c r="A376" s="3">
        <v>46057.0</v>
      </c>
      <c r="B376" s="1">
        <v>312.5</v>
      </c>
      <c r="C376" s="1">
        <v>314.95</v>
      </c>
      <c r="D376" s="1">
        <v>311.35</v>
      </c>
      <c r="E376" s="1">
        <v>316.65</v>
      </c>
      <c r="F376" s="1">
        <v>313.85</v>
      </c>
      <c r="G376" s="1">
        <v>313.67</v>
      </c>
      <c r="H376" s="1" t="s">
        <v>8356</v>
      </c>
      <c r="I376" s="1" t="s">
        <v>8357</v>
      </c>
      <c r="J376" s="1" t="s">
        <v>8358</v>
      </c>
      <c r="K376" s="6">
        <f t="shared" si="2"/>
        <v>-0.008842570662</v>
      </c>
      <c r="L376" s="7">
        <v>0.0018831952517826506</v>
      </c>
      <c r="M376" s="8">
        <f t="shared" si="1"/>
        <v>11196759</v>
      </c>
    </row>
    <row r="377">
      <c r="A377" s="3">
        <v>46058.0</v>
      </c>
      <c r="B377" s="1">
        <v>313.95</v>
      </c>
      <c r="C377" s="1">
        <v>315.35</v>
      </c>
      <c r="D377" s="1">
        <v>309.3</v>
      </c>
      <c r="E377" s="1">
        <v>313.85</v>
      </c>
      <c r="F377" s="1">
        <v>310.2</v>
      </c>
      <c r="G377" s="1">
        <v>310.96</v>
      </c>
      <c r="H377" s="1" t="s">
        <v>8361</v>
      </c>
      <c r="I377" s="1" t="s">
        <v>8363</v>
      </c>
      <c r="J377" s="1" t="s">
        <v>8366</v>
      </c>
      <c r="K377" s="6">
        <f t="shared" si="2"/>
        <v>-0.01162975944</v>
      </c>
      <c r="L377" s="7">
        <v>-0.005167597765363157</v>
      </c>
      <c r="M377" s="8">
        <f t="shared" si="1"/>
        <v>15816704</v>
      </c>
    </row>
    <row r="378">
      <c r="A378" s="3">
        <v>46059.0</v>
      </c>
      <c r="B378" s="1">
        <v>310.0</v>
      </c>
      <c r="C378" s="1">
        <v>327.7</v>
      </c>
      <c r="D378" s="1">
        <v>308.3</v>
      </c>
      <c r="E378" s="1">
        <v>310.2</v>
      </c>
      <c r="F378" s="1">
        <v>325.8</v>
      </c>
      <c r="G378" s="1">
        <v>322.67</v>
      </c>
      <c r="H378" s="1" t="s">
        <v>8369</v>
      </c>
      <c r="I378" s="1" t="s">
        <v>8371</v>
      </c>
      <c r="J378" s="1" t="s">
        <v>8373</v>
      </c>
      <c r="K378" s="6">
        <f t="shared" si="2"/>
        <v>0.0502901354</v>
      </c>
      <c r="L378" s="7">
        <v>0.001984962640585328</v>
      </c>
      <c r="M378" s="8">
        <f t="shared" si="1"/>
        <v>68057745</v>
      </c>
    </row>
    <row r="379">
      <c r="A379" s="3">
        <v>46062.0</v>
      </c>
      <c r="B379" s="1">
        <v>327.95</v>
      </c>
      <c r="C379" s="1">
        <v>328.7</v>
      </c>
      <c r="D379" s="1">
        <v>321.65</v>
      </c>
      <c r="E379" s="1">
        <v>325.8</v>
      </c>
      <c r="F379" s="1">
        <v>322.8</v>
      </c>
      <c r="G379" s="1">
        <v>323.66</v>
      </c>
      <c r="H379" s="1" t="s">
        <v>8377</v>
      </c>
      <c r="I379" s="1" t="s">
        <v>8378</v>
      </c>
      <c r="J379" s="1" t="s">
        <v>8379</v>
      </c>
      <c r="K379" s="6">
        <f t="shared" si="2"/>
        <v>-0.009208103131</v>
      </c>
      <c r="L379" s="7">
        <v>0.00675652008079796</v>
      </c>
      <c r="M379" s="8">
        <f t="shared" si="1"/>
        <v>20059198</v>
      </c>
    </row>
    <row r="380">
      <c r="A380" s="9">
        <v>46063.0</v>
      </c>
      <c r="B380" s="1">
        <v>323.0</v>
      </c>
      <c r="C380" s="1">
        <v>323.55</v>
      </c>
      <c r="D380" s="1">
        <v>320.75</v>
      </c>
      <c r="E380" s="1">
        <v>322.8</v>
      </c>
      <c r="F380" s="1">
        <v>321.4</v>
      </c>
      <c r="G380" s="1">
        <v>321.76</v>
      </c>
      <c r="H380" s="1" t="s">
        <v>8388</v>
      </c>
      <c r="I380" s="1" t="s">
        <v>8389</v>
      </c>
      <c r="J380" s="1" t="s">
        <v>8390</v>
      </c>
      <c r="K380" s="6">
        <f t="shared" si="2"/>
        <v>-0.004337050805</v>
      </c>
      <c r="L380" s="7">
        <v>0.0026230027873029725</v>
      </c>
      <c r="M380" s="8">
        <f t="shared" si="1"/>
        <v>11489090</v>
      </c>
    </row>
    <row r="381">
      <c r="A381" s="9">
        <v>46064.0</v>
      </c>
      <c r="B381" s="1">
        <v>321.95</v>
      </c>
      <c r="C381" s="1">
        <v>322.2</v>
      </c>
      <c r="D381" s="1">
        <v>316.3</v>
      </c>
      <c r="E381" s="1">
        <v>321.4</v>
      </c>
      <c r="F381" s="1">
        <v>318.25</v>
      </c>
      <c r="G381" s="1">
        <v>317.45</v>
      </c>
      <c r="H381" s="1" t="s">
        <v>8396</v>
      </c>
      <c r="I381" s="1" t="s">
        <v>8398</v>
      </c>
      <c r="J381" s="1" t="s">
        <v>8399</v>
      </c>
      <c r="K381" s="6">
        <f t="shared" si="2"/>
        <v>-0.009800871189</v>
      </c>
      <c r="L381" s="7">
        <v>7.210291824029199E-4</v>
      </c>
      <c r="M381" s="8">
        <f t="shared" si="1"/>
        <v>24843366</v>
      </c>
    </row>
    <row r="382">
      <c r="A382" s="9">
        <v>46065.0</v>
      </c>
      <c r="B382" s="1">
        <v>317.3</v>
      </c>
      <c r="C382" s="1">
        <v>320.4</v>
      </c>
      <c r="D382" s="1">
        <v>316.9</v>
      </c>
      <c r="E382" s="1">
        <v>318.25</v>
      </c>
      <c r="F382" s="1">
        <v>317.45</v>
      </c>
      <c r="G382" s="1">
        <v>318.28</v>
      </c>
      <c r="H382" s="1" t="s">
        <v>8404</v>
      </c>
      <c r="I382" s="1" t="s">
        <v>8405</v>
      </c>
      <c r="J382" s="1" t="s">
        <v>8406</v>
      </c>
      <c r="K382" s="6">
        <f t="shared" si="2"/>
        <v>-0.002513747054</v>
      </c>
      <c r="L382" s="7">
        <v>-0.005650414100412764</v>
      </c>
      <c r="M382" s="8">
        <f t="shared" si="1"/>
        <v>13294561</v>
      </c>
    </row>
    <row r="383">
      <c r="A383" s="9">
        <v>46066.0</v>
      </c>
      <c r="B383" s="1">
        <v>316.0</v>
      </c>
      <c r="C383" s="1">
        <v>318.4</v>
      </c>
      <c r="D383" s="1">
        <v>313.25</v>
      </c>
      <c r="E383" s="1">
        <v>317.45</v>
      </c>
      <c r="F383" s="1">
        <v>313.75</v>
      </c>
      <c r="G383" s="1">
        <v>315.37</v>
      </c>
      <c r="H383" s="1" t="s">
        <v>8410</v>
      </c>
      <c r="I383" s="1" t="s">
        <v>8411</v>
      </c>
      <c r="J383" s="1" t="s">
        <v>8412</v>
      </c>
      <c r="K383" s="6">
        <f t="shared" si="2"/>
        <v>-0.0116553788</v>
      </c>
      <c r="L383" s="7">
        <v>-0.013023497318577845</v>
      </c>
      <c r="M383" s="8">
        <f t="shared" si="1"/>
        <v>8730618</v>
      </c>
    </row>
    <row r="384">
      <c r="A384" s="9">
        <v>46069.0</v>
      </c>
      <c r="B384" s="1">
        <v>313.75</v>
      </c>
      <c r="C384" s="1">
        <v>318.25</v>
      </c>
      <c r="D384" s="1">
        <v>313.15</v>
      </c>
      <c r="E384" s="1">
        <v>313.75</v>
      </c>
      <c r="F384" s="1">
        <v>317.95</v>
      </c>
      <c r="G384" s="1">
        <v>316.61</v>
      </c>
      <c r="H384" s="1" t="s">
        <v>8416</v>
      </c>
      <c r="I384" s="1" t="s">
        <v>8417</v>
      </c>
      <c r="J384" s="1" t="s">
        <v>6514</v>
      </c>
      <c r="K384" s="6">
        <f t="shared" si="2"/>
        <v>0.01338645418</v>
      </c>
      <c r="L384" s="7">
        <v>0.008309417339651662</v>
      </c>
      <c r="M384" s="8">
        <f t="shared" si="1"/>
        <v>11693763</v>
      </c>
    </row>
    <row r="385">
      <c r="A385" s="9">
        <v>46070.0</v>
      </c>
      <c r="B385" s="1">
        <v>318.45</v>
      </c>
      <c r="C385" s="1">
        <v>328.05</v>
      </c>
      <c r="D385" s="1">
        <v>318.15</v>
      </c>
      <c r="E385" s="1">
        <v>317.95</v>
      </c>
      <c r="F385" s="1">
        <v>325.45</v>
      </c>
      <c r="G385" s="1">
        <v>324.94</v>
      </c>
      <c r="H385" s="1" t="s">
        <v>8421</v>
      </c>
      <c r="I385" s="1" t="s">
        <v>8422</v>
      </c>
      <c r="J385" s="1" t="s">
        <v>8423</v>
      </c>
      <c r="K385" s="6">
        <f t="shared" si="2"/>
        <v>0.02358861456</v>
      </c>
      <c r="L385" s="7">
        <v>0.0016606477110123119</v>
      </c>
      <c r="M385" s="8">
        <f t="shared" si="1"/>
        <v>39360672</v>
      </c>
    </row>
    <row r="386">
      <c r="A386" s="9">
        <v>46071.0</v>
      </c>
      <c r="B386" s="1">
        <v>326.0</v>
      </c>
      <c r="C386" s="1">
        <v>332.95</v>
      </c>
      <c r="D386" s="1">
        <v>324.8</v>
      </c>
      <c r="E386" s="1">
        <v>325.45</v>
      </c>
      <c r="F386" s="1">
        <v>332.45</v>
      </c>
      <c r="G386" s="1">
        <v>330.36</v>
      </c>
      <c r="H386" s="1" t="s">
        <v>8427</v>
      </c>
      <c r="I386" s="1" t="s">
        <v>8428</v>
      </c>
      <c r="J386" s="1" t="s">
        <v>8429</v>
      </c>
      <c r="K386" s="6">
        <f t="shared" si="2"/>
        <v>0.02150868029</v>
      </c>
      <c r="L386" s="7">
        <v>0.003652032621455724</v>
      </c>
      <c r="M386" s="8">
        <f t="shared" si="1"/>
        <v>35473203</v>
      </c>
    </row>
    <row r="387">
      <c r="A387" s="9">
        <v>46072.0</v>
      </c>
      <c r="B387" s="1">
        <v>334.05</v>
      </c>
      <c r="C387" s="1">
        <v>334.25</v>
      </c>
      <c r="D387" s="1">
        <v>325.0</v>
      </c>
      <c r="E387" s="1">
        <v>332.45</v>
      </c>
      <c r="F387" s="1">
        <v>326.0</v>
      </c>
      <c r="G387" s="1">
        <v>329.01</v>
      </c>
      <c r="H387" s="1" t="s">
        <v>8433</v>
      </c>
      <c r="I387" s="1" t="s">
        <v>8434</v>
      </c>
      <c r="J387" s="1" t="s">
        <v>8435</v>
      </c>
      <c r="K387" s="6">
        <f t="shared" si="2"/>
        <v>-0.01940141375</v>
      </c>
      <c r="L387" s="7">
        <v>-0.014136684308474071</v>
      </c>
      <c r="M387" s="8">
        <f t="shared" si="1"/>
        <v>19911747</v>
      </c>
    </row>
    <row r="388">
      <c r="A388" s="9">
        <v>46073.0</v>
      </c>
      <c r="B388" s="1">
        <v>325.05</v>
      </c>
      <c r="C388" s="1">
        <v>327.85</v>
      </c>
      <c r="D388" s="1">
        <v>325.05</v>
      </c>
      <c r="E388" s="1">
        <v>326.0</v>
      </c>
      <c r="F388" s="1">
        <v>327.0</v>
      </c>
      <c r="G388" s="1">
        <v>326.79</v>
      </c>
      <c r="H388" s="1" t="s">
        <v>8439</v>
      </c>
      <c r="I388" s="1" t="s">
        <v>8440</v>
      </c>
      <c r="J388" s="11">
        <v>95724.0</v>
      </c>
      <c r="K388" s="6">
        <f t="shared" si="2"/>
        <v>0.003067484663</v>
      </c>
      <c r="L388" s="7">
        <v>0.004592535264110121</v>
      </c>
      <c r="M388" s="8">
        <f t="shared" si="1"/>
        <v>11282027</v>
      </c>
    </row>
    <row r="389">
      <c r="A389" s="9">
        <v>46076.0</v>
      </c>
      <c r="B389" s="1">
        <v>327.0</v>
      </c>
      <c r="C389" s="1">
        <v>328.1</v>
      </c>
      <c r="D389" s="1">
        <v>324.4</v>
      </c>
      <c r="E389" s="1">
        <v>327.0</v>
      </c>
      <c r="F389" s="1">
        <v>325.4</v>
      </c>
      <c r="G389" s="1">
        <v>325.58</v>
      </c>
      <c r="H389" s="1" t="s">
        <v>8444</v>
      </c>
      <c r="I389" s="1" t="s">
        <v>8445</v>
      </c>
      <c r="J389" s="1" t="s">
        <v>8446</v>
      </c>
      <c r="K389" s="6">
        <f t="shared" si="2"/>
        <v>-0.004892966361</v>
      </c>
      <c r="L389" s="7">
        <v>0.005543334799824021</v>
      </c>
      <c r="M389" s="8">
        <f t="shared" si="1"/>
        <v>13486092</v>
      </c>
    </row>
    <row r="390">
      <c r="A390" s="9">
        <v>46077.0</v>
      </c>
      <c r="B390" s="1">
        <v>324.0</v>
      </c>
      <c r="C390" s="1">
        <v>325.4</v>
      </c>
      <c r="D390" s="1">
        <v>322.05</v>
      </c>
      <c r="E390" s="1">
        <v>325.4</v>
      </c>
      <c r="F390" s="1">
        <v>323.5</v>
      </c>
      <c r="G390" s="1">
        <v>323.47</v>
      </c>
      <c r="H390" s="1" t="s">
        <v>8447</v>
      </c>
      <c r="I390" s="1" t="s">
        <v>8449</v>
      </c>
      <c r="J390" s="1" t="s">
        <v>8451</v>
      </c>
      <c r="K390" s="6">
        <f t="shared" si="2"/>
        <v>-0.005838967425</v>
      </c>
      <c r="L390" s="7">
        <v>-0.011214171819702039</v>
      </c>
      <c r="M390" s="8">
        <f t="shared" si="1"/>
        <v>13135859</v>
      </c>
    </row>
    <row r="391">
      <c r="A391" s="9">
        <v>46078.0</v>
      </c>
      <c r="B391" s="1">
        <v>325.5</v>
      </c>
      <c r="C391" s="1">
        <v>326.6</v>
      </c>
      <c r="D391" s="1">
        <v>318.1</v>
      </c>
      <c r="E391" s="1">
        <v>323.5</v>
      </c>
      <c r="F391" s="1">
        <v>319.75</v>
      </c>
      <c r="G391" s="1">
        <v>321.05</v>
      </c>
      <c r="H391" s="1" t="s">
        <v>8453</v>
      </c>
      <c r="I391" s="1" t="s">
        <v>8454</v>
      </c>
      <c r="J391" s="1" t="s">
        <v>8455</v>
      </c>
      <c r="K391" s="6">
        <f t="shared" si="2"/>
        <v>-0.01159196291</v>
      </c>
      <c r="L391" s="7">
        <v>0.002275350889786036</v>
      </c>
      <c r="M391" s="8">
        <f t="shared" si="1"/>
        <v>13492101</v>
      </c>
    </row>
    <row r="392">
      <c r="A392" s="9">
        <v>46079.0</v>
      </c>
      <c r="B392" s="1">
        <v>320.0</v>
      </c>
      <c r="C392" s="1">
        <v>321.4</v>
      </c>
      <c r="D392" s="1">
        <v>317.6</v>
      </c>
      <c r="E392" s="1">
        <v>319.75</v>
      </c>
      <c r="F392" s="1">
        <v>318.3</v>
      </c>
      <c r="G392" s="1">
        <v>318.98</v>
      </c>
      <c r="H392" s="1" t="s">
        <v>8459</v>
      </c>
      <c r="I392" s="1" t="s">
        <v>8460</v>
      </c>
      <c r="J392" s="1" t="s">
        <v>8461</v>
      </c>
      <c r="K392" s="6">
        <f t="shared" si="2"/>
        <v>-0.004534792807</v>
      </c>
      <c r="L392" s="7">
        <v>5.51358775630306E-4</v>
      </c>
      <c r="M392" s="8">
        <f t="shared" si="1"/>
        <v>11270119</v>
      </c>
    </row>
    <row r="393">
      <c r="A393" s="9">
        <v>46080.0</v>
      </c>
      <c r="B393" s="1">
        <v>316.0</v>
      </c>
      <c r="C393" s="1">
        <v>317.75</v>
      </c>
      <c r="D393" s="1">
        <v>312.65</v>
      </c>
      <c r="E393" s="1">
        <v>318.3</v>
      </c>
      <c r="F393" s="1">
        <v>313.6</v>
      </c>
      <c r="G393" s="1">
        <v>314.74</v>
      </c>
      <c r="H393" s="1" t="s">
        <v>8465</v>
      </c>
      <c r="I393" s="1" t="s">
        <v>8466</v>
      </c>
      <c r="J393" s="1" t="s">
        <v>8467</v>
      </c>
      <c r="K393" s="6">
        <f t="shared" si="2"/>
        <v>-0.01476594408</v>
      </c>
      <c r="L393" s="7">
        <v>-0.012468353561560204</v>
      </c>
      <c r="M393" s="8">
        <f t="shared" si="1"/>
        <v>13892595</v>
      </c>
    </row>
    <row r="394">
      <c r="A394" s="3">
        <v>46083.0</v>
      </c>
      <c r="B394" s="1">
        <v>307.0</v>
      </c>
      <c r="C394" s="1">
        <v>315.75</v>
      </c>
      <c r="D394" s="1">
        <v>307.0</v>
      </c>
      <c r="E394" s="1">
        <v>313.6</v>
      </c>
      <c r="F394" s="1">
        <v>314.9</v>
      </c>
      <c r="G394" s="1">
        <v>313.07</v>
      </c>
      <c r="H394" s="1" t="s">
        <v>8470</v>
      </c>
      <c r="I394" s="1" t="s">
        <v>8472</v>
      </c>
      <c r="J394" s="1" t="s">
        <v>8473</v>
      </c>
      <c r="K394" s="6">
        <f t="shared" si="2"/>
        <v>0.004145408163</v>
      </c>
      <c r="L394" s="7">
        <v>-0.012429181072059094</v>
      </c>
      <c r="M394" s="8">
        <f t="shared" si="1"/>
        <v>22194311</v>
      </c>
    </row>
    <row r="395">
      <c r="A395" s="3">
        <v>46085.0</v>
      </c>
      <c r="B395" s="1">
        <v>310.6</v>
      </c>
      <c r="C395" s="1">
        <v>315.5</v>
      </c>
      <c r="D395" s="1">
        <v>310.5</v>
      </c>
      <c r="E395" s="1">
        <v>314.9</v>
      </c>
      <c r="F395" s="1">
        <v>311.95</v>
      </c>
      <c r="G395" s="1">
        <v>312.43</v>
      </c>
      <c r="H395" s="1" t="s">
        <v>8474</v>
      </c>
      <c r="I395" s="1" t="s">
        <v>8475</v>
      </c>
      <c r="J395" s="1" t="s">
        <v>8477</v>
      </c>
      <c r="K395" s="6">
        <f t="shared" si="2"/>
        <v>-0.00936805335</v>
      </c>
      <c r="L395" s="7">
        <v>-0.015491218827541581</v>
      </c>
      <c r="M395" s="8">
        <f t="shared" si="1"/>
        <v>24165489</v>
      </c>
    </row>
    <row r="396">
      <c r="A396" s="3">
        <v>46086.0</v>
      </c>
      <c r="B396" s="1">
        <v>312.2</v>
      </c>
      <c r="C396" s="1">
        <v>313.6</v>
      </c>
      <c r="D396" s="1">
        <v>308.2</v>
      </c>
      <c r="E396" s="1">
        <v>311.95</v>
      </c>
      <c r="F396" s="1">
        <v>311.5</v>
      </c>
      <c r="G396" s="1">
        <v>310.7</v>
      </c>
      <c r="H396" s="1" t="s">
        <v>8480</v>
      </c>
      <c r="I396" s="1" t="s">
        <v>8482</v>
      </c>
      <c r="J396" s="1" t="s">
        <v>8484</v>
      </c>
      <c r="K396" s="6">
        <f t="shared" si="2"/>
        <v>-0.001442538868</v>
      </c>
      <c r="L396" s="7">
        <v>0.011658258613998957</v>
      </c>
      <c r="M396" s="8">
        <f t="shared" si="1"/>
        <v>19938009</v>
      </c>
    </row>
    <row r="397">
      <c r="A397" s="3">
        <v>46087.0</v>
      </c>
      <c r="B397" s="1">
        <v>310.05</v>
      </c>
      <c r="C397" s="1">
        <v>312.3</v>
      </c>
      <c r="D397" s="1">
        <v>309.2</v>
      </c>
      <c r="E397" s="1">
        <v>311.5</v>
      </c>
      <c r="F397" s="1">
        <v>309.7</v>
      </c>
      <c r="G397" s="1">
        <v>310.4</v>
      </c>
      <c r="H397" s="1" t="s">
        <v>8486</v>
      </c>
      <c r="I397" s="1" t="s">
        <v>8487</v>
      </c>
      <c r="J397" s="1" t="s">
        <v>8488</v>
      </c>
      <c r="K397" s="6">
        <f t="shared" si="2"/>
        <v>-0.005778491172</v>
      </c>
      <c r="L397" s="7">
        <v>-0.01273727181325939</v>
      </c>
      <c r="M397" s="8">
        <f t="shared" si="1"/>
        <v>21288269</v>
      </c>
    </row>
    <row r="398">
      <c r="A398" s="3">
        <v>46090.0</v>
      </c>
      <c r="B398" s="1">
        <v>305.0</v>
      </c>
      <c r="C398" s="1">
        <v>307.2</v>
      </c>
      <c r="D398" s="1">
        <v>303.6</v>
      </c>
      <c r="E398" s="1">
        <v>309.7</v>
      </c>
      <c r="F398" s="1">
        <v>306.0</v>
      </c>
      <c r="G398" s="1">
        <v>305.17</v>
      </c>
      <c r="H398" s="1" t="s">
        <v>8492</v>
      </c>
      <c r="I398" s="1" t="s">
        <v>8493</v>
      </c>
      <c r="J398" s="1" t="s">
        <v>8494</v>
      </c>
      <c r="K398" s="6">
        <f t="shared" si="2"/>
        <v>-0.01194704553</v>
      </c>
      <c r="L398" s="7">
        <v>-0.017275755660938814</v>
      </c>
      <c r="M398" s="8">
        <f t="shared" si="1"/>
        <v>14084931</v>
      </c>
    </row>
    <row r="399">
      <c r="A399" s="9">
        <v>46091.0</v>
      </c>
      <c r="B399" s="1">
        <v>309.0</v>
      </c>
      <c r="C399" s="1">
        <v>310.0</v>
      </c>
      <c r="D399" s="1">
        <v>303.75</v>
      </c>
      <c r="E399" s="1">
        <v>306.0</v>
      </c>
      <c r="F399" s="1">
        <v>309.05</v>
      </c>
      <c r="G399" s="1">
        <v>306.71</v>
      </c>
      <c r="H399" s="1" t="s">
        <v>8498</v>
      </c>
      <c r="I399" s="1" t="s">
        <v>8499</v>
      </c>
      <c r="J399" s="1" t="s">
        <v>8500</v>
      </c>
      <c r="K399" s="6">
        <f t="shared" si="2"/>
        <v>0.009967320261</v>
      </c>
      <c r="L399" s="7">
        <v>0.009719889878704235</v>
      </c>
      <c r="M399" s="8">
        <f t="shared" si="1"/>
        <v>18352950</v>
      </c>
    </row>
    <row r="400">
      <c r="A400" s="9">
        <v>46092.0</v>
      </c>
      <c r="B400" s="1">
        <v>309.05</v>
      </c>
      <c r="C400" s="1">
        <v>310.65</v>
      </c>
      <c r="D400" s="1">
        <v>307.7</v>
      </c>
      <c r="E400" s="1">
        <v>309.05</v>
      </c>
      <c r="F400" s="1">
        <v>309.0</v>
      </c>
      <c r="G400" s="1">
        <v>309.01</v>
      </c>
      <c r="H400" s="1" t="s">
        <v>8504</v>
      </c>
      <c r="I400" s="1" t="s">
        <v>8505</v>
      </c>
      <c r="J400" s="1" t="s">
        <v>8506</v>
      </c>
      <c r="K400" s="6">
        <f t="shared" si="2"/>
        <v>-0.0001617861188</v>
      </c>
      <c r="L400" s="7">
        <v>-0.016270567481122433</v>
      </c>
      <c r="M400" s="8">
        <f t="shared" si="1"/>
        <v>14842485</v>
      </c>
    </row>
    <row r="401">
      <c r="A401" s="9">
        <v>46093.0</v>
      </c>
      <c r="B401" s="1">
        <v>307.05</v>
      </c>
      <c r="C401" s="1">
        <v>308.0</v>
      </c>
      <c r="D401" s="1">
        <v>302.85</v>
      </c>
      <c r="E401" s="1">
        <v>309.0</v>
      </c>
      <c r="F401" s="1">
        <v>304.1</v>
      </c>
      <c r="G401" s="1">
        <v>305.89</v>
      </c>
      <c r="H401" s="1" t="s">
        <v>8510</v>
      </c>
      <c r="I401" s="1" t="s">
        <v>8511</v>
      </c>
      <c r="J401" s="1" t="s">
        <v>8512</v>
      </c>
      <c r="K401" s="6">
        <f t="shared" si="2"/>
        <v>-0.01585760518</v>
      </c>
      <c r="L401" s="7">
        <v>-0.00954042950787377</v>
      </c>
      <c r="M401" s="8">
        <f t="shared" si="1"/>
        <v>23319679</v>
      </c>
    </row>
    <row r="402">
      <c r="A402" s="9">
        <v>46094.0</v>
      </c>
      <c r="B402" s="1">
        <v>304.0</v>
      </c>
      <c r="C402" s="1">
        <v>306.0</v>
      </c>
      <c r="D402" s="1">
        <v>300.65</v>
      </c>
      <c r="E402" s="1">
        <v>304.1</v>
      </c>
      <c r="F402" s="1">
        <v>301.45</v>
      </c>
      <c r="G402" s="1">
        <v>302.8</v>
      </c>
      <c r="H402" s="1" t="s">
        <v>8516</v>
      </c>
      <c r="I402" s="1" t="s">
        <v>8517</v>
      </c>
      <c r="J402" s="1" t="s">
        <v>8518</v>
      </c>
      <c r="K402" s="6">
        <f t="shared" si="2"/>
        <v>-0.008714238737</v>
      </c>
      <c r="L402" s="7">
        <v>-0.02064583540440341</v>
      </c>
      <c r="M402" s="8">
        <f t="shared" si="1"/>
        <v>25659996</v>
      </c>
    </row>
    <row r="403">
      <c r="A403" s="9">
        <v>46097.0</v>
      </c>
      <c r="B403" s="1">
        <v>302.55</v>
      </c>
      <c r="C403" s="1">
        <v>309.45</v>
      </c>
      <c r="D403" s="1">
        <v>302.0</v>
      </c>
      <c r="E403" s="1">
        <v>301.45</v>
      </c>
      <c r="F403" s="1">
        <v>308.25</v>
      </c>
      <c r="G403" s="1">
        <v>305.48</v>
      </c>
      <c r="H403" s="1" t="s">
        <v>8522</v>
      </c>
      <c r="I403" s="1" t="s">
        <v>8523</v>
      </c>
      <c r="J403" s="1" t="s">
        <v>8524</v>
      </c>
      <c r="K403" s="6">
        <f t="shared" si="2"/>
        <v>0.02255763808</v>
      </c>
      <c r="L403" s="7">
        <v>0.01113122054675591</v>
      </c>
      <c r="M403" s="8">
        <f t="shared" si="1"/>
        <v>37472204</v>
      </c>
    </row>
    <row r="404">
      <c r="A404" s="9">
        <v>46098.0</v>
      </c>
      <c r="B404" s="1">
        <v>309.95</v>
      </c>
      <c r="C404" s="1">
        <v>309.95</v>
      </c>
      <c r="D404" s="1">
        <v>304.05</v>
      </c>
      <c r="E404" s="1">
        <v>308.25</v>
      </c>
      <c r="F404" s="1">
        <v>304.85</v>
      </c>
      <c r="G404" s="1">
        <v>306.07</v>
      </c>
      <c r="H404" s="1" t="s">
        <v>8528</v>
      </c>
      <c r="I404" s="1" t="s">
        <v>8529</v>
      </c>
      <c r="J404" s="1" t="s">
        <v>8530</v>
      </c>
      <c r="K404" s="6">
        <f t="shared" si="2"/>
        <v>-0.01103000811</v>
      </c>
      <c r="L404" s="7">
        <v>0.00736261576842906</v>
      </c>
      <c r="M404" s="8">
        <f t="shared" si="1"/>
        <v>25649286</v>
      </c>
    </row>
    <row r="405">
      <c r="A405" s="9">
        <v>46099.0</v>
      </c>
      <c r="B405" s="1">
        <v>305.9</v>
      </c>
      <c r="C405" s="1">
        <v>306.95</v>
      </c>
      <c r="D405" s="1">
        <v>303.5</v>
      </c>
      <c r="E405" s="1">
        <v>304.85</v>
      </c>
      <c r="F405" s="1">
        <v>304.05</v>
      </c>
      <c r="G405" s="1">
        <v>305.0</v>
      </c>
      <c r="H405" s="1" t="s">
        <v>8534</v>
      </c>
      <c r="I405" s="1" t="s">
        <v>8535</v>
      </c>
      <c r="J405" s="1" t="s">
        <v>8536</v>
      </c>
      <c r="K405" s="6">
        <f t="shared" si="2"/>
        <v>-0.00262424143</v>
      </c>
      <c r="L405" s="7">
        <v>0.00833928794821278</v>
      </c>
      <c r="M405" s="8">
        <f t="shared" si="1"/>
        <v>16702554</v>
      </c>
    </row>
    <row r="406">
      <c r="A406" s="9">
        <v>46100.0</v>
      </c>
      <c r="B406" s="1">
        <v>301.5</v>
      </c>
      <c r="C406" s="1">
        <v>305.5</v>
      </c>
      <c r="D406" s="1">
        <v>297.1</v>
      </c>
      <c r="E406" s="1">
        <v>304.05</v>
      </c>
      <c r="F406" s="1">
        <v>298.0</v>
      </c>
      <c r="G406" s="1">
        <v>299.77</v>
      </c>
      <c r="H406" s="1" t="s">
        <v>8540</v>
      </c>
      <c r="I406" s="1" t="s">
        <v>8541</v>
      </c>
      <c r="J406" s="1" t="s">
        <v>8542</v>
      </c>
      <c r="K406" s="6">
        <f t="shared" si="2"/>
        <v>-0.01989804309</v>
      </c>
      <c r="L406" s="7">
        <v>-0.032620763905828035</v>
      </c>
      <c r="M406" s="8">
        <f t="shared" si="1"/>
        <v>17851126</v>
      </c>
    </row>
    <row r="407">
      <c r="A407" s="9">
        <v>46101.0</v>
      </c>
      <c r="B407" s="1">
        <v>301.05</v>
      </c>
      <c r="C407" s="1">
        <v>308.75</v>
      </c>
      <c r="D407" s="1">
        <v>298.15</v>
      </c>
      <c r="E407" s="1">
        <v>298.0</v>
      </c>
      <c r="F407" s="1">
        <v>299.95</v>
      </c>
      <c r="G407" s="1">
        <v>303.3</v>
      </c>
      <c r="H407" s="1" t="s">
        <v>8546</v>
      </c>
      <c r="I407" s="1" t="s">
        <v>8547</v>
      </c>
      <c r="J407" s="1" t="s">
        <v>8548</v>
      </c>
      <c r="K407" s="6">
        <f t="shared" si="2"/>
        <v>0.006543624161</v>
      </c>
      <c r="L407" s="7">
        <v>0.004884326030392748</v>
      </c>
      <c r="M407" s="8">
        <f t="shared" si="1"/>
        <v>58679529</v>
      </c>
    </row>
    <row r="408">
      <c r="A408" s="9">
        <v>46104.0</v>
      </c>
      <c r="B408" s="1">
        <v>298.9</v>
      </c>
      <c r="C408" s="1">
        <v>299.0</v>
      </c>
      <c r="D408" s="1">
        <v>289.55</v>
      </c>
      <c r="E408" s="1">
        <v>299.95</v>
      </c>
      <c r="F408" s="1">
        <v>290.45</v>
      </c>
      <c r="G408" s="1">
        <v>291.99</v>
      </c>
      <c r="H408" s="1" t="s">
        <v>8549</v>
      </c>
      <c r="I408" s="1" t="s">
        <v>8550</v>
      </c>
      <c r="J408" s="1" t="s">
        <v>8551</v>
      </c>
      <c r="K408" s="6">
        <f t="shared" si="2"/>
        <v>-0.03167194532</v>
      </c>
      <c r="L408" s="7">
        <v>-0.02603776850029196</v>
      </c>
      <c r="M408" s="8">
        <f t="shared" si="1"/>
        <v>31788160</v>
      </c>
    </row>
    <row r="409">
      <c r="A409" s="9">
        <v>46105.0</v>
      </c>
      <c r="B409" s="1">
        <v>295.95</v>
      </c>
      <c r="C409" s="1">
        <v>296.0</v>
      </c>
      <c r="D409" s="1">
        <v>288.75</v>
      </c>
      <c r="E409" s="1">
        <v>290.45</v>
      </c>
      <c r="F409" s="1">
        <v>291.25</v>
      </c>
      <c r="G409" s="1">
        <v>290.76</v>
      </c>
      <c r="H409" s="1" t="s">
        <v>8552</v>
      </c>
      <c r="I409" s="1" t="s">
        <v>8553</v>
      </c>
      <c r="J409" s="1" t="s">
        <v>8554</v>
      </c>
      <c r="K409" s="6">
        <f t="shared" si="2"/>
        <v>0.002754346703</v>
      </c>
      <c r="L409" s="7">
        <v>0.017756683464629885</v>
      </c>
      <c r="M409" s="8">
        <f t="shared" si="1"/>
        <v>33335721</v>
      </c>
    </row>
    <row r="410">
      <c r="A410" s="9">
        <v>46106.0</v>
      </c>
      <c r="B410" s="1">
        <v>292.7</v>
      </c>
      <c r="C410" s="1">
        <v>298.5</v>
      </c>
      <c r="D410" s="1">
        <v>292.25</v>
      </c>
      <c r="E410" s="1">
        <v>291.25</v>
      </c>
      <c r="F410" s="1">
        <v>295.7</v>
      </c>
      <c r="G410" s="1">
        <v>296.42</v>
      </c>
      <c r="H410" s="1" t="s">
        <v>8555</v>
      </c>
      <c r="I410" s="1" t="s">
        <v>8556</v>
      </c>
      <c r="J410" s="1" t="s">
        <v>8557</v>
      </c>
      <c r="K410" s="6">
        <f t="shared" si="2"/>
        <v>0.01527896996</v>
      </c>
      <c r="L410" s="7">
        <v>0.017198111066496713</v>
      </c>
      <c r="M410" s="8">
        <f t="shared" si="1"/>
        <v>26184716</v>
      </c>
    </row>
    <row r="411">
      <c r="A411" s="9">
        <v>46108.0</v>
      </c>
      <c r="B411" s="1">
        <v>294.7</v>
      </c>
      <c r="C411" s="1">
        <v>296.85</v>
      </c>
      <c r="D411" s="1">
        <v>291.55</v>
      </c>
      <c r="E411" s="1">
        <v>295.7</v>
      </c>
      <c r="F411" s="1">
        <v>294.7</v>
      </c>
      <c r="G411" s="1">
        <v>294.29</v>
      </c>
      <c r="H411" s="1" t="s">
        <v>8558</v>
      </c>
      <c r="I411" s="1" t="s">
        <v>8559</v>
      </c>
      <c r="J411" s="1" t="s">
        <v>8560</v>
      </c>
      <c r="K411" s="6">
        <f t="shared" si="2"/>
        <v>-0.003381805884</v>
      </c>
      <c r="L411" s="7">
        <v>-0.020889067189554914</v>
      </c>
      <c r="M411" s="8">
        <f t="shared" si="1"/>
        <v>22179022</v>
      </c>
    </row>
    <row r="412">
      <c r="A412" s="9">
        <v>46111.0</v>
      </c>
      <c r="B412" s="1">
        <v>293.6</v>
      </c>
      <c r="C412" s="1">
        <v>294.45</v>
      </c>
      <c r="D412" s="1">
        <v>287.0</v>
      </c>
      <c r="E412" s="1">
        <v>294.7</v>
      </c>
      <c r="F412" s="1">
        <v>287.7</v>
      </c>
      <c r="G412" s="1">
        <v>290.13</v>
      </c>
      <c r="H412" s="1" t="s">
        <v>8561</v>
      </c>
      <c r="I412" s="1" t="s">
        <v>8562</v>
      </c>
      <c r="J412" s="1" t="s">
        <v>8563</v>
      </c>
      <c r="K412" s="6">
        <f t="shared" si="2"/>
        <v>-0.02375296912</v>
      </c>
      <c r="L412" s="7">
        <v>-0.02139388946344358</v>
      </c>
      <c r="M412" s="8">
        <f t="shared" si="1"/>
        <v>24586921</v>
      </c>
    </row>
    <row r="413">
      <c r="A413" s="3">
        <v>46113.0</v>
      </c>
      <c r="B413" s="1">
        <v>293.0</v>
      </c>
      <c r="C413" s="1">
        <v>294.45</v>
      </c>
      <c r="D413" s="1">
        <v>290.9</v>
      </c>
      <c r="E413" s="1">
        <v>287.7</v>
      </c>
      <c r="F413" s="1">
        <v>291.7</v>
      </c>
      <c r="G413" s="1">
        <v>292.47</v>
      </c>
      <c r="H413" s="1" t="s">
        <v>8564</v>
      </c>
      <c r="I413" s="1" t="s">
        <v>8565</v>
      </c>
      <c r="J413" s="1" t="s">
        <v>8566</v>
      </c>
      <c r="K413" s="6">
        <f t="shared" si="2"/>
        <v>0.01390337157</v>
      </c>
      <c r="L413" s="7">
        <v>0.015583438566323651</v>
      </c>
      <c r="M413" s="8">
        <f t="shared" si="1"/>
        <v>18604340</v>
      </c>
    </row>
    <row r="414">
      <c r="A414" s="3">
        <v>46114.0</v>
      </c>
      <c r="B414" s="1">
        <v>290.25</v>
      </c>
      <c r="C414" s="1">
        <v>293.65</v>
      </c>
      <c r="D414" s="1">
        <v>288.4</v>
      </c>
      <c r="E414" s="1">
        <v>291.7</v>
      </c>
      <c r="F414" s="1">
        <v>292.85</v>
      </c>
      <c r="G414" s="1">
        <v>291.13</v>
      </c>
      <c r="H414" s="1" t="s">
        <v>8567</v>
      </c>
      <c r="I414" s="1" t="s">
        <v>8568</v>
      </c>
      <c r="J414" s="1" t="s">
        <v>8569</v>
      </c>
      <c r="K414" s="6">
        <f t="shared" si="2"/>
        <v>0.003942406582</v>
      </c>
      <c r="L414" s="7">
        <v>0.001485929962873669</v>
      </c>
      <c r="M414" s="8">
        <f t="shared" si="1"/>
        <v>18082775</v>
      </c>
    </row>
    <row r="415">
      <c r="A415" s="3">
        <v>46118.0</v>
      </c>
      <c r="B415" s="1">
        <v>293.0</v>
      </c>
      <c r="C415" s="1">
        <v>295.35</v>
      </c>
      <c r="D415" s="1">
        <v>290.25</v>
      </c>
      <c r="E415" s="1">
        <v>292.85</v>
      </c>
      <c r="F415" s="1">
        <v>294.85</v>
      </c>
      <c r="G415" s="1">
        <v>292.85</v>
      </c>
      <c r="H415" s="1" t="s">
        <v>8570</v>
      </c>
      <c r="I415" s="1" t="s">
        <v>8571</v>
      </c>
      <c r="J415" s="1" t="s">
        <v>8572</v>
      </c>
      <c r="K415" s="6">
        <f t="shared" si="2"/>
        <v>0.006829434864</v>
      </c>
      <c r="L415" s="7">
        <v>0.011233605276250334</v>
      </c>
      <c r="M415" s="8">
        <f t="shared" si="1"/>
        <v>18047063</v>
      </c>
    </row>
    <row r="416">
      <c r="A416" s="3">
        <v>46119.0</v>
      </c>
      <c r="B416" s="1">
        <v>294.15</v>
      </c>
      <c r="C416" s="1">
        <v>299.0</v>
      </c>
      <c r="D416" s="1">
        <v>292.75</v>
      </c>
      <c r="E416" s="1">
        <v>294.85</v>
      </c>
      <c r="F416" s="1">
        <v>298.45</v>
      </c>
      <c r="G416" s="1">
        <v>297.09</v>
      </c>
      <c r="H416" s="1" t="s">
        <v>8573</v>
      </c>
      <c r="I416" s="1" t="s">
        <v>8574</v>
      </c>
      <c r="J416" s="1" t="s">
        <v>8575</v>
      </c>
      <c r="K416" s="6">
        <f t="shared" si="2"/>
        <v>0.0122095981</v>
      </c>
      <c r="L416" s="7">
        <v>0.0067658615697757316</v>
      </c>
      <c r="M416" s="8">
        <f t="shared" si="1"/>
        <v>26963485</v>
      </c>
    </row>
    <row r="417">
      <c r="A417" s="3">
        <v>46120.0</v>
      </c>
      <c r="B417" s="1">
        <v>303.9</v>
      </c>
      <c r="C417" s="1">
        <v>304.6</v>
      </c>
      <c r="D417" s="1">
        <v>301.55</v>
      </c>
      <c r="E417" s="1">
        <v>298.45</v>
      </c>
      <c r="F417" s="1">
        <v>302.45</v>
      </c>
      <c r="G417" s="1">
        <v>303.06</v>
      </c>
      <c r="H417" s="1" t="s">
        <v>8576</v>
      </c>
      <c r="I417" s="1" t="s">
        <v>8577</v>
      </c>
      <c r="J417" s="1" t="s">
        <v>8578</v>
      </c>
      <c r="K417" s="6">
        <f t="shared" si="2"/>
        <v>0.01340258</v>
      </c>
      <c r="L417" s="7">
        <v>0.037783827380192876</v>
      </c>
      <c r="M417" s="8">
        <f t="shared" si="1"/>
        <v>22310207</v>
      </c>
    </row>
    <row r="418">
      <c r="A418" s="3">
        <v>46121.0</v>
      </c>
      <c r="B418" s="1">
        <v>301.5</v>
      </c>
      <c r="C418" s="1">
        <v>304.4</v>
      </c>
      <c r="D418" s="1">
        <v>301.25</v>
      </c>
      <c r="E418" s="1">
        <v>302.45</v>
      </c>
      <c r="F418" s="1">
        <v>303.0</v>
      </c>
      <c r="G418" s="1">
        <v>303.14</v>
      </c>
      <c r="H418" s="1" t="s">
        <v>8579</v>
      </c>
      <c r="I418" s="1" t="s">
        <v>8580</v>
      </c>
      <c r="J418" s="1" t="s">
        <v>8581</v>
      </c>
      <c r="K418" s="6">
        <f t="shared" si="2"/>
        <v>0.001818482394</v>
      </c>
      <c r="L418" s="7">
        <v>-0.009261439283920933</v>
      </c>
      <c r="M418" s="8">
        <f t="shared" si="1"/>
        <v>17691477</v>
      </c>
    </row>
    <row r="419">
      <c r="A419" s="9">
        <v>46122.0</v>
      </c>
      <c r="B419" s="1">
        <v>303.0</v>
      </c>
      <c r="C419" s="1">
        <v>305.4</v>
      </c>
      <c r="D419" s="1">
        <v>302.6</v>
      </c>
      <c r="E419" s="1">
        <v>303.0</v>
      </c>
      <c r="F419" s="1">
        <v>304.25</v>
      </c>
      <c r="G419" s="1">
        <v>304.07</v>
      </c>
      <c r="H419" s="1" t="s">
        <v>8582</v>
      </c>
      <c r="I419" s="1" t="s">
        <v>8583</v>
      </c>
      <c r="J419" s="1" t="s">
        <v>8584</v>
      </c>
      <c r="K419" s="6">
        <f t="shared" si="2"/>
        <v>0.004125412541</v>
      </c>
      <c r="L419" s="7">
        <v>0.01158775357411746</v>
      </c>
      <c r="M419" s="8">
        <f t="shared" si="1"/>
        <v>17744386</v>
      </c>
    </row>
    <row r="420">
      <c r="A420" s="9">
        <v>46125.0</v>
      </c>
      <c r="B420" s="1">
        <v>300.0</v>
      </c>
      <c r="C420" s="1">
        <v>301.45</v>
      </c>
      <c r="D420" s="1">
        <v>298.1</v>
      </c>
      <c r="E420" s="1">
        <v>304.25</v>
      </c>
      <c r="F420" s="1">
        <v>298.65</v>
      </c>
      <c r="G420" s="1">
        <v>299.44</v>
      </c>
      <c r="H420" s="1" t="s">
        <v>8585</v>
      </c>
      <c r="I420" s="1" t="s">
        <v>8586</v>
      </c>
      <c r="J420" s="1" t="s">
        <v>8587</v>
      </c>
      <c r="K420" s="6">
        <f t="shared" si="2"/>
        <v>-0.01840591619</v>
      </c>
      <c r="L420" s="7">
        <v>-0.008646353937115794</v>
      </c>
      <c r="M420" s="8">
        <f t="shared" si="1"/>
        <v>16522014</v>
      </c>
    </row>
    <row r="421">
      <c r="A421" s="9">
        <v>46127.0</v>
      </c>
      <c r="B421" s="1">
        <v>300.7</v>
      </c>
      <c r="C421" s="1">
        <v>304.0</v>
      </c>
      <c r="D421" s="1">
        <v>300.55</v>
      </c>
      <c r="E421" s="1">
        <v>298.65</v>
      </c>
      <c r="F421" s="1">
        <v>302.05</v>
      </c>
      <c r="G421" s="1">
        <v>302.42</v>
      </c>
      <c r="H421" s="1" t="s">
        <v>8588</v>
      </c>
      <c r="I421" s="1" t="s">
        <v>8589</v>
      </c>
      <c r="J421" s="1" t="s">
        <v>8590</v>
      </c>
      <c r="K421" s="6">
        <f t="shared" si="2"/>
        <v>0.01138456387</v>
      </c>
      <c r="L421" s="7">
        <v>0.01630062094607763</v>
      </c>
      <c r="M421" s="8">
        <f t="shared" si="1"/>
        <v>18701403</v>
      </c>
    </row>
    <row r="422">
      <c r="A422" s="9">
        <v>46128.0</v>
      </c>
      <c r="B422" s="1">
        <v>302.95</v>
      </c>
      <c r="C422" s="1">
        <v>305.35</v>
      </c>
      <c r="D422" s="1">
        <v>301.85</v>
      </c>
      <c r="E422" s="1">
        <v>302.05</v>
      </c>
      <c r="F422" s="1">
        <v>303.4</v>
      </c>
      <c r="G422" s="1">
        <v>303.23</v>
      </c>
      <c r="H422" s="1" t="s">
        <v>8591</v>
      </c>
      <c r="I422" s="1" t="s">
        <v>8592</v>
      </c>
      <c r="J422" s="1" t="s">
        <v>8593</v>
      </c>
      <c r="K422" s="6">
        <f t="shared" si="2"/>
        <v>0.004469458699</v>
      </c>
      <c r="L422" s="7">
        <v>-0.0014258417831482123</v>
      </c>
      <c r="M422" s="8">
        <f t="shared" si="1"/>
        <v>16512053</v>
      </c>
    </row>
    <row r="423">
      <c r="A423" s="9">
        <v>46129.0</v>
      </c>
      <c r="B423" s="1">
        <v>303.85</v>
      </c>
      <c r="C423" s="1">
        <v>309.95</v>
      </c>
      <c r="D423" s="1">
        <v>303.85</v>
      </c>
      <c r="E423" s="1">
        <v>303.4</v>
      </c>
      <c r="F423" s="1">
        <v>306.8</v>
      </c>
      <c r="G423" s="1">
        <v>307.52</v>
      </c>
      <c r="H423" s="1" t="s">
        <v>8594</v>
      </c>
      <c r="I423" s="1" t="s">
        <v>8595</v>
      </c>
      <c r="J423" s="1" t="s">
        <v>8596</v>
      </c>
      <c r="K423" s="6">
        <f t="shared" si="2"/>
        <v>0.01120632828</v>
      </c>
      <c r="L423" s="7">
        <v>0.006480209118993223</v>
      </c>
      <c r="M423" s="8">
        <f t="shared" si="1"/>
        <v>35111203</v>
      </c>
    </row>
    <row r="424">
      <c r="A424" s="9">
        <v>46132.0</v>
      </c>
      <c r="B424" s="1">
        <v>307.0</v>
      </c>
      <c r="C424" s="1">
        <v>307.95</v>
      </c>
      <c r="D424" s="1">
        <v>304.45</v>
      </c>
      <c r="E424" s="1">
        <v>306.8</v>
      </c>
      <c r="F424" s="1">
        <v>305.0</v>
      </c>
      <c r="G424" s="1">
        <v>306.09</v>
      </c>
      <c r="H424" s="1" t="s">
        <v>8597</v>
      </c>
      <c r="I424" s="1" t="s">
        <v>8598</v>
      </c>
      <c r="J424" s="1" t="s">
        <v>8599</v>
      </c>
      <c r="K424" s="6">
        <f t="shared" si="2"/>
        <v>-0.005867014342</v>
      </c>
      <c r="L424" s="7">
        <v>4.639980618841718E-4</v>
      </c>
      <c r="M424" s="8">
        <f t="shared" si="1"/>
        <v>13540471</v>
      </c>
    </row>
    <row r="425">
      <c r="A425" s="9">
        <v>46133.0</v>
      </c>
      <c r="B425" s="1">
        <v>305.0</v>
      </c>
      <c r="C425" s="1">
        <v>311.1</v>
      </c>
      <c r="D425" s="1">
        <v>304.55</v>
      </c>
      <c r="E425" s="1">
        <v>305.0</v>
      </c>
      <c r="F425" s="1">
        <v>309.65</v>
      </c>
      <c r="G425" s="1">
        <v>306.96</v>
      </c>
      <c r="H425" s="1" t="s">
        <v>8600</v>
      </c>
      <c r="I425" s="1" t="s">
        <v>8601</v>
      </c>
      <c r="J425" s="1" t="s">
        <v>8602</v>
      </c>
      <c r="K425" s="6">
        <f t="shared" si="2"/>
        <v>0.01524590164</v>
      </c>
      <c r="L425" s="7">
        <v>0.00869079842477996</v>
      </c>
      <c r="M425" s="8">
        <f t="shared" si="1"/>
        <v>24411865</v>
      </c>
    </row>
    <row r="426">
      <c r="A426" s="9">
        <v>46134.0</v>
      </c>
      <c r="B426" s="1">
        <v>310.0</v>
      </c>
      <c r="C426" s="1">
        <v>310.55</v>
      </c>
      <c r="D426" s="1">
        <v>305.1</v>
      </c>
      <c r="E426" s="1">
        <v>309.65</v>
      </c>
      <c r="F426" s="1">
        <v>305.5</v>
      </c>
      <c r="G426" s="1">
        <v>306.39</v>
      </c>
      <c r="H426" s="1" t="s">
        <v>8603</v>
      </c>
      <c r="I426" s="1" t="s">
        <v>8604</v>
      </c>
      <c r="J426" s="1" t="s">
        <v>8605</v>
      </c>
      <c r="K426" s="6">
        <f t="shared" si="2"/>
        <v>-0.01340222832</v>
      </c>
      <c r="L426" s="7">
        <v>-0.008076788489864343</v>
      </c>
      <c r="M426" s="8">
        <f t="shared" si="1"/>
        <v>24500511</v>
      </c>
    </row>
    <row r="427">
      <c r="A427" s="9">
        <v>46135.0</v>
      </c>
      <c r="B427" s="1">
        <v>304.0</v>
      </c>
      <c r="C427" s="1">
        <v>306.35</v>
      </c>
      <c r="D427" s="1">
        <v>303.25</v>
      </c>
      <c r="E427" s="1">
        <v>305.5</v>
      </c>
      <c r="F427" s="1">
        <v>305.3</v>
      </c>
      <c r="G427" s="1">
        <v>305.0</v>
      </c>
      <c r="H427" s="1" t="s">
        <v>8606</v>
      </c>
      <c r="I427" s="1" t="s">
        <v>8607</v>
      </c>
      <c r="J427" s="11">
        <v>95400.0</v>
      </c>
      <c r="K427" s="6">
        <f t="shared" si="2"/>
        <v>-0.0006546644845</v>
      </c>
      <c r="L427" s="7">
        <v>-0.008411237955377954</v>
      </c>
      <c r="M427" s="8">
        <f t="shared" si="1"/>
        <v>10701849</v>
      </c>
    </row>
    <row r="428">
      <c r="A428" s="9">
        <v>46136.0</v>
      </c>
      <c r="B428" s="1">
        <v>306.65</v>
      </c>
      <c r="C428" s="1">
        <v>306.65</v>
      </c>
      <c r="D428" s="1">
        <v>301.1</v>
      </c>
      <c r="E428" s="1">
        <v>305.3</v>
      </c>
      <c r="F428" s="1">
        <v>301.6</v>
      </c>
      <c r="G428" s="1">
        <v>303.02</v>
      </c>
      <c r="H428" s="1" t="s">
        <v>8608</v>
      </c>
      <c r="I428" s="1" t="s">
        <v>8609</v>
      </c>
      <c r="J428" s="1" t="s">
        <v>8610</v>
      </c>
      <c r="K428" s="6">
        <f t="shared" si="2"/>
        <v>-0.01211922699</v>
      </c>
      <c r="L428" s="7">
        <v>-0.011380442269386715</v>
      </c>
      <c r="M428" s="8">
        <f t="shared" si="1"/>
        <v>17011704</v>
      </c>
    </row>
    <row r="429">
      <c r="A429" s="9">
        <v>46139.0</v>
      </c>
      <c r="B429" s="1">
        <v>303.65</v>
      </c>
      <c r="C429" s="1">
        <v>305.65</v>
      </c>
      <c r="D429" s="1">
        <v>302.85</v>
      </c>
      <c r="E429" s="1">
        <v>301.6</v>
      </c>
      <c r="F429" s="1">
        <v>303.85</v>
      </c>
      <c r="G429" s="1">
        <v>304.12</v>
      </c>
      <c r="H429" s="1" t="s">
        <v>8611</v>
      </c>
      <c r="I429" s="1" t="s">
        <v>8612</v>
      </c>
      <c r="J429" s="1" t="s">
        <v>8613</v>
      </c>
      <c r="K429" s="6">
        <f t="shared" si="2"/>
        <v>0.007460212202</v>
      </c>
      <c r="L429" s="7">
        <v>0.008149234557775876</v>
      </c>
      <c r="M429" s="8">
        <f t="shared" si="1"/>
        <v>14382348</v>
      </c>
    </row>
    <row r="430">
      <c r="A430" s="9">
        <v>46140.0</v>
      </c>
      <c r="B430" s="1">
        <v>304.4</v>
      </c>
      <c r="C430" s="1">
        <v>305.8</v>
      </c>
      <c r="D430" s="1">
        <v>302.55</v>
      </c>
      <c r="E430" s="1">
        <v>303.85</v>
      </c>
      <c r="F430" s="1">
        <v>304.45</v>
      </c>
      <c r="G430" s="1">
        <v>304.67</v>
      </c>
      <c r="H430" s="1" t="s">
        <v>8614</v>
      </c>
      <c r="I430" s="1" t="s">
        <v>8615</v>
      </c>
      <c r="J430" s="1" t="s">
        <v>8616</v>
      </c>
      <c r="K430" s="6">
        <f t="shared" si="2"/>
        <v>0.001974658549</v>
      </c>
      <c r="L430" s="7">
        <v>-0.004026115794410755</v>
      </c>
      <c r="M430" s="8">
        <f t="shared" si="1"/>
        <v>12907339</v>
      </c>
    </row>
    <row r="431">
      <c r="A431" s="9">
        <v>46141.0</v>
      </c>
      <c r="B431" s="1">
        <v>305.1</v>
      </c>
      <c r="C431" s="1">
        <v>317.5</v>
      </c>
      <c r="D431" s="1">
        <v>305.1</v>
      </c>
      <c r="E431" s="1">
        <v>304.45</v>
      </c>
      <c r="F431" s="1">
        <v>316.25</v>
      </c>
      <c r="G431" s="1">
        <v>313.93</v>
      </c>
      <c r="H431" s="1" t="s">
        <v>8617</v>
      </c>
      <c r="I431" s="1" t="s">
        <v>8618</v>
      </c>
      <c r="J431" s="1" t="s">
        <v>8619</v>
      </c>
      <c r="K431" s="6">
        <f t="shared" si="2"/>
        <v>0.03875841682</v>
      </c>
      <c r="L431" s="7">
        <v>0.007582608550698697</v>
      </c>
      <c r="M431" s="8">
        <f t="shared" si="1"/>
        <v>31199038</v>
      </c>
    </row>
    <row r="432">
      <c r="A432" s="9">
        <v>46142.0</v>
      </c>
      <c r="B432" s="1">
        <v>316.25</v>
      </c>
      <c r="C432" s="1">
        <v>317.5</v>
      </c>
      <c r="D432" s="1">
        <v>313.3</v>
      </c>
      <c r="E432" s="1">
        <v>316.25</v>
      </c>
      <c r="F432" s="1">
        <v>314.9</v>
      </c>
      <c r="G432" s="1">
        <v>315.35</v>
      </c>
      <c r="H432" s="1" t="s">
        <v>8620</v>
      </c>
      <c r="I432" s="1" t="s">
        <v>8621</v>
      </c>
      <c r="J432" s="1" t="s">
        <v>8622</v>
      </c>
      <c r="K432" s="6">
        <f t="shared" si="2"/>
        <v>-0.004268774704</v>
      </c>
      <c r="L432" s="7">
        <v>-0.00744902833815537</v>
      </c>
      <c r="M432" s="8">
        <f t="shared" si="1"/>
        <v>11541956</v>
      </c>
    </row>
    <row r="433">
      <c r="A433" s="12">
        <v>46146.0</v>
      </c>
      <c r="B433" s="1">
        <v>317.9</v>
      </c>
      <c r="C433" s="1">
        <v>317.9</v>
      </c>
      <c r="D433" s="1">
        <v>310.5</v>
      </c>
      <c r="E433" s="1">
        <v>314.9</v>
      </c>
      <c r="F433" s="1">
        <v>311.1</v>
      </c>
      <c r="G433" s="1">
        <v>313.63</v>
      </c>
      <c r="H433" s="1" t="s">
        <v>8623</v>
      </c>
      <c r="I433" s="1" t="s">
        <v>8624</v>
      </c>
      <c r="J433" s="1" t="s">
        <v>8625</v>
      </c>
      <c r="K433" s="6">
        <f t="shared" si="2"/>
        <v>-0.01206732296</v>
      </c>
      <c r="L433" s="7">
        <v>0.005073434579780019</v>
      </c>
      <c r="M433" s="8">
        <f t="shared" si="1"/>
        <v>20245091</v>
      </c>
    </row>
    <row r="434">
      <c r="A434" s="12">
        <v>46147.0</v>
      </c>
      <c r="B434" s="1">
        <v>311.1</v>
      </c>
      <c r="C434" s="1">
        <v>313.7</v>
      </c>
      <c r="D434" s="1">
        <v>309.65</v>
      </c>
      <c r="E434" s="1">
        <v>311.1</v>
      </c>
      <c r="F434" s="1">
        <v>311.45</v>
      </c>
      <c r="G434" s="1">
        <v>311.49</v>
      </c>
      <c r="H434" s="1" t="s">
        <v>8626</v>
      </c>
      <c r="I434" s="1" t="s">
        <v>8627</v>
      </c>
      <c r="J434" s="1" t="s">
        <v>8628</v>
      </c>
      <c r="K434" s="6">
        <f t="shared" si="2"/>
        <v>0.00112504018</v>
      </c>
      <c r="L434" s="7">
        <v>-0.0035863395703855418</v>
      </c>
      <c r="M434" s="8">
        <f t="shared" si="1"/>
        <v>26795704</v>
      </c>
    </row>
    <row r="435">
      <c r="A435" s="12">
        <v>46148.0</v>
      </c>
      <c r="B435" s="1">
        <v>312.8</v>
      </c>
      <c r="C435" s="1">
        <v>313.6</v>
      </c>
      <c r="D435" s="1">
        <v>309.25</v>
      </c>
      <c r="E435" s="1">
        <v>311.45</v>
      </c>
      <c r="F435" s="1">
        <v>310.7</v>
      </c>
      <c r="G435" s="1">
        <v>310.74</v>
      </c>
      <c r="H435" s="1" t="s">
        <v>8629</v>
      </c>
      <c r="I435" s="1" t="s">
        <v>8630</v>
      </c>
      <c r="J435" s="1" t="s">
        <v>8631</v>
      </c>
      <c r="K435" s="6">
        <f t="shared" si="2"/>
        <v>-0.002408091186</v>
      </c>
      <c r="L435" s="7">
        <v>0.012405961852135475</v>
      </c>
      <c r="M435" s="8">
        <f t="shared" si="1"/>
        <v>20287609</v>
      </c>
    </row>
    <row r="436">
      <c r="A436" s="12">
        <v>46149.0</v>
      </c>
      <c r="B436" s="1">
        <v>311.45</v>
      </c>
      <c r="C436" s="1">
        <v>311.65</v>
      </c>
      <c r="D436" s="1">
        <v>307.0</v>
      </c>
      <c r="E436" s="1">
        <v>310.7</v>
      </c>
      <c r="F436" s="1">
        <v>307.4</v>
      </c>
      <c r="G436" s="1">
        <v>308.52</v>
      </c>
      <c r="H436" s="1" t="s">
        <v>8632</v>
      </c>
      <c r="I436" s="1" t="s">
        <v>8633</v>
      </c>
      <c r="J436" s="1" t="s">
        <v>8634</v>
      </c>
      <c r="K436" s="6">
        <f t="shared" si="2"/>
        <v>-0.01062117799</v>
      </c>
      <c r="L436" s="7">
        <v>-1.7672963858785917E-4</v>
      </c>
      <c r="M436" s="8">
        <f t="shared" si="1"/>
        <v>25718615</v>
      </c>
    </row>
    <row r="437">
      <c r="A437" s="12">
        <v>46150.0</v>
      </c>
      <c r="B437" s="1">
        <v>308.9</v>
      </c>
      <c r="C437" s="1">
        <v>308.9</v>
      </c>
      <c r="D437" s="1">
        <v>305.7</v>
      </c>
      <c r="E437" s="1">
        <v>307.4</v>
      </c>
      <c r="F437" s="1">
        <v>307.45</v>
      </c>
      <c r="G437" s="1">
        <v>307.26</v>
      </c>
      <c r="H437" s="1" t="s">
        <v>8635</v>
      </c>
      <c r="I437" s="1" t="s">
        <v>8636</v>
      </c>
      <c r="J437" s="1" t="s">
        <v>8637</v>
      </c>
      <c r="K437" s="6">
        <f t="shared" si="2"/>
        <v>0.0001626545218</v>
      </c>
      <c r="L437" s="7">
        <v>-0.006186630711585853</v>
      </c>
      <c r="M437" s="8">
        <f t="shared" si="1"/>
        <v>17739844</v>
      </c>
    </row>
    <row r="438">
      <c r="A438" s="13">
        <v>46153.0</v>
      </c>
      <c r="B438" s="1">
        <v>307.0</v>
      </c>
      <c r="C438" s="1">
        <v>308.0</v>
      </c>
      <c r="D438" s="1">
        <v>305.15</v>
      </c>
      <c r="E438" s="1">
        <v>307.45</v>
      </c>
      <c r="F438" s="1">
        <v>305.85</v>
      </c>
      <c r="G438" s="1">
        <v>306.7</v>
      </c>
      <c r="H438" s="1" t="s">
        <v>8638</v>
      </c>
      <c r="I438" s="1" t="s">
        <v>8639</v>
      </c>
      <c r="J438" s="1" t="s">
        <v>8640</v>
      </c>
      <c r="K438" s="6">
        <f t="shared" si="2"/>
        <v>-0.005204098227</v>
      </c>
      <c r="L438" s="7">
        <v>-0.01490311732844158</v>
      </c>
      <c r="M438" s="8">
        <f t="shared" si="1"/>
        <v>14968661</v>
      </c>
    </row>
    <row r="439">
      <c r="A439" s="13">
        <v>46154.0</v>
      </c>
      <c r="B439" s="1">
        <v>305.35</v>
      </c>
      <c r="C439" s="1">
        <v>306.25</v>
      </c>
      <c r="D439" s="1">
        <v>300.1</v>
      </c>
      <c r="E439" s="1">
        <v>305.85</v>
      </c>
      <c r="F439" s="1">
        <v>300.7</v>
      </c>
      <c r="G439" s="1">
        <v>302.95</v>
      </c>
      <c r="H439" s="1" t="s">
        <v>8641</v>
      </c>
      <c r="I439" s="1" t="s">
        <v>8642</v>
      </c>
      <c r="J439" s="1" t="s">
        <v>8643</v>
      </c>
      <c r="K439" s="6">
        <f t="shared" si="2"/>
        <v>-0.01683831944</v>
      </c>
      <c r="L439" s="7">
        <v>-0.018319732447088777</v>
      </c>
      <c r="M439" s="8">
        <f t="shared" si="1"/>
        <v>15968338</v>
      </c>
    </row>
    <row r="440">
      <c r="A440" s="13">
        <v>46155.0</v>
      </c>
      <c r="B440" s="1">
        <v>302.0</v>
      </c>
      <c r="C440" s="1">
        <v>305.8</v>
      </c>
      <c r="D440" s="1">
        <v>301.05</v>
      </c>
      <c r="E440" s="1">
        <v>300.7</v>
      </c>
      <c r="F440" s="1">
        <v>304.45</v>
      </c>
      <c r="G440" s="1">
        <v>304.3</v>
      </c>
      <c r="H440" s="1" t="s">
        <v>8644</v>
      </c>
      <c r="I440" s="1" t="s">
        <v>8645</v>
      </c>
      <c r="J440" s="1" t="s">
        <v>8646</v>
      </c>
      <c r="K440" s="6">
        <f t="shared" si="2"/>
        <v>0.01247090123</v>
      </c>
      <c r="L440" s="7">
        <v>0.0014136285771111624</v>
      </c>
      <c r="M440" s="8">
        <f t="shared" si="1"/>
        <v>13024778</v>
      </c>
    </row>
    <row r="441">
      <c r="A441" s="13">
        <v>46156.0</v>
      </c>
      <c r="B441" s="1">
        <v>305.0</v>
      </c>
      <c r="C441" s="1">
        <v>309.2</v>
      </c>
      <c r="D441" s="1">
        <v>304.85</v>
      </c>
      <c r="E441" s="1">
        <v>304.45</v>
      </c>
      <c r="F441" s="1">
        <v>307.2</v>
      </c>
      <c r="G441" s="1">
        <v>307.57</v>
      </c>
      <c r="H441" s="1" t="s">
        <v>8647</v>
      </c>
      <c r="I441" s="1" t="s">
        <v>8648</v>
      </c>
      <c r="J441" s="1" t="s">
        <v>8649</v>
      </c>
      <c r="K441" s="6">
        <f t="shared" si="2"/>
        <v>0.009032681885</v>
      </c>
      <c r="L441" s="7">
        <v>0.011831236171975774</v>
      </c>
      <c r="M441" s="8">
        <f t="shared" si="1"/>
        <v>11113377</v>
      </c>
    </row>
    <row r="442">
      <c r="A442" s="13">
        <v>46157.0</v>
      </c>
      <c r="B442" s="1">
        <v>307.2</v>
      </c>
      <c r="C442" s="1">
        <v>312.05</v>
      </c>
      <c r="D442" s="1">
        <v>306.3</v>
      </c>
      <c r="E442" s="1">
        <v>307.2</v>
      </c>
      <c r="F442" s="1">
        <v>309.45</v>
      </c>
      <c r="G442" s="1">
        <v>309.49</v>
      </c>
      <c r="H442" s="1" t="s">
        <v>8650</v>
      </c>
      <c r="I442" s="1" t="s">
        <v>8651</v>
      </c>
      <c r="J442" s="1" t="s">
        <v>8652</v>
      </c>
      <c r="K442" s="6">
        <f t="shared" si="2"/>
        <v>0.00732421875</v>
      </c>
      <c r="L442" s="7">
        <v>-0.0019460016209644126</v>
      </c>
      <c r="M442" s="8">
        <f t="shared" si="1"/>
        <v>11954564</v>
      </c>
    </row>
    <row r="443">
      <c r="A443" s="13">
        <v>46160.0</v>
      </c>
      <c r="B443" s="1">
        <v>309.45</v>
      </c>
      <c r="C443" s="1">
        <v>312.3</v>
      </c>
      <c r="D443" s="1">
        <v>306.5</v>
      </c>
      <c r="E443" s="1">
        <v>309.45</v>
      </c>
      <c r="F443" s="1">
        <v>310.15</v>
      </c>
      <c r="G443" s="1">
        <v>309.32</v>
      </c>
      <c r="H443" s="1" t="s">
        <v>8653</v>
      </c>
      <c r="I443" s="1" t="s">
        <v>8654</v>
      </c>
      <c r="J443" s="1" t="s">
        <v>8655</v>
      </c>
      <c r="K443" s="6">
        <f t="shared" si="2"/>
        <v>0.00226207788</v>
      </c>
      <c r="L443" s="7">
        <v>2.728022500899075E-4</v>
      </c>
      <c r="M443" s="8">
        <f t="shared" si="1"/>
        <v>14422870</v>
      </c>
    </row>
    <row r="444">
      <c r="A444" s="13">
        <v>46161.0</v>
      </c>
      <c r="B444" s="1">
        <v>311.95</v>
      </c>
      <c r="C444" s="1">
        <v>314.25</v>
      </c>
      <c r="D444" s="1">
        <v>308.35</v>
      </c>
      <c r="E444" s="1">
        <v>310.15</v>
      </c>
      <c r="F444" s="1">
        <v>310.3</v>
      </c>
      <c r="G444" s="1">
        <v>311.72</v>
      </c>
      <c r="H444" s="1" t="s">
        <v>8656</v>
      </c>
      <c r="I444" s="1" t="s">
        <v>8657</v>
      </c>
      <c r="J444" s="1" t="s">
        <v>8658</v>
      </c>
      <c r="K444" s="6">
        <f t="shared" si="2"/>
        <v>0.0004836369499</v>
      </c>
      <c r="L444" s="7">
        <v>-0.0013509542303472408</v>
      </c>
      <c r="M444" s="8">
        <f t="shared" si="1"/>
        <v>17519355</v>
      </c>
    </row>
    <row r="445">
      <c r="A445" s="13">
        <v>46162.0</v>
      </c>
      <c r="B445" s="1">
        <v>309.0</v>
      </c>
      <c r="C445" s="1">
        <v>309.65</v>
      </c>
      <c r="D445" s="1">
        <v>306.2</v>
      </c>
      <c r="E445" s="1">
        <v>310.3</v>
      </c>
      <c r="F445" s="1">
        <v>307.55</v>
      </c>
      <c r="G445" s="1">
        <v>307.48</v>
      </c>
      <c r="H445" s="1" t="s">
        <v>8659</v>
      </c>
      <c r="I445" s="1" t="s">
        <v>8660</v>
      </c>
      <c r="J445" s="1" t="s">
        <v>8661</v>
      </c>
      <c r="K445" s="6">
        <f t="shared" si="2"/>
        <v>-0.008862391234</v>
      </c>
      <c r="L445" s="7">
        <v>0.0017359640951816412</v>
      </c>
      <c r="M445" s="8">
        <f t="shared" si="1"/>
        <v>12127920</v>
      </c>
    </row>
    <row r="446">
      <c r="A446" s="13">
        <v>46163.0</v>
      </c>
      <c r="B446" s="1">
        <v>309.85</v>
      </c>
      <c r="C446" s="1">
        <v>311.3</v>
      </c>
      <c r="D446" s="1">
        <v>305.8</v>
      </c>
      <c r="E446" s="1">
        <v>307.55</v>
      </c>
      <c r="F446" s="1">
        <v>308.05</v>
      </c>
      <c r="G446" s="1">
        <v>307.94</v>
      </c>
      <c r="H446" s="1" t="s">
        <v>8662</v>
      </c>
      <c r="I446" s="1" t="s">
        <v>8663</v>
      </c>
      <c r="J446" s="1" t="s">
        <v>8664</v>
      </c>
      <c r="K446" s="6">
        <f t="shared" si="2"/>
        <v>0.00162575191</v>
      </c>
      <c r="L446" s="7">
        <v>-1.817490172872595E-4</v>
      </c>
      <c r="M446" s="8">
        <f t="shared" si="1"/>
        <v>21868988</v>
      </c>
    </row>
    <row r="447">
      <c r="A447" s="13">
        <v>46164.0</v>
      </c>
      <c r="B447" s="1">
        <v>305.9</v>
      </c>
      <c r="C447" s="1">
        <v>307.0</v>
      </c>
      <c r="D447" s="1">
        <v>301.0</v>
      </c>
      <c r="E447" s="1">
        <v>308.05</v>
      </c>
      <c r="F447" s="1">
        <v>301.7</v>
      </c>
      <c r="G447" s="1">
        <v>303.66</v>
      </c>
      <c r="H447" s="1" t="s">
        <v>8665</v>
      </c>
      <c r="I447" s="1" t="s">
        <v>8666</v>
      </c>
      <c r="J447" s="1" t="s">
        <v>8667</v>
      </c>
      <c r="K447" s="6">
        <f t="shared" si="2"/>
        <v>-0.02061353676</v>
      </c>
      <c r="L447" s="7">
        <v>0.0027309583296342183</v>
      </c>
      <c r="M447" s="8">
        <f t="shared" si="1"/>
        <v>30751752</v>
      </c>
    </row>
    <row r="448">
      <c r="A448" s="13">
        <v>46167.0</v>
      </c>
      <c r="B448" s="1">
        <v>303.95</v>
      </c>
      <c r="C448" s="1">
        <v>305.5</v>
      </c>
      <c r="D448" s="1">
        <v>302.35</v>
      </c>
      <c r="E448" s="1">
        <v>301.7</v>
      </c>
      <c r="F448" s="1">
        <v>303.95</v>
      </c>
      <c r="G448" s="1">
        <v>303.78</v>
      </c>
      <c r="H448" s="1" t="s">
        <v>8668</v>
      </c>
      <c r="I448" s="1" t="s">
        <v>8669</v>
      </c>
      <c r="J448" s="1" t="s">
        <v>8670</v>
      </c>
      <c r="K448" s="6">
        <f t="shared" si="2"/>
        <v>0.007457739476</v>
      </c>
      <c r="L448" s="7">
        <v>0.013170709085006786</v>
      </c>
      <c r="M448" s="8">
        <f t="shared" si="1"/>
        <v>15734247</v>
      </c>
    </row>
    <row r="449">
      <c r="A449" s="13">
        <v>46168.0</v>
      </c>
      <c r="B449" s="1">
        <v>304.35</v>
      </c>
      <c r="C449" s="1">
        <v>304.4</v>
      </c>
      <c r="D449" s="1">
        <v>301.1</v>
      </c>
      <c r="E449" s="1">
        <v>303.95</v>
      </c>
      <c r="F449" s="1">
        <v>301.65</v>
      </c>
      <c r="G449" s="1">
        <v>301.89</v>
      </c>
      <c r="H449" s="1" t="s">
        <v>8671</v>
      </c>
      <c r="I449" s="1" t="s">
        <v>8672</v>
      </c>
      <c r="J449" s="1" t="s">
        <v>8673</v>
      </c>
      <c r="K449" s="6">
        <f t="shared" si="2"/>
        <v>-0.007567034052</v>
      </c>
      <c r="L449" s="7">
        <v>-0.004910181135749863</v>
      </c>
      <c r="M449" s="8">
        <f t="shared" si="1"/>
        <v>37560542</v>
      </c>
    </row>
    <row r="450">
      <c r="A450" s="13">
        <v>46169.0</v>
      </c>
      <c r="B450" s="1">
        <v>295.65</v>
      </c>
      <c r="C450" s="1">
        <v>296.35</v>
      </c>
      <c r="D450" s="1">
        <v>291.05</v>
      </c>
      <c r="E450" s="1">
        <v>301.65</v>
      </c>
      <c r="F450" s="1">
        <v>291.95</v>
      </c>
      <c r="G450" s="1">
        <v>292.91</v>
      </c>
      <c r="H450" s="1" t="s">
        <v>8674</v>
      </c>
      <c r="I450" s="1" t="s">
        <v>8675</v>
      </c>
      <c r="J450" s="1" t="s">
        <v>8676</v>
      </c>
      <c r="K450" s="6">
        <f t="shared" si="2"/>
        <v>-0.03215647273</v>
      </c>
      <c r="L450" s="7">
        <v>-2.7390157106592757E-4</v>
      </c>
      <c r="M450" s="8">
        <f t="shared" si="1"/>
        <v>25446093</v>
      </c>
    </row>
    <row r="451">
      <c r="A451" s="13">
        <v>46171.0</v>
      </c>
      <c r="B451" s="1">
        <v>292.0</v>
      </c>
      <c r="C451" s="1">
        <v>292.4</v>
      </c>
      <c r="D451" s="1">
        <v>285.9</v>
      </c>
      <c r="E451" s="1">
        <v>291.95</v>
      </c>
      <c r="F451" s="1">
        <v>286.9</v>
      </c>
      <c r="G451" s="1">
        <v>288.37</v>
      </c>
      <c r="H451" s="1" t="s">
        <v>8677</v>
      </c>
      <c r="I451" s="1" t="s">
        <v>8678</v>
      </c>
      <c r="J451" s="1" t="s">
        <v>8679</v>
      </c>
      <c r="K451" s="6">
        <f t="shared" si="2"/>
        <v>-0.01729748245</v>
      </c>
      <c r="L451" s="7">
        <v>-0.015033159535954785</v>
      </c>
      <c r="M451" s="8">
        <f t="shared" si="1"/>
        <v>31930439</v>
      </c>
    </row>
    <row r="452">
      <c r="A452" s="3">
        <v>46174.0</v>
      </c>
      <c r="B452" s="1">
        <v>287.8</v>
      </c>
      <c r="C452" s="1">
        <v>288.55</v>
      </c>
      <c r="D452" s="1">
        <v>278.3</v>
      </c>
      <c r="E452" s="1">
        <v>286.9</v>
      </c>
      <c r="F452" s="1">
        <v>279.65</v>
      </c>
      <c r="G452" s="1">
        <v>282.77</v>
      </c>
      <c r="H452" s="1" t="s">
        <v>8680</v>
      </c>
      <c r="I452" s="1" t="s">
        <v>8681</v>
      </c>
      <c r="J452" s="1" t="s">
        <v>8682</v>
      </c>
      <c r="K452" s="6">
        <f t="shared" si="2"/>
        <v>-0.02527012896</v>
      </c>
      <c r="L452" s="7">
        <v>-0.007013408924419593</v>
      </c>
      <c r="M452" s="8">
        <f t="shared" si="1"/>
        <v>23477875</v>
      </c>
    </row>
    <row r="453">
      <c r="A453" s="3">
        <v>46175.0</v>
      </c>
      <c r="B453" s="1">
        <v>279.5</v>
      </c>
      <c r="C453" s="1">
        <v>283.6</v>
      </c>
      <c r="D453" s="1">
        <v>277.1</v>
      </c>
      <c r="E453" s="1">
        <v>279.65</v>
      </c>
      <c r="F453" s="1">
        <v>283.25</v>
      </c>
      <c r="G453" s="1">
        <v>280.64</v>
      </c>
      <c r="H453" s="1" t="s">
        <v>8683</v>
      </c>
      <c r="I453" s="1" t="s">
        <v>8684</v>
      </c>
      <c r="J453" s="1" t="s">
        <v>8685</v>
      </c>
      <c r="K453" s="6">
        <f t="shared" si="2"/>
        <v>0.0128732344</v>
      </c>
      <c r="L453" s="7">
        <v>0.0043173128736753285</v>
      </c>
      <c r="M453" s="8">
        <f t="shared" si="1"/>
        <v>20206131</v>
      </c>
    </row>
    <row r="454">
      <c r="A454" s="3">
        <v>46176.0</v>
      </c>
      <c r="B454" s="1">
        <v>282.35</v>
      </c>
      <c r="C454" s="1">
        <v>282.35</v>
      </c>
      <c r="D454" s="1">
        <v>275.2</v>
      </c>
      <c r="E454" s="1">
        <v>283.25</v>
      </c>
      <c r="F454" s="1">
        <v>277.0</v>
      </c>
      <c r="G454" s="1">
        <v>277.04</v>
      </c>
      <c r="H454" s="1" t="s">
        <v>8686</v>
      </c>
      <c r="I454" s="1" t="s">
        <v>8687</v>
      </c>
      <c r="J454" s="1" t="s">
        <v>8688</v>
      </c>
      <c r="K454" s="6">
        <f t="shared" si="2"/>
        <v>-0.02206531333</v>
      </c>
      <c r="L454" s="7">
        <v>-0.0033193448179683538</v>
      </c>
      <c r="M454" s="8">
        <f t="shared" si="1"/>
        <v>28001438</v>
      </c>
    </row>
    <row r="455">
      <c r="A455" s="3">
        <v>46177.0</v>
      </c>
      <c r="B455" s="1">
        <v>277.0</v>
      </c>
      <c r="C455" s="1">
        <v>280.65</v>
      </c>
      <c r="D455" s="1">
        <v>275.05</v>
      </c>
      <c r="E455" s="1">
        <v>277.0</v>
      </c>
      <c r="F455" s="1">
        <v>280.3</v>
      </c>
      <c r="G455" s="1">
        <v>279.23</v>
      </c>
      <c r="H455" s="1" t="s">
        <v>8689</v>
      </c>
      <c r="I455" s="1" t="s">
        <v>8690</v>
      </c>
      <c r="J455" s="1" t="s">
        <v>8691</v>
      </c>
      <c r="K455" s="6">
        <f t="shared" si="2"/>
        <v>0.0119133574</v>
      </c>
      <c r="L455" s="7">
        <v>4.678367570154462E-4</v>
      </c>
      <c r="M455" s="8">
        <f t="shared" si="1"/>
        <v>22017634</v>
      </c>
    </row>
    <row r="456">
      <c r="A456" s="3">
        <v>46178.0</v>
      </c>
      <c r="B456" s="1">
        <v>280.0</v>
      </c>
      <c r="C456" s="1">
        <v>281.4</v>
      </c>
      <c r="D456" s="1">
        <v>277.85</v>
      </c>
      <c r="E456" s="1">
        <v>280.3</v>
      </c>
      <c r="F456" s="1">
        <v>280.7</v>
      </c>
      <c r="G456" s="1">
        <v>279.95</v>
      </c>
      <c r="H456" s="1" t="s">
        <v>8692</v>
      </c>
      <c r="I456" s="1" t="s">
        <v>8693</v>
      </c>
      <c r="J456" s="1" t="s">
        <v>8694</v>
      </c>
      <c r="K456" s="6">
        <f t="shared" si="2"/>
        <v>0.001427042455</v>
      </c>
      <c r="L456" s="7">
        <v>-0.0021288362290772357</v>
      </c>
      <c r="M456" s="8">
        <f t="shared" si="1"/>
        <v>16065822</v>
      </c>
    </row>
    <row r="457">
      <c r="A457" s="3">
        <v>46181.0</v>
      </c>
      <c r="B457" s="1">
        <v>279.0</v>
      </c>
      <c r="C457" s="1">
        <v>283.45</v>
      </c>
      <c r="D457" s="1">
        <v>276.95</v>
      </c>
      <c r="E457" s="1">
        <v>280.7</v>
      </c>
      <c r="F457" s="1">
        <v>279.45</v>
      </c>
      <c r="G457" s="1">
        <v>280.73</v>
      </c>
      <c r="H457" s="1" t="s">
        <v>8695</v>
      </c>
      <c r="I457" s="1" t="s">
        <v>8696</v>
      </c>
      <c r="J457" s="1" t="s">
        <v>8697</v>
      </c>
      <c r="K457" s="6">
        <f t="shared" si="2"/>
        <v>-0.004453152832</v>
      </c>
      <c r="L457" s="7">
        <v>-0.010429371712736533</v>
      </c>
      <c r="M457" s="8">
        <f t="shared" si="1"/>
        <v>15779677</v>
      </c>
    </row>
    <row r="458">
      <c r="A458" s="3">
        <v>46182.0</v>
      </c>
      <c r="B458" s="1">
        <v>281.7</v>
      </c>
      <c r="C458" s="1">
        <v>281.7</v>
      </c>
      <c r="D458" s="1">
        <v>277.15</v>
      </c>
      <c r="E458" s="1">
        <v>279.45</v>
      </c>
      <c r="F458" s="1">
        <v>280.0</v>
      </c>
      <c r="G458" s="1">
        <v>279.45</v>
      </c>
      <c r="H458" s="1" t="s">
        <v>8698</v>
      </c>
      <c r="I458" s="1" t="s">
        <v>8699</v>
      </c>
      <c r="J458" s="1" t="s">
        <v>8700</v>
      </c>
      <c r="K458" s="6">
        <f t="shared" si="2"/>
        <v>0.001968151727</v>
      </c>
      <c r="L458" s="7">
        <v>0.005150715737577241</v>
      </c>
      <c r="M458" s="8">
        <f t="shared" si="1"/>
        <v>12302522</v>
      </c>
    </row>
    <row r="459">
      <c r="A459" s="9">
        <v>46183.0</v>
      </c>
      <c r="B459" s="1">
        <v>280.0</v>
      </c>
      <c r="C459" s="1">
        <v>285.85</v>
      </c>
      <c r="D459" s="1">
        <v>278.65</v>
      </c>
      <c r="E459" s="1">
        <v>280.0</v>
      </c>
      <c r="F459" s="1">
        <v>283.65</v>
      </c>
      <c r="G459" s="1">
        <v>283.69</v>
      </c>
      <c r="H459" s="1" t="s">
        <v>8701</v>
      </c>
      <c r="I459" s="1" t="s">
        <v>8702</v>
      </c>
      <c r="J459" s="1" t="s">
        <v>8703</v>
      </c>
      <c r="K459" s="6">
        <f t="shared" si="2"/>
        <v>0.01303571429</v>
      </c>
      <c r="L459" s="7">
        <v>-0.0011681388514806243</v>
      </c>
      <c r="M459" s="8">
        <f t="shared" si="1"/>
        <v>19823743</v>
      </c>
    </row>
    <row r="460">
      <c r="A460" s="9">
        <v>46184.0</v>
      </c>
      <c r="B460" s="1">
        <v>283.0</v>
      </c>
      <c r="C460" s="1">
        <v>283.25</v>
      </c>
      <c r="D460" s="1">
        <v>281.2</v>
      </c>
      <c r="E460" s="1">
        <v>283.65</v>
      </c>
      <c r="F460" s="1">
        <v>282.4</v>
      </c>
      <c r="G460" s="1">
        <v>282.3</v>
      </c>
      <c r="H460" s="1" t="s">
        <v>8704</v>
      </c>
      <c r="I460" s="1" t="s">
        <v>8705</v>
      </c>
      <c r="J460" s="1" t="s">
        <v>8706</v>
      </c>
      <c r="K460" s="6">
        <f t="shared" si="2"/>
        <v>-0.004406839415</v>
      </c>
      <c r="L460" s="7">
        <v>-0.002298088085479494</v>
      </c>
      <c r="M460" s="8">
        <f t="shared" si="1"/>
        <v>12603100</v>
      </c>
    </row>
    <row r="461">
      <c r="A461" s="9">
        <v>46185.0</v>
      </c>
      <c r="B461" s="1">
        <v>283.55</v>
      </c>
      <c r="C461" s="1">
        <v>285.85</v>
      </c>
      <c r="D461" s="1">
        <v>283.0</v>
      </c>
      <c r="E461" s="1">
        <v>282.4</v>
      </c>
      <c r="F461" s="1">
        <v>285.1</v>
      </c>
      <c r="G461" s="1">
        <v>284.32</v>
      </c>
      <c r="H461" s="1" t="s">
        <v>8707</v>
      </c>
      <c r="I461" s="1" t="s">
        <v>8708</v>
      </c>
      <c r="J461" s="1" t="s">
        <v>8709</v>
      </c>
      <c r="K461" s="6">
        <f t="shared" si="2"/>
        <v>0.009560906516</v>
      </c>
      <c r="L461" s="7">
        <v>0.019916586073501094</v>
      </c>
      <c r="M461" s="8">
        <f t="shared" si="1"/>
        <v>12893433</v>
      </c>
    </row>
    <row r="462">
      <c r="A462" s="9">
        <v>46188.0</v>
      </c>
      <c r="B462" s="1">
        <v>287.0</v>
      </c>
      <c r="C462" s="1">
        <v>288.85</v>
      </c>
      <c r="D462" s="1">
        <v>286.7</v>
      </c>
      <c r="E462" s="1">
        <v>285.1</v>
      </c>
      <c r="F462" s="1">
        <v>287.9</v>
      </c>
      <c r="G462" s="1">
        <v>287.81</v>
      </c>
      <c r="H462" s="1" t="s">
        <v>8710</v>
      </c>
      <c r="I462" s="1" t="s">
        <v>8711</v>
      </c>
      <c r="J462" s="1" t="s">
        <v>8712</v>
      </c>
      <c r="K462" s="6">
        <f t="shared" si="2"/>
        <v>0.009821115398</v>
      </c>
      <c r="L462" s="7">
        <v>0.00977864699084363</v>
      </c>
      <c r="M462" s="8">
        <f t="shared" si="1"/>
        <v>11194950</v>
      </c>
    </row>
    <row r="463">
      <c r="A463" s="9">
        <v>46189.0</v>
      </c>
      <c r="B463" s="1">
        <v>288.15</v>
      </c>
      <c r="C463" s="1">
        <v>292.15</v>
      </c>
      <c r="D463" s="1">
        <v>287.5</v>
      </c>
      <c r="E463" s="1">
        <v>287.9</v>
      </c>
      <c r="F463" s="1">
        <v>291.65</v>
      </c>
      <c r="G463" s="1">
        <v>290.72</v>
      </c>
      <c r="H463" s="1" t="s">
        <v>8713</v>
      </c>
      <c r="I463" s="1" t="s">
        <v>8714</v>
      </c>
      <c r="J463" s="1" t="s">
        <v>8715</v>
      </c>
      <c r="K463" s="6">
        <f t="shared" si="2"/>
        <v>0.01302535603</v>
      </c>
      <c r="L463" s="7">
        <v>0.005669932380030099</v>
      </c>
      <c r="M463" s="8">
        <f t="shared" si="1"/>
        <v>14467499</v>
      </c>
    </row>
    <row r="464">
      <c r="A464" s="9">
        <v>46190.0</v>
      </c>
      <c r="B464" s="1">
        <v>291.95</v>
      </c>
      <c r="C464" s="1">
        <v>292.35</v>
      </c>
      <c r="D464" s="1">
        <v>290.0</v>
      </c>
      <c r="E464" s="1">
        <v>291.65</v>
      </c>
      <c r="F464" s="1">
        <v>290.75</v>
      </c>
      <c r="G464" s="1">
        <v>290.87</v>
      </c>
      <c r="H464" s="1" t="s">
        <v>8716</v>
      </c>
      <c r="I464" s="1" t="s">
        <v>8717</v>
      </c>
      <c r="J464" s="1" t="s">
        <v>8718</v>
      </c>
      <c r="K464" s="6">
        <f t="shared" si="2"/>
        <v>-0.003085890622</v>
      </c>
      <c r="L464" s="7">
        <v>0.004024736182815951</v>
      </c>
      <c r="M464" s="8">
        <f t="shared" si="1"/>
        <v>8626353</v>
      </c>
    </row>
    <row r="465">
      <c r="A465" s="9">
        <v>46191.0</v>
      </c>
      <c r="B465" s="1">
        <v>291.05</v>
      </c>
      <c r="C465" s="1">
        <v>291.9</v>
      </c>
      <c r="D465" s="1">
        <v>288.0</v>
      </c>
      <c r="E465" s="1">
        <v>290.75</v>
      </c>
      <c r="F465" s="1">
        <v>291.15</v>
      </c>
      <c r="G465" s="1">
        <v>290.24</v>
      </c>
      <c r="H465" s="1" t="s">
        <v>8719</v>
      </c>
      <c r="I465" s="1" t="s">
        <v>8720</v>
      </c>
      <c r="J465" s="1" t="s">
        <v>8721</v>
      </c>
      <c r="K465" s="6">
        <f t="shared" si="2"/>
        <v>0.001375752365</v>
      </c>
      <c r="L465" s="7">
        <v>0.0034169652532415194</v>
      </c>
      <c r="M465" s="8">
        <f t="shared" si="1"/>
        <v>10409670</v>
      </c>
    </row>
    <row r="466">
      <c r="A466" s="9">
        <v>46192.0</v>
      </c>
      <c r="B466" s="1">
        <v>289.8</v>
      </c>
      <c r="C466" s="1">
        <v>294.55</v>
      </c>
      <c r="D466" s="1">
        <v>288.4</v>
      </c>
      <c r="E466" s="1">
        <v>291.15</v>
      </c>
      <c r="F466" s="1">
        <v>292.5</v>
      </c>
      <c r="G466" s="1">
        <v>290.95</v>
      </c>
      <c r="H466" s="1" t="s">
        <v>8722</v>
      </c>
      <c r="I466" s="1" t="s">
        <v>8723</v>
      </c>
      <c r="J466" s="1" t="s">
        <v>8724</v>
      </c>
      <c r="K466" s="6">
        <f t="shared" si="2"/>
        <v>0.004636785162</v>
      </c>
      <c r="L466" s="7">
        <v>-0.006409301555776293</v>
      </c>
      <c r="M466" s="8">
        <f t="shared" si="1"/>
        <v>13874008</v>
      </c>
    </row>
    <row r="467">
      <c r="A467" s="9">
        <v>46195.0</v>
      </c>
      <c r="B467" s="1">
        <v>292.8</v>
      </c>
      <c r="C467" s="1">
        <v>293.95</v>
      </c>
      <c r="D467" s="1">
        <v>290.05</v>
      </c>
      <c r="E467" s="1">
        <v>292.5</v>
      </c>
      <c r="F467" s="1">
        <v>291.25</v>
      </c>
      <c r="G467" s="1">
        <v>291.4</v>
      </c>
      <c r="H467" s="1" t="s">
        <v>8725</v>
      </c>
      <c r="I467" s="1" t="s">
        <v>8726</v>
      </c>
      <c r="J467" s="1" t="s">
        <v>8727</v>
      </c>
      <c r="K467" s="6">
        <f t="shared" si="2"/>
        <v>-0.004273504274</v>
      </c>
      <c r="L467" s="7">
        <v>0.003739625454439573</v>
      </c>
      <c r="M467" s="8">
        <f t="shared" si="1"/>
        <v>9947873</v>
      </c>
    </row>
    <row r="468">
      <c r="A468" s="9">
        <v>46196.0</v>
      </c>
      <c r="B468" s="1">
        <v>291.25</v>
      </c>
      <c r="C468" s="1">
        <v>293.15</v>
      </c>
      <c r="D468" s="1">
        <v>289.65</v>
      </c>
      <c r="E468" s="1">
        <v>291.25</v>
      </c>
      <c r="F468" s="1">
        <v>290.0</v>
      </c>
      <c r="G468" s="1">
        <v>290.89</v>
      </c>
      <c r="H468" s="1" t="s">
        <v>8728</v>
      </c>
      <c r="I468" s="1" t="s">
        <v>8729</v>
      </c>
      <c r="J468" s="1" t="s">
        <v>8730</v>
      </c>
      <c r="K468" s="6">
        <f t="shared" si="2"/>
        <v>-0.004291845494</v>
      </c>
      <c r="L468" s="7">
        <v>-0.011567072841857325</v>
      </c>
      <c r="M468" s="8">
        <f t="shared" si="1"/>
        <v>9410364</v>
      </c>
    </row>
    <row r="469">
      <c r="A469" s="9">
        <v>46197.0</v>
      </c>
      <c r="B469" s="1">
        <v>290.0</v>
      </c>
      <c r="C469" s="1">
        <v>291.4</v>
      </c>
      <c r="D469" s="1">
        <v>289.45</v>
      </c>
      <c r="E469" s="1">
        <v>290.0</v>
      </c>
      <c r="F469" s="1">
        <v>290.35</v>
      </c>
      <c r="G469" s="1">
        <v>290.45</v>
      </c>
      <c r="H469" s="1" t="s">
        <v>8731</v>
      </c>
      <c r="I469" s="1" t="s">
        <v>8732</v>
      </c>
      <c r="J469" s="1" t="s">
        <v>8733</v>
      </c>
      <c r="K469" s="6">
        <f t="shared" si="2"/>
        <v>0.001206896552</v>
      </c>
      <c r="L469" s="7">
        <v>0.008292023623138038</v>
      </c>
      <c r="M469" s="8">
        <f t="shared" si="1"/>
        <v>6218635</v>
      </c>
    </row>
    <row r="470">
      <c r="A470" s="9">
        <v>46198.0</v>
      </c>
      <c r="B470" s="1">
        <v>290.35</v>
      </c>
      <c r="C470" s="1">
        <v>292.25</v>
      </c>
      <c r="D470" s="1">
        <v>289.2</v>
      </c>
      <c r="E470" s="1">
        <v>290.35</v>
      </c>
      <c r="F470" s="1">
        <v>290.0</v>
      </c>
      <c r="G470" s="1">
        <v>290.66</v>
      </c>
      <c r="H470" s="1" t="s">
        <v>8734</v>
      </c>
      <c r="I470" s="1" t="s">
        <v>8735</v>
      </c>
      <c r="J470" s="1" t="s">
        <v>8736</v>
      </c>
      <c r="K470" s="6">
        <f t="shared" si="2"/>
        <v>-0.001205441708</v>
      </c>
      <c r="L470" s="7">
        <v>0.0014299600568653088</v>
      </c>
      <c r="M470" s="8">
        <f t="shared" si="1"/>
        <v>11230239</v>
      </c>
    </row>
    <row r="471">
      <c r="A471" s="9">
        <v>46202.0</v>
      </c>
      <c r="B471" s="1">
        <v>290.45</v>
      </c>
      <c r="C471" s="1">
        <v>291.9</v>
      </c>
      <c r="D471" s="1">
        <v>289.35</v>
      </c>
      <c r="E471" s="1">
        <v>290.0</v>
      </c>
      <c r="F471" s="1">
        <v>290.7</v>
      </c>
      <c r="G471" s="1">
        <v>290.7</v>
      </c>
      <c r="H471" s="1" t="s">
        <v>8737</v>
      </c>
      <c r="I471" s="1" t="s">
        <v>8738</v>
      </c>
      <c r="J471" s="1" t="s">
        <v>8739</v>
      </c>
      <c r="K471" s="6">
        <f t="shared" si="2"/>
        <v>0.002413793103</v>
      </c>
      <c r="L471" s="7">
        <v>-0.004562271366810775</v>
      </c>
      <c r="M471" s="8">
        <f t="shared" si="1"/>
        <v>10110022</v>
      </c>
    </row>
    <row r="472">
      <c r="A472" s="9">
        <v>46203.0</v>
      </c>
      <c r="B472" s="1">
        <v>291.5</v>
      </c>
      <c r="C472" s="1">
        <v>291.6</v>
      </c>
      <c r="D472" s="1">
        <v>285.5</v>
      </c>
      <c r="E472" s="1">
        <v>290.7</v>
      </c>
      <c r="F472" s="1">
        <v>286.95</v>
      </c>
      <c r="G472" s="1">
        <v>287.55</v>
      </c>
      <c r="H472" s="1" t="s">
        <v>8740</v>
      </c>
      <c r="I472" s="1" t="s">
        <v>8741</v>
      </c>
      <c r="J472" s="1" t="s">
        <v>8742</v>
      </c>
      <c r="K472" s="6">
        <f t="shared" si="2"/>
        <v>-0.0128998968</v>
      </c>
      <c r="L472" s="7">
        <v>-0.0033616954637991333</v>
      </c>
      <c r="M472" s="8">
        <f t="shared" si="1"/>
        <v>18180676</v>
      </c>
    </row>
    <row r="473">
      <c r="A473" s="3">
        <v>46204.0</v>
      </c>
      <c r="B473" s="1">
        <v>287.85</v>
      </c>
      <c r="C473" s="1">
        <v>291.0</v>
      </c>
      <c r="D473" s="1">
        <v>287.1</v>
      </c>
      <c r="E473" s="1">
        <v>286.95</v>
      </c>
      <c r="F473" s="1">
        <v>290.3</v>
      </c>
      <c r="G473" s="1">
        <v>289.72</v>
      </c>
      <c r="H473" s="1" t="s">
        <v>8743</v>
      </c>
      <c r="I473" s="1" t="s">
        <v>8744</v>
      </c>
      <c r="J473" s="1" t="s">
        <v>8745</v>
      </c>
      <c r="K473" s="6">
        <f t="shared" si="2"/>
        <v>0.01167450775</v>
      </c>
      <c r="L473" s="7">
        <v>0.005870337198705196</v>
      </c>
      <c r="M473" s="8">
        <f t="shared" si="1"/>
        <v>6551425</v>
      </c>
    </row>
    <row r="474">
      <c r="A474" s="3">
        <v>46205.0</v>
      </c>
      <c r="B474" s="1">
        <v>290.7</v>
      </c>
      <c r="C474" s="1">
        <v>291.0</v>
      </c>
      <c r="D474" s="1">
        <v>287.7</v>
      </c>
      <c r="E474" s="1">
        <v>290.3</v>
      </c>
      <c r="F474" s="1">
        <v>289.9</v>
      </c>
      <c r="G474" s="1">
        <v>289.63</v>
      </c>
      <c r="H474" s="1" t="s">
        <v>8746</v>
      </c>
      <c r="I474" s="1" t="s">
        <v>8747</v>
      </c>
      <c r="J474" s="1" t="s">
        <v>8748</v>
      </c>
      <c r="K474" s="6">
        <f t="shared" si="2"/>
        <v>-0.001377884947</v>
      </c>
      <c r="L474" s="7">
        <v>0.007075358714646729</v>
      </c>
      <c r="M474" s="8">
        <f t="shared" si="1"/>
        <v>12722639</v>
      </c>
    </row>
    <row r="475">
      <c r="A475" s="3">
        <v>46206.0</v>
      </c>
      <c r="B475" s="1">
        <v>291.3</v>
      </c>
      <c r="C475" s="1">
        <v>291.6</v>
      </c>
      <c r="D475" s="1">
        <v>289.0</v>
      </c>
      <c r="E475" s="1">
        <v>289.9</v>
      </c>
      <c r="F475" s="1">
        <v>289.95</v>
      </c>
      <c r="G475" s="1">
        <v>290.39</v>
      </c>
      <c r="H475" s="1" t="s">
        <v>8749</v>
      </c>
      <c r="I475" s="1" t="s">
        <v>8750</v>
      </c>
      <c r="J475" s="1" t="s">
        <v>8751</v>
      </c>
      <c r="K475" s="6">
        <f t="shared" si="2"/>
        <v>0.0001724732666</v>
      </c>
      <c r="L475" s="7">
        <v>0.003935770215546926</v>
      </c>
      <c r="M475" s="8">
        <f t="shared" si="1"/>
        <v>6517591</v>
      </c>
    </row>
    <row r="476">
      <c r="A476" s="3">
        <v>46209.0</v>
      </c>
      <c r="B476" s="1">
        <v>289.95</v>
      </c>
      <c r="C476" s="1">
        <v>290.4</v>
      </c>
      <c r="D476" s="1">
        <v>287.6</v>
      </c>
      <c r="E476" s="1">
        <v>289.95</v>
      </c>
      <c r="F476" s="1">
        <v>288.25</v>
      </c>
      <c r="G476" s="1">
        <v>288.49</v>
      </c>
      <c r="H476" s="1" t="s">
        <v>8752</v>
      </c>
      <c r="I476" s="1" t="s">
        <v>8753</v>
      </c>
      <c r="J476" s="1" t="s">
        <v>8754</v>
      </c>
      <c r="K476" s="6">
        <f t="shared" si="2"/>
        <v>-0.005863079841</v>
      </c>
      <c r="L476" s="7">
        <v>0.0065716693070082014</v>
      </c>
      <c r="M476" s="8">
        <f t="shared" si="1"/>
        <v>27126124</v>
      </c>
    </row>
    <row r="477">
      <c r="A477" s="3">
        <v>46210.0</v>
      </c>
      <c r="B477" s="1">
        <v>288.3</v>
      </c>
      <c r="C477" s="1">
        <v>290.7</v>
      </c>
      <c r="D477" s="1">
        <v>286.55</v>
      </c>
      <c r="E477" s="1">
        <v>288.25</v>
      </c>
      <c r="F477" s="1">
        <v>288.75</v>
      </c>
      <c r="G477" s="1">
        <v>288.6</v>
      </c>
      <c r="H477" s="1" t="s">
        <v>8755</v>
      </c>
      <c r="I477" s="1" t="s">
        <v>8756</v>
      </c>
      <c r="J477" s="1" t="s">
        <v>8757</v>
      </c>
      <c r="K477" s="6">
        <f t="shared" si="2"/>
        <v>0.001734605377</v>
      </c>
      <c r="L477" s="7">
        <v>-0.0012955197121612182</v>
      </c>
      <c r="M477" s="8">
        <f t="shared" si="1"/>
        <v>18491160</v>
      </c>
    </row>
    <row r="478">
      <c r="A478" s="3">
        <v>46211.0</v>
      </c>
      <c r="B478" s="1">
        <v>286.9</v>
      </c>
      <c r="C478" s="1">
        <v>287.85</v>
      </c>
      <c r="D478" s="1">
        <v>280.0</v>
      </c>
      <c r="E478" s="1">
        <v>288.75</v>
      </c>
      <c r="F478" s="1">
        <v>280.65</v>
      </c>
      <c r="G478" s="1">
        <v>282.88</v>
      </c>
      <c r="H478" s="1" t="s">
        <v>8758</v>
      </c>
      <c r="I478" s="1" t="s">
        <v>8759</v>
      </c>
      <c r="J478" s="1" t="s">
        <v>8760</v>
      </c>
      <c r="K478" s="6">
        <f t="shared" si="2"/>
        <v>-0.02805194805</v>
      </c>
      <c r="L478" s="7">
        <v>-0.02117530852053599</v>
      </c>
      <c r="M478" s="8">
        <f t="shared" si="1"/>
        <v>21593793</v>
      </c>
    </row>
    <row r="479">
      <c r="A479" s="3">
        <v>46212.0</v>
      </c>
      <c r="B479" s="1">
        <v>281.25</v>
      </c>
      <c r="C479" s="1">
        <v>284.4</v>
      </c>
      <c r="D479" s="1">
        <v>281.0</v>
      </c>
      <c r="E479" s="1">
        <v>280.65</v>
      </c>
      <c r="F479" s="1">
        <v>282.05</v>
      </c>
      <c r="G479" s="1">
        <v>282.7</v>
      </c>
      <c r="H479" s="1" t="s">
        <v>8761</v>
      </c>
      <c r="I479" s="1" t="s">
        <v>8762</v>
      </c>
      <c r="J479" s="1" t="s">
        <v>8763</v>
      </c>
      <c r="K479" s="6">
        <f t="shared" si="2"/>
        <v>0.00498841974</v>
      </c>
      <c r="L479" s="7">
        <v>0.0033812005250805524</v>
      </c>
      <c r="M479" s="8">
        <f t="shared" si="1"/>
        <v>12512120</v>
      </c>
    </row>
    <row r="480">
      <c r="A480" s="9">
        <v>46213.0</v>
      </c>
      <c r="B480" s="1">
        <v>282.85</v>
      </c>
      <c r="C480" s="1">
        <v>283.65</v>
      </c>
      <c r="D480" s="1">
        <v>280.85</v>
      </c>
      <c r="E480" s="1">
        <v>282.05</v>
      </c>
      <c r="F480" s="1">
        <v>281.75</v>
      </c>
      <c r="G480" s="1">
        <v>281.84</v>
      </c>
      <c r="H480" s="1" t="s">
        <v>8764</v>
      </c>
      <c r="I480" s="1" t="s">
        <v>8765</v>
      </c>
      <c r="J480" s="1" t="s">
        <v>8766</v>
      </c>
      <c r="K480" s="6">
        <f t="shared" si="2"/>
        <v>-0.001063641198</v>
      </c>
      <c r="L480" s="7">
        <v>0.010186622598360884</v>
      </c>
      <c r="M480" s="8">
        <f t="shared" si="1"/>
        <v>11774274</v>
      </c>
    </row>
    <row r="481">
      <c r="A481" s="9">
        <v>46216.0</v>
      </c>
      <c r="B481" s="1">
        <v>281.35</v>
      </c>
      <c r="C481" s="1">
        <v>281.5</v>
      </c>
      <c r="D481" s="1">
        <v>279.5</v>
      </c>
      <c r="E481" s="1">
        <v>281.75</v>
      </c>
      <c r="F481" s="1">
        <v>279.65</v>
      </c>
      <c r="G481" s="1">
        <v>280.2</v>
      </c>
      <c r="H481" s="1" t="s">
        <v>8767</v>
      </c>
      <c r="I481" s="1" t="s">
        <v>8768</v>
      </c>
      <c r="J481" s="1" t="s">
        <v>8769</v>
      </c>
      <c r="K481" s="6">
        <f t="shared" si="2"/>
        <v>-0.007453416149</v>
      </c>
      <c r="L481" s="7">
        <v>1.6937319524592347E-4</v>
      </c>
      <c r="M481" s="8">
        <f t="shared" si="1"/>
        <v>12559492</v>
      </c>
    </row>
    <row r="482">
      <c r="A482" s="9">
        <v>46217.0</v>
      </c>
      <c r="B482" s="1">
        <v>279.25</v>
      </c>
      <c r="C482" s="1">
        <v>280.65</v>
      </c>
      <c r="D482" s="1">
        <v>275.0</v>
      </c>
      <c r="E482" s="1">
        <v>279.65</v>
      </c>
      <c r="F482" s="1">
        <v>275.55</v>
      </c>
      <c r="G482" s="1">
        <v>276.73</v>
      </c>
      <c r="H482" s="1" t="s">
        <v>8770</v>
      </c>
      <c r="I482" s="1" t="s">
        <v>8771</v>
      </c>
      <c r="J482" s="1" t="s">
        <v>8772</v>
      </c>
      <c r="K482" s="6">
        <f t="shared" si="2"/>
        <v>-0.01466118362</v>
      </c>
      <c r="L482" s="7">
        <v>-0.0065651976374375585</v>
      </c>
      <c r="M482" s="8">
        <f t="shared" si="1"/>
        <v>15018851</v>
      </c>
    </row>
    <row r="483">
      <c r="A483" s="9">
        <v>46218.0</v>
      </c>
      <c r="B483" s="1">
        <v>276.65</v>
      </c>
      <c r="C483" s="1">
        <v>277.7</v>
      </c>
      <c r="D483" s="1">
        <v>275.3</v>
      </c>
      <c r="E483" s="1">
        <v>275.55</v>
      </c>
      <c r="F483" s="1">
        <v>276.65</v>
      </c>
      <c r="G483" s="1">
        <v>276.67</v>
      </c>
      <c r="H483" s="1" t="s">
        <v>8773</v>
      </c>
      <c r="I483" s="1" t="s">
        <v>8774</v>
      </c>
      <c r="J483" s="1" t="s">
        <v>8775</v>
      </c>
      <c r="K483" s="6">
        <f t="shared" si="2"/>
        <v>0.003992015968</v>
      </c>
      <c r="L483" s="7">
        <v>0.0010996983625096708</v>
      </c>
      <c r="M483" s="8">
        <f t="shared" si="1"/>
        <v>8523722</v>
      </c>
    </row>
    <row r="484">
      <c r="A484" s="9">
        <v>46219.0</v>
      </c>
      <c r="B484" s="1">
        <v>277.0</v>
      </c>
      <c r="C484" s="1">
        <v>280.45</v>
      </c>
      <c r="D484" s="1">
        <v>276.0</v>
      </c>
      <c r="E484" s="1">
        <v>276.65</v>
      </c>
      <c r="F484" s="1">
        <v>279.35</v>
      </c>
      <c r="G484" s="1">
        <v>278.69</v>
      </c>
      <c r="H484" s="1" t="s">
        <v>8776</v>
      </c>
      <c r="I484" s="1" t="s">
        <v>8777</v>
      </c>
      <c r="J484" s="1" t="s">
        <v>8778</v>
      </c>
      <c r="K484" s="6">
        <f t="shared" si="2"/>
        <v>0.009759624074</v>
      </c>
      <c r="L484" s="7">
        <v>-2.3880225097078306E-4</v>
      </c>
      <c r="M484" s="8">
        <f t="shared" si="1"/>
        <v>11220653</v>
      </c>
    </row>
    <row r="485">
      <c r="A485" s="9">
        <v>46220.0</v>
      </c>
      <c r="B485" s="1">
        <v>279.35</v>
      </c>
      <c r="C485" s="1">
        <v>281.95</v>
      </c>
      <c r="D485" s="1">
        <v>277.8</v>
      </c>
      <c r="E485" s="1">
        <v>279.35</v>
      </c>
      <c r="F485" s="1">
        <v>280.7</v>
      </c>
      <c r="G485" s="1">
        <v>280.34</v>
      </c>
      <c r="H485" s="1" t="s">
        <v>8779</v>
      </c>
      <c r="I485" s="1" t="s">
        <v>8780</v>
      </c>
      <c r="J485" s="1" t="s">
        <v>8781</v>
      </c>
      <c r="K485" s="6">
        <f t="shared" si="2"/>
        <v>0.004832647217</v>
      </c>
      <c r="L485" s="7">
        <v>0.010864982189405003</v>
      </c>
      <c r="M485" s="8">
        <f t="shared" si="1"/>
        <v>15215868</v>
      </c>
    </row>
    <row r="486">
      <c r="A486" s="9">
        <v>46223.0</v>
      </c>
      <c r="B486" s="1">
        <v>280.7</v>
      </c>
      <c r="C486" s="1">
        <v>283.7</v>
      </c>
      <c r="D486" s="1">
        <v>279.5</v>
      </c>
      <c r="E486" s="1">
        <v>280.7</v>
      </c>
      <c r="F486" s="1">
        <v>282.7</v>
      </c>
      <c r="G486" s="1">
        <v>282.12</v>
      </c>
      <c r="H486" s="1" t="s">
        <v>8782</v>
      </c>
      <c r="I486" s="1" t="s">
        <v>8783</v>
      </c>
      <c r="J486" s="1" t="s">
        <v>8784</v>
      </c>
      <c r="K486" s="6">
        <f t="shared" si="2"/>
        <v>0.007125044532</v>
      </c>
      <c r="L486" s="7">
        <v>-0.003936829906757099</v>
      </c>
      <c r="M486" s="8">
        <f t="shared" si="1"/>
        <v>9913943</v>
      </c>
    </row>
    <row r="487">
      <c r="A487" s="9">
        <v>46224.0</v>
      </c>
      <c r="B487" s="1">
        <v>283.0</v>
      </c>
      <c r="C487" s="1">
        <v>283.95</v>
      </c>
      <c r="D487" s="1">
        <v>278.8</v>
      </c>
      <c r="E487" s="1">
        <v>282.7</v>
      </c>
      <c r="F487" s="1">
        <v>281.0</v>
      </c>
      <c r="G487" s="1">
        <v>280.88</v>
      </c>
      <c r="H487" s="1" t="s">
        <v>8785</v>
      </c>
      <c r="I487" s="1" t="s">
        <v>8786</v>
      </c>
      <c r="J487" s="1" t="s">
        <v>8787</v>
      </c>
      <c r="K487" s="6">
        <f t="shared" si="2"/>
        <v>-0.006013441811</v>
      </c>
      <c r="L487" s="7">
        <v>-0.0020958392639808267</v>
      </c>
      <c r="M487" s="8">
        <f t="shared" si="1"/>
        <v>9858768</v>
      </c>
    </row>
    <row r="488">
      <c r="A488" s="9">
        <v>46225.0</v>
      </c>
      <c r="B488" s="1">
        <v>280.5</v>
      </c>
      <c r="C488" s="1">
        <v>282.2</v>
      </c>
      <c r="D488" s="1">
        <v>278.5</v>
      </c>
      <c r="E488" s="1">
        <v>281.0</v>
      </c>
      <c r="F488" s="1">
        <v>280.8</v>
      </c>
      <c r="G488" s="1">
        <v>280.36</v>
      </c>
      <c r="H488" s="1" t="s">
        <v>8788</v>
      </c>
      <c r="I488" s="1" t="s">
        <v>8789</v>
      </c>
      <c r="J488" s="1" t="s">
        <v>8790</v>
      </c>
      <c r="K488" s="6">
        <f t="shared" si="2"/>
        <v>-0.0007117437722</v>
      </c>
      <c r="L488" s="7">
        <v>-0.007915180029519166</v>
      </c>
      <c r="M488" s="8">
        <f t="shared" si="1"/>
        <v>12995017</v>
      </c>
    </row>
    <row r="489">
      <c r="A489" s="9">
        <v>46226.0</v>
      </c>
      <c r="B489" s="1">
        <v>279.95</v>
      </c>
      <c r="C489" s="1">
        <v>284.0</v>
      </c>
      <c r="D489" s="1">
        <v>279.65</v>
      </c>
      <c r="E489" s="1">
        <v>280.8</v>
      </c>
      <c r="F489" s="1">
        <v>281.3</v>
      </c>
      <c r="G489" s="1">
        <v>281.37</v>
      </c>
      <c r="H489" s="1" t="s">
        <v>8791</v>
      </c>
      <c r="I489" s="1" t="s">
        <v>8792</v>
      </c>
      <c r="J489" s="1" t="s">
        <v>8793</v>
      </c>
      <c r="K489" s="6">
        <f t="shared" si="2"/>
        <v>0.001780626781</v>
      </c>
      <c r="L489" s="7">
        <v>-0.005277908006459403</v>
      </c>
      <c r="M489" s="8">
        <f t="shared" si="1"/>
        <v>21143589</v>
      </c>
    </row>
    <row r="490">
      <c r="A490" s="9">
        <v>46227.0</v>
      </c>
      <c r="B490" s="1">
        <v>279.55</v>
      </c>
      <c r="C490" s="1">
        <v>284.85</v>
      </c>
      <c r="D490" s="1">
        <v>279.55</v>
      </c>
      <c r="E490" s="1">
        <v>281.3</v>
      </c>
      <c r="F490" s="1">
        <v>283.45</v>
      </c>
      <c r="G490" s="1">
        <v>282.97</v>
      </c>
      <c r="H490" s="1" t="s">
        <v>8794</v>
      </c>
      <c r="I490" s="1" t="s">
        <v>8795</v>
      </c>
      <c r="J490" s="1" t="s">
        <v>8796</v>
      </c>
      <c r="K490" s="6">
        <f t="shared" si="2"/>
        <v>0.007643085674</v>
      </c>
      <c r="L490" s="7">
        <v>-0.00427950196065279</v>
      </c>
      <c r="M490" s="8">
        <f t="shared" si="1"/>
        <v>24954082</v>
      </c>
    </row>
    <row r="491">
      <c r="A491" s="9">
        <v>46230.0</v>
      </c>
      <c r="B491" s="1">
        <v>287.75</v>
      </c>
      <c r="C491" s="1">
        <v>287.9</v>
      </c>
      <c r="D491" s="1">
        <v>285.5</v>
      </c>
      <c r="E491" s="1">
        <v>283.45</v>
      </c>
      <c r="F491" s="1">
        <v>285.85</v>
      </c>
      <c r="G491" s="1">
        <v>286.65</v>
      </c>
      <c r="H491" s="1" t="s">
        <v>8797</v>
      </c>
      <c r="I491" s="1" t="s">
        <v>8798</v>
      </c>
      <c r="J491" s="1" t="s">
        <v>8799</v>
      </c>
      <c r="K491" s="6">
        <f t="shared" si="2"/>
        <v>0.008467101782</v>
      </c>
      <c r="L491" s="7">
        <v>0.009613988879749406</v>
      </c>
      <c r="M491" s="8">
        <f t="shared" si="1"/>
        <v>19312804</v>
      </c>
    </row>
    <row r="492">
      <c r="A492" s="9">
        <v>46231.0</v>
      </c>
      <c r="B492" s="1">
        <v>284.9</v>
      </c>
      <c r="C492" s="1">
        <v>287.95</v>
      </c>
      <c r="D492" s="1">
        <v>282.3</v>
      </c>
      <c r="E492" s="1">
        <v>285.85</v>
      </c>
      <c r="F492" s="1">
        <v>284.65</v>
      </c>
      <c r="G492" s="1">
        <v>285.0</v>
      </c>
      <c r="H492" s="1" t="s">
        <v>8800</v>
      </c>
      <c r="I492" s="1" t="s">
        <v>8801</v>
      </c>
      <c r="J492" s="1" t="s">
        <v>8802</v>
      </c>
      <c r="K492" s="6">
        <f t="shared" si="2"/>
        <v>-0.004198005947</v>
      </c>
      <c r="L492" s="7">
        <v>-4.417412104960288E-4</v>
      </c>
      <c r="M492" s="8">
        <f t="shared" si="1"/>
        <v>14843878</v>
      </c>
    </row>
    <row r="493">
      <c r="A493" s="9">
        <v>46232.0</v>
      </c>
      <c r="B493" s="1">
        <v>285.6</v>
      </c>
      <c r="C493" s="1">
        <v>289.05</v>
      </c>
      <c r="D493" s="1">
        <v>284.15</v>
      </c>
      <c r="E493" s="1">
        <v>284.65</v>
      </c>
      <c r="F493" s="1">
        <v>286.25</v>
      </c>
      <c r="G493" s="1">
        <v>287.13</v>
      </c>
      <c r="H493" s="1" t="s">
        <v>8803</v>
      </c>
      <c r="I493" s="1" t="s">
        <v>8804</v>
      </c>
      <c r="J493" s="1" t="s">
        <v>8805</v>
      </c>
      <c r="K493" s="6">
        <f t="shared" si="2"/>
        <v>0.005620937994</v>
      </c>
      <c r="L493" s="7">
        <v>0.01104215698332533</v>
      </c>
      <c r="M493" s="8">
        <f t="shared" si="1"/>
        <v>19030590</v>
      </c>
    </row>
    <row r="494">
      <c r="A494" s="9">
        <v>46233.0</v>
      </c>
      <c r="B494" s="1">
        <v>286.1</v>
      </c>
      <c r="C494" s="1">
        <v>288.4</v>
      </c>
      <c r="D494" s="1">
        <v>283.75</v>
      </c>
      <c r="E494" s="1">
        <v>286.25</v>
      </c>
      <c r="F494" s="1">
        <v>285.05</v>
      </c>
      <c r="G494" s="1">
        <v>285.74</v>
      </c>
      <c r="H494" s="1" t="s">
        <v>8806</v>
      </c>
      <c r="I494" s="1" t="s">
        <v>8807</v>
      </c>
      <c r="J494" s="1" t="s">
        <v>8808</v>
      </c>
      <c r="K494" s="6">
        <f t="shared" si="2"/>
        <v>-0.004192139738</v>
      </c>
      <c r="L494" s="7">
        <v>0.002760801972767265</v>
      </c>
      <c r="M494" s="8">
        <f t="shared" si="1"/>
        <v>18283697</v>
      </c>
    </row>
    <row r="495">
      <c r="A495" s="9">
        <v>46234.0</v>
      </c>
      <c r="B495" s="1">
        <v>285.55</v>
      </c>
      <c r="C495" s="1">
        <v>285.8</v>
      </c>
      <c r="D495" s="1">
        <v>280.05</v>
      </c>
      <c r="E495" s="1">
        <v>285.05</v>
      </c>
      <c r="F495" s="1">
        <v>281.0</v>
      </c>
      <c r="G495" s="1">
        <v>281.62</v>
      </c>
      <c r="H495" s="1" t="s">
        <v>8809</v>
      </c>
      <c r="I495" s="1" t="s">
        <v>8810</v>
      </c>
      <c r="J495" s="1" t="s">
        <v>8811</v>
      </c>
      <c r="K495" s="6">
        <f t="shared" si="2"/>
        <v>-0.01420803368</v>
      </c>
      <c r="L495" s="7">
        <v>0.002732639310116403</v>
      </c>
      <c r="M495" s="8">
        <f t="shared" si="1"/>
        <v>16833813</v>
      </c>
    </row>
    <row r="496">
      <c r="A496" s="3">
        <v>46237.0</v>
      </c>
      <c r="B496" s="1">
        <v>284.45</v>
      </c>
      <c r="C496" s="1">
        <v>292.55</v>
      </c>
      <c r="D496" s="1">
        <v>283.0</v>
      </c>
      <c r="E496" s="1">
        <v>281.0</v>
      </c>
      <c r="F496" s="1">
        <v>287.0</v>
      </c>
      <c r="G496" s="1">
        <v>289.03</v>
      </c>
      <c r="H496" s="1" t="s">
        <v>8812</v>
      </c>
      <c r="I496" s="1" t="s">
        <v>8813</v>
      </c>
      <c r="J496" s="1" t="s">
        <v>8814</v>
      </c>
      <c r="K496" s="6">
        <f t="shared" si="2"/>
        <v>0.02135231317</v>
      </c>
      <c r="L496" s="7">
        <v>0.01602306468281963</v>
      </c>
      <c r="M496" s="8">
        <f t="shared" si="1"/>
        <v>45392755</v>
      </c>
    </row>
    <row r="497">
      <c r="K497" s="6"/>
    </row>
    <row r="498">
      <c r="K498" s="6"/>
    </row>
    <row r="499">
      <c r="K499" s="6"/>
    </row>
    <row r="500">
      <c r="K500" s="6"/>
    </row>
    <row r="501">
      <c r="K501" s="6"/>
    </row>
    <row r="502">
      <c r="K502" s="6"/>
    </row>
    <row r="503">
      <c r="K503" s="6"/>
    </row>
    <row r="504">
      <c r="K504" s="6"/>
    </row>
    <row r="505">
      <c r="K505" s="6"/>
    </row>
    <row r="506">
      <c r="K506" s="6"/>
    </row>
    <row r="507">
      <c r="K507" s="6"/>
    </row>
    <row r="508">
      <c r="K508" s="6"/>
    </row>
    <row r="509">
      <c r="K509" s="6"/>
    </row>
    <row r="510">
      <c r="K510" s="6"/>
    </row>
    <row r="511">
      <c r="K511" s="6"/>
    </row>
    <row r="512">
      <c r="K512" s="6"/>
    </row>
    <row r="513">
      <c r="K513" s="6"/>
    </row>
    <row r="514">
      <c r="K514" s="6"/>
    </row>
    <row r="515">
      <c r="K515" s="6"/>
    </row>
    <row r="516">
      <c r="K516" s="6"/>
    </row>
    <row r="517">
      <c r="K517" s="6"/>
    </row>
    <row r="518">
      <c r="K518" s="6"/>
    </row>
    <row r="519">
      <c r="K519" s="6"/>
    </row>
    <row r="520">
      <c r="K520" s="6"/>
    </row>
    <row r="521">
      <c r="K521" s="6"/>
    </row>
    <row r="522">
      <c r="K522" s="6"/>
    </row>
    <row r="523">
      <c r="K523" s="6"/>
    </row>
    <row r="524">
      <c r="K524" s="6"/>
    </row>
    <row r="525">
      <c r="K525" s="6"/>
    </row>
    <row r="526">
      <c r="K526" s="6"/>
    </row>
    <row r="527">
      <c r="K527" s="6"/>
    </row>
    <row r="528">
      <c r="K528" s="6"/>
    </row>
    <row r="529">
      <c r="K529" s="6"/>
    </row>
    <row r="530">
      <c r="K530" s="6"/>
    </row>
    <row r="531">
      <c r="K531" s="6"/>
    </row>
    <row r="532">
      <c r="K532" s="6"/>
    </row>
    <row r="533">
      <c r="K533" s="6"/>
    </row>
    <row r="534">
      <c r="K534" s="6"/>
    </row>
    <row r="535">
      <c r="K535" s="6"/>
    </row>
    <row r="536">
      <c r="K536" s="6"/>
    </row>
    <row r="537">
      <c r="K537" s="6"/>
    </row>
    <row r="538">
      <c r="K538" s="6"/>
    </row>
    <row r="539">
      <c r="K539" s="6"/>
    </row>
    <row r="540">
      <c r="K540" s="6"/>
    </row>
    <row r="541">
      <c r="K541" s="6"/>
    </row>
    <row r="542">
      <c r="K542" s="6"/>
    </row>
    <row r="543">
      <c r="K543" s="6"/>
    </row>
    <row r="544">
      <c r="K544" s="6"/>
    </row>
    <row r="545">
      <c r="K545" s="6"/>
    </row>
    <row r="546">
      <c r="K546" s="6"/>
    </row>
    <row r="547">
      <c r="K547" s="6"/>
    </row>
    <row r="548">
      <c r="K548" s="6"/>
    </row>
    <row r="549">
      <c r="K549" s="6"/>
    </row>
    <row r="550">
      <c r="K550" s="6"/>
    </row>
    <row r="551">
      <c r="K551" s="6"/>
    </row>
    <row r="552">
      <c r="K552" s="6"/>
    </row>
    <row r="553">
      <c r="K553" s="6"/>
    </row>
    <row r="554">
      <c r="K554" s="6"/>
    </row>
    <row r="555">
      <c r="K555" s="6"/>
    </row>
    <row r="556">
      <c r="K556" s="6"/>
    </row>
    <row r="557">
      <c r="K557" s="6"/>
    </row>
    <row r="558">
      <c r="K558" s="6"/>
    </row>
    <row r="559">
      <c r="K559" s="6"/>
    </row>
    <row r="560">
      <c r="K560" s="6"/>
    </row>
    <row r="561">
      <c r="K561" s="6"/>
    </row>
    <row r="562">
      <c r="K562" s="6"/>
    </row>
    <row r="563">
      <c r="K563" s="6"/>
    </row>
    <row r="564">
      <c r="K564" s="6"/>
    </row>
    <row r="565">
      <c r="K565" s="6"/>
    </row>
    <row r="566">
      <c r="K566" s="6"/>
    </row>
    <row r="567">
      <c r="K567" s="6"/>
    </row>
    <row r="568">
      <c r="K568" s="6"/>
    </row>
    <row r="569">
      <c r="K569" s="6"/>
    </row>
    <row r="570">
      <c r="K570" s="6"/>
    </row>
    <row r="571">
      <c r="K571" s="6"/>
    </row>
    <row r="572">
      <c r="K572" s="6"/>
    </row>
    <row r="573">
      <c r="K573" s="6"/>
    </row>
    <row r="574">
      <c r="K574" s="6"/>
    </row>
    <row r="575">
      <c r="K575" s="6"/>
    </row>
    <row r="576">
      <c r="K576" s="6"/>
    </row>
    <row r="577">
      <c r="K577" s="6"/>
    </row>
    <row r="578">
      <c r="K578" s="6"/>
    </row>
    <row r="579">
      <c r="K579" s="6"/>
    </row>
    <row r="580">
      <c r="K580" s="6"/>
    </row>
    <row r="581">
      <c r="K581" s="6"/>
    </row>
    <row r="582">
      <c r="K582" s="6"/>
    </row>
    <row r="583">
      <c r="K583" s="6"/>
    </row>
    <row r="584">
      <c r="K584" s="6"/>
    </row>
    <row r="585">
      <c r="K585" s="6"/>
    </row>
    <row r="586">
      <c r="K586" s="6"/>
    </row>
    <row r="587">
      <c r="K587" s="6"/>
    </row>
    <row r="588">
      <c r="K588" s="6"/>
    </row>
    <row r="589">
      <c r="K589" s="6"/>
    </row>
    <row r="590">
      <c r="K590" s="6"/>
    </row>
    <row r="591">
      <c r="K591" s="6"/>
    </row>
    <row r="592">
      <c r="K592" s="6"/>
    </row>
    <row r="593">
      <c r="K593" s="6"/>
    </row>
    <row r="594">
      <c r="K594" s="6"/>
    </row>
    <row r="595">
      <c r="K595" s="6"/>
    </row>
    <row r="596">
      <c r="K596" s="6"/>
    </row>
    <row r="597">
      <c r="K597" s="6"/>
    </row>
    <row r="598">
      <c r="K598" s="6"/>
    </row>
    <row r="599">
      <c r="K599" s="6"/>
    </row>
    <row r="600">
      <c r="K600" s="6"/>
    </row>
    <row r="601">
      <c r="K601" s="6"/>
    </row>
    <row r="602">
      <c r="K602" s="6"/>
    </row>
    <row r="603">
      <c r="K603" s="6"/>
    </row>
    <row r="604">
      <c r="K604" s="6"/>
    </row>
    <row r="605">
      <c r="K605" s="6"/>
    </row>
    <row r="606">
      <c r="K606" s="6"/>
    </row>
    <row r="607">
      <c r="K607" s="6"/>
    </row>
    <row r="608">
      <c r="K608" s="6"/>
    </row>
    <row r="609">
      <c r="K609" s="6"/>
    </row>
    <row r="610">
      <c r="K610" s="6"/>
    </row>
    <row r="611">
      <c r="K611" s="6"/>
    </row>
    <row r="612">
      <c r="K612" s="6"/>
    </row>
    <row r="613">
      <c r="K613" s="6"/>
    </row>
    <row r="614">
      <c r="K614" s="6"/>
    </row>
    <row r="615">
      <c r="K615" s="6"/>
    </row>
    <row r="616">
      <c r="K616" s="6"/>
    </row>
    <row r="617">
      <c r="K617" s="6"/>
    </row>
    <row r="618">
      <c r="K618" s="6"/>
    </row>
    <row r="619">
      <c r="K619" s="6"/>
    </row>
    <row r="620">
      <c r="K620" s="6"/>
    </row>
    <row r="621">
      <c r="K621" s="6"/>
    </row>
    <row r="622">
      <c r="K622" s="6"/>
    </row>
    <row r="623">
      <c r="K623" s="6"/>
    </row>
    <row r="624">
      <c r="K624" s="6"/>
    </row>
    <row r="625">
      <c r="K625" s="6"/>
    </row>
    <row r="626">
      <c r="K626" s="6"/>
    </row>
    <row r="627">
      <c r="K627" s="6"/>
    </row>
    <row r="628">
      <c r="K628" s="6"/>
    </row>
    <row r="629">
      <c r="K629" s="6"/>
    </row>
    <row r="630">
      <c r="K630" s="6"/>
    </row>
    <row r="631">
      <c r="K631" s="6"/>
    </row>
    <row r="632">
      <c r="K632" s="6"/>
    </row>
    <row r="633">
      <c r="K633" s="6"/>
    </row>
    <row r="634">
      <c r="K634" s="6"/>
    </row>
    <row r="635">
      <c r="K635" s="6"/>
    </row>
    <row r="636">
      <c r="K636" s="6"/>
    </row>
    <row r="637">
      <c r="K637" s="6"/>
    </row>
    <row r="638">
      <c r="K638" s="6"/>
    </row>
    <row r="639">
      <c r="K639" s="6"/>
    </row>
    <row r="640">
      <c r="K640" s="6"/>
    </row>
    <row r="641">
      <c r="K641" s="6"/>
    </row>
    <row r="642">
      <c r="K642" s="6"/>
    </row>
    <row r="643">
      <c r="K643" s="6"/>
    </row>
    <row r="644">
      <c r="K644" s="6"/>
    </row>
    <row r="645">
      <c r="K645" s="6"/>
    </row>
    <row r="646">
      <c r="K646" s="6"/>
    </row>
    <row r="647">
      <c r="K647" s="6"/>
    </row>
    <row r="648">
      <c r="K648" s="6"/>
    </row>
    <row r="649">
      <c r="K649" s="6"/>
    </row>
    <row r="650">
      <c r="K650" s="6"/>
    </row>
    <row r="651">
      <c r="K651" s="6"/>
    </row>
    <row r="652">
      <c r="K652" s="6"/>
    </row>
    <row r="653">
      <c r="K653" s="6"/>
    </row>
    <row r="654">
      <c r="K654" s="6"/>
    </row>
    <row r="655">
      <c r="K655" s="6"/>
    </row>
    <row r="656">
      <c r="K656" s="6"/>
    </row>
    <row r="657">
      <c r="K657" s="6"/>
    </row>
    <row r="658">
      <c r="K658" s="6"/>
    </row>
    <row r="659">
      <c r="K659" s="6"/>
    </row>
    <row r="660">
      <c r="K660" s="6"/>
    </row>
    <row r="661">
      <c r="K661" s="6"/>
    </row>
    <row r="662">
      <c r="K662" s="6"/>
    </row>
    <row r="663">
      <c r="K663" s="6"/>
    </row>
    <row r="664">
      <c r="K664" s="6"/>
    </row>
    <row r="665">
      <c r="K665" s="6"/>
    </row>
    <row r="666">
      <c r="K666" s="6"/>
    </row>
    <row r="667">
      <c r="K667" s="6"/>
    </row>
    <row r="668">
      <c r="K668" s="6"/>
    </row>
    <row r="669">
      <c r="K669" s="6"/>
    </row>
    <row r="670">
      <c r="K670" s="6"/>
    </row>
    <row r="671">
      <c r="K671" s="6"/>
    </row>
    <row r="672">
      <c r="K672" s="6"/>
    </row>
    <row r="673">
      <c r="K673" s="6"/>
    </row>
    <row r="674">
      <c r="K674" s="6"/>
    </row>
    <row r="675">
      <c r="K675" s="6"/>
    </row>
    <row r="676">
      <c r="K676" s="6"/>
    </row>
    <row r="677">
      <c r="K677" s="6"/>
    </row>
    <row r="678">
      <c r="K678" s="6"/>
    </row>
    <row r="679">
      <c r="K679" s="6"/>
    </row>
    <row r="680">
      <c r="K680" s="6"/>
    </row>
    <row r="681">
      <c r="K681" s="6"/>
    </row>
    <row r="682">
      <c r="K682" s="6"/>
    </row>
    <row r="683">
      <c r="K683" s="6"/>
    </row>
    <row r="684">
      <c r="K684" s="6"/>
    </row>
    <row r="685">
      <c r="K685" s="6"/>
    </row>
    <row r="686">
      <c r="K686" s="6"/>
    </row>
    <row r="687">
      <c r="K687" s="6"/>
    </row>
    <row r="688">
      <c r="K688" s="6"/>
    </row>
    <row r="689">
      <c r="K689" s="6"/>
    </row>
    <row r="690">
      <c r="K690" s="6"/>
    </row>
    <row r="691">
      <c r="K691" s="6"/>
    </row>
    <row r="692">
      <c r="K692" s="6"/>
    </row>
    <row r="693">
      <c r="K693" s="6"/>
    </row>
    <row r="694">
      <c r="K694" s="6"/>
    </row>
    <row r="695">
      <c r="K695" s="6"/>
    </row>
    <row r="696">
      <c r="K696" s="6"/>
    </row>
    <row r="697">
      <c r="K697" s="6"/>
    </row>
    <row r="698">
      <c r="K698" s="6"/>
    </row>
    <row r="699">
      <c r="K699" s="6"/>
    </row>
    <row r="700">
      <c r="K700" s="6"/>
    </row>
    <row r="701">
      <c r="K701" s="6"/>
    </row>
    <row r="702">
      <c r="K702" s="6"/>
    </row>
    <row r="703">
      <c r="K703" s="6"/>
    </row>
    <row r="704">
      <c r="K704" s="6"/>
    </row>
    <row r="705">
      <c r="K705" s="6"/>
    </row>
    <row r="706">
      <c r="K706" s="6"/>
    </row>
    <row r="707">
      <c r="K707" s="6"/>
    </row>
    <row r="708">
      <c r="K708" s="6"/>
    </row>
    <row r="709">
      <c r="K709" s="6"/>
    </row>
    <row r="710">
      <c r="K710" s="6"/>
    </row>
    <row r="711">
      <c r="K711" s="6"/>
    </row>
    <row r="712">
      <c r="K712" s="6"/>
    </row>
    <row r="713">
      <c r="K713" s="6"/>
    </row>
    <row r="714">
      <c r="K714" s="6"/>
    </row>
    <row r="715">
      <c r="K715" s="6"/>
    </row>
    <row r="716">
      <c r="K716" s="6"/>
    </row>
    <row r="717">
      <c r="K717" s="6"/>
    </row>
    <row r="718">
      <c r="K718" s="6"/>
    </row>
    <row r="719">
      <c r="K719" s="6"/>
    </row>
    <row r="720">
      <c r="K720" s="6"/>
    </row>
    <row r="721">
      <c r="K721" s="6"/>
    </row>
    <row r="722">
      <c r="K722" s="6"/>
    </row>
    <row r="723">
      <c r="K723" s="6"/>
    </row>
    <row r="724">
      <c r="K724" s="6"/>
    </row>
    <row r="725">
      <c r="K725" s="6"/>
    </row>
    <row r="726">
      <c r="K726" s="6"/>
    </row>
    <row r="727">
      <c r="K727" s="6"/>
    </row>
    <row r="728">
      <c r="K728" s="6"/>
    </row>
    <row r="729">
      <c r="K729" s="6"/>
    </row>
    <row r="730">
      <c r="K730" s="6"/>
    </row>
    <row r="731">
      <c r="K731" s="6"/>
    </row>
    <row r="732">
      <c r="K732" s="6"/>
    </row>
    <row r="733">
      <c r="K733" s="6"/>
    </row>
    <row r="734">
      <c r="K734" s="6"/>
    </row>
    <row r="735">
      <c r="K735" s="6"/>
    </row>
    <row r="736">
      <c r="K736" s="6"/>
    </row>
    <row r="737">
      <c r="K737" s="6"/>
    </row>
    <row r="738">
      <c r="K738" s="6"/>
    </row>
    <row r="739">
      <c r="K739" s="6"/>
    </row>
    <row r="740">
      <c r="K740" s="6"/>
    </row>
    <row r="741">
      <c r="K741" s="6"/>
    </row>
    <row r="742">
      <c r="K742" s="6"/>
    </row>
    <row r="743">
      <c r="K743" s="6"/>
    </row>
    <row r="744">
      <c r="K744" s="6"/>
    </row>
    <row r="745">
      <c r="K745" s="6"/>
    </row>
    <row r="746">
      <c r="K746" s="6"/>
    </row>
    <row r="747">
      <c r="K747" s="6"/>
    </row>
    <row r="748">
      <c r="K748" s="6"/>
    </row>
    <row r="749">
      <c r="K749" s="6"/>
    </row>
    <row r="750">
      <c r="K750" s="6"/>
    </row>
    <row r="751">
      <c r="K751" s="6"/>
    </row>
    <row r="752">
      <c r="K752" s="6"/>
    </row>
    <row r="753">
      <c r="K753" s="6"/>
    </row>
    <row r="754">
      <c r="K754" s="6"/>
    </row>
    <row r="755">
      <c r="K755" s="6"/>
    </row>
    <row r="756">
      <c r="K756" s="6"/>
    </row>
    <row r="757">
      <c r="K757" s="6"/>
    </row>
    <row r="758">
      <c r="K758" s="6"/>
    </row>
    <row r="759">
      <c r="K759" s="6"/>
    </row>
    <row r="760">
      <c r="K760" s="6"/>
    </row>
    <row r="761">
      <c r="K761" s="6"/>
    </row>
    <row r="762">
      <c r="K762" s="6"/>
    </row>
    <row r="763">
      <c r="K763" s="6"/>
    </row>
    <row r="764">
      <c r="K764" s="6"/>
    </row>
    <row r="765">
      <c r="K765" s="6"/>
    </row>
    <row r="766">
      <c r="K766" s="6"/>
    </row>
    <row r="767">
      <c r="K767" s="6"/>
    </row>
    <row r="768">
      <c r="K768" s="6"/>
    </row>
    <row r="769">
      <c r="K769" s="6"/>
    </row>
    <row r="770">
      <c r="K770" s="6"/>
    </row>
    <row r="771">
      <c r="K771" s="6"/>
    </row>
    <row r="772">
      <c r="K772" s="6"/>
    </row>
    <row r="773">
      <c r="K773" s="6"/>
    </row>
    <row r="774">
      <c r="K774" s="6"/>
    </row>
    <row r="775">
      <c r="K775" s="6"/>
    </row>
    <row r="776">
      <c r="K776" s="6"/>
    </row>
    <row r="777">
      <c r="K777" s="6"/>
    </row>
    <row r="778">
      <c r="K778" s="6"/>
    </row>
    <row r="779">
      <c r="K779" s="6"/>
    </row>
    <row r="780">
      <c r="K780" s="6"/>
    </row>
    <row r="781">
      <c r="K781" s="6"/>
    </row>
    <row r="782">
      <c r="K782" s="6"/>
    </row>
    <row r="783">
      <c r="K783" s="6"/>
    </row>
    <row r="784">
      <c r="K784" s="6"/>
    </row>
    <row r="785">
      <c r="K785" s="6"/>
    </row>
    <row r="786">
      <c r="K786" s="6"/>
    </row>
    <row r="787">
      <c r="K787" s="6"/>
    </row>
    <row r="788">
      <c r="K788" s="6"/>
    </row>
    <row r="789">
      <c r="K789" s="6"/>
    </row>
    <row r="790">
      <c r="K790" s="6"/>
    </row>
    <row r="791">
      <c r="K791" s="6"/>
    </row>
    <row r="792">
      <c r="K792" s="6"/>
    </row>
    <row r="793">
      <c r="K793" s="6"/>
    </row>
    <row r="794">
      <c r="K794" s="6"/>
    </row>
    <row r="795">
      <c r="K795" s="6"/>
    </row>
    <row r="796">
      <c r="K796" s="6"/>
    </row>
    <row r="797">
      <c r="K797" s="6"/>
    </row>
    <row r="798">
      <c r="K798" s="6"/>
    </row>
    <row r="799">
      <c r="K799" s="6"/>
    </row>
    <row r="800">
      <c r="K800" s="6"/>
    </row>
    <row r="801">
      <c r="K801" s="6"/>
    </row>
    <row r="802">
      <c r="K802" s="6"/>
    </row>
    <row r="803">
      <c r="K803" s="6"/>
    </row>
    <row r="804">
      <c r="K804" s="6"/>
    </row>
    <row r="805">
      <c r="K805" s="6"/>
    </row>
    <row r="806">
      <c r="K806" s="6"/>
    </row>
    <row r="807">
      <c r="K807" s="6"/>
    </row>
    <row r="808">
      <c r="K808" s="6"/>
    </row>
    <row r="809">
      <c r="K809" s="6"/>
    </row>
    <row r="810">
      <c r="K810" s="6"/>
    </row>
    <row r="811">
      <c r="K811" s="6"/>
    </row>
    <row r="812">
      <c r="K812" s="6"/>
    </row>
    <row r="813">
      <c r="K813" s="6"/>
    </row>
    <row r="814">
      <c r="K814" s="6"/>
    </row>
    <row r="815">
      <c r="K815" s="6"/>
    </row>
    <row r="816">
      <c r="K816" s="6"/>
    </row>
    <row r="817">
      <c r="K817" s="6"/>
    </row>
    <row r="818">
      <c r="K818" s="6"/>
    </row>
    <row r="819">
      <c r="K819" s="6"/>
    </row>
    <row r="820">
      <c r="K820" s="6"/>
    </row>
    <row r="821">
      <c r="K821" s="6"/>
    </row>
    <row r="822">
      <c r="K822" s="6"/>
    </row>
    <row r="823">
      <c r="K823" s="6"/>
    </row>
    <row r="824">
      <c r="K824" s="6"/>
    </row>
    <row r="825">
      <c r="K825" s="6"/>
    </row>
    <row r="826">
      <c r="K826" s="6"/>
    </row>
    <row r="827">
      <c r="K827" s="6"/>
    </row>
    <row r="828">
      <c r="K828" s="6"/>
    </row>
    <row r="829">
      <c r="K829" s="6"/>
    </row>
    <row r="830">
      <c r="K830" s="6"/>
    </row>
    <row r="831">
      <c r="K831" s="6"/>
    </row>
    <row r="832">
      <c r="K832" s="6"/>
    </row>
    <row r="833">
      <c r="K833" s="6"/>
    </row>
    <row r="834">
      <c r="K834" s="6"/>
    </row>
    <row r="835">
      <c r="K835" s="6"/>
    </row>
    <row r="836">
      <c r="K836" s="6"/>
    </row>
    <row r="837">
      <c r="K837" s="6"/>
    </row>
    <row r="838">
      <c r="K838" s="6"/>
    </row>
    <row r="839">
      <c r="K839" s="6"/>
    </row>
    <row r="840">
      <c r="K840" s="6"/>
    </row>
    <row r="841">
      <c r="K841" s="6"/>
    </row>
    <row r="842">
      <c r="K842" s="6"/>
    </row>
    <row r="843">
      <c r="K843" s="6"/>
    </row>
    <row r="844">
      <c r="K844" s="6"/>
    </row>
    <row r="845">
      <c r="K845" s="6"/>
    </row>
    <row r="846">
      <c r="K846" s="6"/>
    </row>
    <row r="847">
      <c r="K847" s="6"/>
    </row>
    <row r="848">
      <c r="K848" s="6"/>
    </row>
    <row r="849">
      <c r="K849" s="6"/>
    </row>
    <row r="850">
      <c r="K850" s="6"/>
    </row>
    <row r="851">
      <c r="K851" s="6"/>
    </row>
    <row r="852">
      <c r="K852" s="6"/>
    </row>
    <row r="853">
      <c r="K853" s="6"/>
    </row>
    <row r="854">
      <c r="K854" s="6"/>
    </row>
    <row r="855">
      <c r="K855" s="6"/>
    </row>
    <row r="856">
      <c r="K856" s="6"/>
    </row>
    <row r="857">
      <c r="K857" s="6"/>
    </row>
    <row r="858">
      <c r="K858" s="6"/>
    </row>
    <row r="859">
      <c r="K859" s="6"/>
    </row>
    <row r="860">
      <c r="K860" s="6"/>
    </row>
    <row r="861">
      <c r="K861" s="6"/>
    </row>
    <row r="862">
      <c r="K862" s="6"/>
    </row>
    <row r="863">
      <c r="K863" s="6"/>
    </row>
    <row r="864">
      <c r="K864" s="6"/>
    </row>
    <row r="865">
      <c r="K865" s="6"/>
    </row>
    <row r="866">
      <c r="K866" s="6"/>
    </row>
    <row r="867">
      <c r="K867" s="6"/>
    </row>
    <row r="868">
      <c r="K868" s="6"/>
    </row>
    <row r="869">
      <c r="K869" s="6"/>
    </row>
    <row r="870">
      <c r="K870" s="6"/>
    </row>
    <row r="871">
      <c r="K871" s="6"/>
    </row>
    <row r="872">
      <c r="K872" s="6"/>
    </row>
    <row r="873">
      <c r="K873" s="6"/>
    </row>
    <row r="874">
      <c r="K874" s="6"/>
    </row>
    <row r="875">
      <c r="K875" s="6"/>
    </row>
    <row r="876">
      <c r="K876" s="6"/>
    </row>
    <row r="877">
      <c r="K877" s="6"/>
    </row>
    <row r="878">
      <c r="K878" s="6"/>
    </row>
    <row r="879">
      <c r="K879" s="6"/>
    </row>
    <row r="880">
      <c r="K880" s="6"/>
    </row>
    <row r="881">
      <c r="K881" s="6"/>
    </row>
    <row r="882">
      <c r="K882" s="6"/>
    </row>
    <row r="883">
      <c r="K883" s="6"/>
    </row>
    <row r="884">
      <c r="K884" s="6"/>
    </row>
    <row r="885">
      <c r="K885" s="6"/>
    </row>
    <row r="886">
      <c r="K886" s="6"/>
    </row>
    <row r="887">
      <c r="K887" s="6"/>
    </row>
    <row r="888">
      <c r="K888" s="6"/>
    </row>
    <row r="889">
      <c r="K889" s="6"/>
    </row>
    <row r="890">
      <c r="K890" s="6"/>
    </row>
    <row r="891">
      <c r="K891" s="6"/>
    </row>
    <row r="892">
      <c r="K892" s="6"/>
    </row>
    <row r="893">
      <c r="K893" s="6"/>
    </row>
    <row r="894">
      <c r="K894" s="6"/>
    </row>
    <row r="895">
      <c r="K895" s="6"/>
    </row>
    <row r="896">
      <c r="K896" s="6"/>
    </row>
    <row r="897">
      <c r="K897" s="6"/>
    </row>
    <row r="898">
      <c r="K898" s="6"/>
    </row>
    <row r="899">
      <c r="K899" s="6"/>
    </row>
    <row r="900">
      <c r="K900" s="6"/>
    </row>
    <row r="901">
      <c r="K901" s="6"/>
    </row>
    <row r="902">
      <c r="K902" s="6"/>
    </row>
    <row r="903">
      <c r="K903" s="6"/>
    </row>
    <row r="904">
      <c r="K904" s="6"/>
    </row>
    <row r="905">
      <c r="K905" s="6"/>
    </row>
    <row r="906">
      <c r="K906" s="6"/>
    </row>
    <row r="907">
      <c r="K907" s="6"/>
    </row>
    <row r="908">
      <c r="K908" s="6"/>
    </row>
    <row r="909">
      <c r="K909" s="6"/>
    </row>
    <row r="910">
      <c r="K910" s="6"/>
    </row>
    <row r="911">
      <c r="K911" s="6"/>
    </row>
    <row r="912">
      <c r="K912" s="6"/>
    </row>
    <row r="913">
      <c r="K913" s="6"/>
    </row>
    <row r="914">
      <c r="K914" s="6"/>
    </row>
    <row r="915">
      <c r="K915" s="6"/>
    </row>
    <row r="916">
      <c r="K916" s="6"/>
    </row>
    <row r="917">
      <c r="K917" s="6"/>
    </row>
    <row r="918">
      <c r="K918" s="6"/>
    </row>
    <row r="919">
      <c r="K919" s="6"/>
    </row>
    <row r="920">
      <c r="K920" s="6"/>
    </row>
    <row r="921">
      <c r="K921" s="6"/>
    </row>
    <row r="922">
      <c r="K922" s="6"/>
    </row>
    <row r="923">
      <c r="K923" s="6"/>
    </row>
    <row r="924">
      <c r="K924" s="6"/>
    </row>
    <row r="925">
      <c r="K925" s="6"/>
    </row>
    <row r="926">
      <c r="K926" s="6"/>
    </row>
    <row r="927">
      <c r="K927" s="6"/>
    </row>
    <row r="928">
      <c r="K928" s="6"/>
    </row>
    <row r="929">
      <c r="K929" s="6"/>
    </row>
    <row r="930">
      <c r="K930" s="6"/>
    </row>
    <row r="931">
      <c r="K931" s="6"/>
    </row>
    <row r="932">
      <c r="K932" s="6"/>
    </row>
    <row r="933">
      <c r="K933" s="6"/>
    </row>
    <row r="934">
      <c r="K934" s="6"/>
    </row>
    <row r="935">
      <c r="K935" s="6"/>
    </row>
    <row r="936">
      <c r="K936" s="6"/>
    </row>
    <row r="937">
      <c r="K937" s="6"/>
    </row>
    <row r="938">
      <c r="K938" s="6"/>
    </row>
    <row r="939">
      <c r="K939" s="6"/>
    </row>
    <row r="940">
      <c r="K940" s="6"/>
    </row>
    <row r="941">
      <c r="K941" s="6"/>
    </row>
    <row r="942">
      <c r="K942" s="6"/>
    </row>
    <row r="943">
      <c r="K943" s="6"/>
    </row>
    <row r="944">
      <c r="K944" s="6"/>
    </row>
    <row r="945">
      <c r="K945" s="6"/>
    </row>
    <row r="946">
      <c r="K946" s="6"/>
    </row>
    <row r="947">
      <c r="K947" s="6"/>
    </row>
    <row r="948">
      <c r="K948" s="6"/>
    </row>
    <row r="949">
      <c r="K949" s="6"/>
    </row>
    <row r="950">
      <c r="K950" s="6"/>
    </row>
    <row r="951">
      <c r="K951" s="6"/>
    </row>
    <row r="952">
      <c r="K952" s="6"/>
    </row>
    <row r="953">
      <c r="K953" s="6"/>
    </row>
    <row r="954">
      <c r="K954" s="6"/>
    </row>
    <row r="955">
      <c r="K955" s="6"/>
    </row>
    <row r="956">
      <c r="K956" s="6"/>
    </row>
    <row r="957">
      <c r="K957" s="6"/>
    </row>
    <row r="958">
      <c r="K958" s="6"/>
    </row>
    <row r="959">
      <c r="K959" s="6"/>
    </row>
    <row r="960">
      <c r="K960" s="6"/>
    </row>
    <row r="961">
      <c r="K961" s="6"/>
    </row>
    <row r="962">
      <c r="K962" s="6"/>
    </row>
    <row r="963">
      <c r="K963" s="6"/>
    </row>
    <row r="964">
      <c r="K964" s="6"/>
    </row>
    <row r="965">
      <c r="K965" s="6"/>
    </row>
    <row r="966">
      <c r="K966" s="6"/>
    </row>
    <row r="967">
      <c r="K967" s="6"/>
    </row>
    <row r="968">
      <c r="K968" s="6"/>
    </row>
    <row r="969">
      <c r="K969" s="6"/>
    </row>
    <row r="970">
      <c r="K970" s="6"/>
    </row>
    <row r="971">
      <c r="K971" s="6"/>
    </row>
    <row r="972">
      <c r="K972" s="6"/>
    </row>
    <row r="973">
      <c r="K973" s="6"/>
    </row>
    <row r="974">
      <c r="K974" s="6"/>
    </row>
    <row r="975">
      <c r="K975" s="6"/>
    </row>
    <row r="976">
      <c r="K976" s="6"/>
    </row>
    <row r="977">
      <c r="K977" s="6"/>
    </row>
    <row r="978">
      <c r="K978" s="6"/>
    </row>
    <row r="979">
      <c r="K979" s="6"/>
    </row>
    <row r="980">
      <c r="K980" s="6"/>
    </row>
    <row r="981">
      <c r="K981" s="6"/>
    </row>
    <row r="982">
      <c r="K982" s="6"/>
    </row>
    <row r="983">
      <c r="K983" s="6"/>
    </row>
    <row r="984">
      <c r="K984" s="6"/>
    </row>
    <row r="985">
      <c r="K985" s="6"/>
    </row>
    <row r="986">
      <c r="K986" s="6"/>
    </row>
    <row r="987">
      <c r="K987" s="6"/>
    </row>
    <row r="988">
      <c r="K988" s="6"/>
    </row>
    <row r="989">
      <c r="K989" s="6"/>
    </row>
    <row r="990">
      <c r="K990" s="6"/>
    </row>
    <row r="991">
      <c r="K991" s="6"/>
    </row>
    <row r="992">
      <c r="K992" s="6"/>
    </row>
    <row r="993">
      <c r="K993" s="6"/>
    </row>
    <row r="994">
      <c r="K994" s="6"/>
    </row>
    <row r="995">
      <c r="K995" s="6"/>
    </row>
    <row r="996">
      <c r="K996" s="6"/>
    </row>
    <row r="997">
      <c r="K997" s="6"/>
    </row>
    <row r="998">
      <c r="K998" s="6"/>
    </row>
    <row r="999">
      <c r="K999" s="6"/>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6094</v>
      </c>
      <c r="B1" s="1" t="s">
        <v>6099</v>
      </c>
      <c r="C1" s="1" t="s">
        <v>6102</v>
      </c>
      <c r="D1" s="1" t="s">
        <v>6103</v>
      </c>
      <c r="E1" s="1" t="s">
        <v>6104</v>
      </c>
      <c r="F1" s="1" t="s">
        <v>6105</v>
      </c>
      <c r="G1" s="1" t="s">
        <v>6106</v>
      </c>
      <c r="H1" s="1" t="s">
        <v>11</v>
      </c>
    </row>
    <row r="2">
      <c r="A2" s="3">
        <v>45509.0</v>
      </c>
      <c r="B2" s="1">
        <v>24302.85</v>
      </c>
      <c r="C2" s="1">
        <v>24350.05</v>
      </c>
      <c r="D2" s="1">
        <v>23893.7</v>
      </c>
      <c r="E2" s="1">
        <v>24055.6</v>
      </c>
      <c r="F2" s="1">
        <v>4.86994718E8</v>
      </c>
      <c r="G2" s="1">
        <v>45066.65</v>
      </c>
      <c r="H2" s="7"/>
      <c r="I2" s="14" t="s">
        <v>6116</v>
      </c>
    </row>
    <row r="3">
      <c r="A3" s="3">
        <v>45510.0</v>
      </c>
      <c r="B3" s="1">
        <v>24189.85</v>
      </c>
      <c r="C3" s="1">
        <v>24382.6</v>
      </c>
      <c r="D3" s="1">
        <v>23960.4</v>
      </c>
      <c r="E3" s="1">
        <v>23992.55</v>
      </c>
      <c r="F3" s="1">
        <v>3.12339387E8</v>
      </c>
      <c r="G3" s="1">
        <v>31553.65</v>
      </c>
      <c r="H3" s="7">
        <v>-0.0026210113237665773</v>
      </c>
      <c r="I3" s="6">
        <f>AVERAGE(H3:H496)</f>
        <v>0.00009486200742</v>
      </c>
    </row>
    <row r="4">
      <c r="A4" s="3">
        <v>45511.0</v>
      </c>
      <c r="B4" s="1">
        <v>24289.4</v>
      </c>
      <c r="C4" s="1">
        <v>24337.7</v>
      </c>
      <c r="D4" s="1">
        <v>24184.9</v>
      </c>
      <c r="E4" s="1">
        <v>24297.5</v>
      </c>
      <c r="F4" s="1">
        <v>3.17564429E8</v>
      </c>
      <c r="G4" s="1">
        <v>29738.85</v>
      </c>
      <c r="H4" s="7">
        <v>0.012710195456506321</v>
      </c>
      <c r="I4" s="15">
        <f>(1+I3)^252-1</f>
        <v>0.02419208506</v>
      </c>
    </row>
    <row r="5">
      <c r="A5" s="3">
        <v>45512.0</v>
      </c>
      <c r="B5" s="1">
        <v>24248.55</v>
      </c>
      <c r="C5" s="1">
        <v>24340.5</v>
      </c>
      <c r="D5" s="1">
        <v>24079.7</v>
      </c>
      <c r="E5" s="1">
        <v>24117.0</v>
      </c>
      <c r="F5" s="1">
        <v>3.1187594E8</v>
      </c>
      <c r="G5" s="1">
        <v>30858.18</v>
      </c>
      <c r="H5" s="7">
        <v>-0.007428747813561066</v>
      </c>
    </row>
    <row r="6">
      <c r="A6" s="3">
        <v>45513.0</v>
      </c>
      <c r="B6" s="1">
        <v>24386.85</v>
      </c>
      <c r="C6" s="1">
        <v>24419.75</v>
      </c>
      <c r="D6" s="1">
        <v>24311.2</v>
      </c>
      <c r="E6" s="1">
        <v>24367.5</v>
      </c>
      <c r="F6" s="1">
        <v>2.15129992E8</v>
      </c>
      <c r="G6" s="1">
        <v>22339.19</v>
      </c>
      <c r="H6" s="7">
        <v>0.010386864037815649</v>
      </c>
    </row>
    <row r="7">
      <c r="A7" s="9">
        <v>45516.0</v>
      </c>
      <c r="B7" s="1">
        <v>24320.05</v>
      </c>
      <c r="C7" s="1">
        <v>24472.8</v>
      </c>
      <c r="D7" s="1">
        <v>24212.1</v>
      </c>
      <c r="E7" s="1">
        <v>24347.0</v>
      </c>
      <c r="F7" s="1">
        <v>2.799251E8</v>
      </c>
      <c r="G7" s="1">
        <v>30311.85</v>
      </c>
      <c r="H7" s="7">
        <v>-8.412844977941931E-4</v>
      </c>
    </row>
    <row r="8">
      <c r="A8" s="9">
        <v>45517.0</v>
      </c>
      <c r="B8" s="1">
        <v>24342.35</v>
      </c>
      <c r="C8" s="1">
        <v>24359.95</v>
      </c>
      <c r="D8" s="1">
        <v>24116.5</v>
      </c>
      <c r="E8" s="1">
        <v>24139.0</v>
      </c>
      <c r="F8" s="1">
        <v>2.3972764E8</v>
      </c>
      <c r="G8" s="1">
        <v>25459.58</v>
      </c>
      <c r="H8" s="7">
        <v>-0.008543146999630345</v>
      </c>
    </row>
    <row r="9">
      <c r="A9" s="9">
        <v>45518.0</v>
      </c>
      <c r="B9" s="1">
        <v>24184.4</v>
      </c>
      <c r="C9" s="1">
        <v>24196.5</v>
      </c>
      <c r="D9" s="1">
        <v>24099.7</v>
      </c>
      <c r="E9" s="1">
        <v>24143.75</v>
      </c>
      <c r="F9" s="1">
        <v>3.03254705E8</v>
      </c>
      <c r="G9" s="1">
        <v>27834.61</v>
      </c>
      <c r="H9" s="7">
        <v>1.9677699987571978E-4</v>
      </c>
    </row>
    <row r="10">
      <c r="A10" s="9">
        <v>45520.0</v>
      </c>
      <c r="B10" s="1">
        <v>24334.85</v>
      </c>
      <c r="C10" s="1">
        <v>24563.9</v>
      </c>
      <c r="D10" s="1">
        <v>24204.5</v>
      </c>
      <c r="E10" s="1">
        <v>24541.15</v>
      </c>
      <c r="F10" s="1">
        <v>2.71611087E8</v>
      </c>
      <c r="G10" s="1">
        <v>28521.9</v>
      </c>
      <c r="H10" s="7">
        <v>0.01645974631115719</v>
      </c>
    </row>
    <row r="11">
      <c r="A11" s="9">
        <v>45523.0</v>
      </c>
      <c r="B11" s="1">
        <v>24636.35</v>
      </c>
      <c r="C11" s="1">
        <v>24638.8</v>
      </c>
      <c r="D11" s="1">
        <v>24522.95</v>
      </c>
      <c r="E11" s="1">
        <v>24572.65</v>
      </c>
      <c r="F11" s="1">
        <v>2.43645503E8</v>
      </c>
      <c r="G11" s="1">
        <v>22124.41</v>
      </c>
      <c r="H11" s="7">
        <v>0.0012835584314508488</v>
      </c>
    </row>
    <row r="12">
      <c r="A12" s="9">
        <v>45524.0</v>
      </c>
      <c r="B12" s="1">
        <v>24648.9</v>
      </c>
      <c r="C12" s="1">
        <v>24734.3</v>
      </c>
      <c r="D12" s="1">
        <v>24607.2</v>
      </c>
      <c r="E12" s="1">
        <v>24698.85</v>
      </c>
      <c r="F12" s="1">
        <v>2.3831894E8</v>
      </c>
      <c r="G12" s="1">
        <v>25478.73</v>
      </c>
      <c r="H12" s="7">
        <v>0.005135791215029599</v>
      </c>
    </row>
    <row r="13">
      <c r="A13" s="9">
        <v>45525.0</v>
      </c>
      <c r="B13" s="1">
        <v>24680.55</v>
      </c>
      <c r="C13" s="1">
        <v>24787.95</v>
      </c>
      <c r="D13" s="1">
        <v>24654.5</v>
      </c>
      <c r="E13" s="1">
        <v>24770.2</v>
      </c>
      <c r="F13" s="1">
        <v>2.57114212E8</v>
      </c>
      <c r="G13" s="1">
        <v>27404.63</v>
      </c>
      <c r="H13" s="7">
        <v>0.0028887984663254437</v>
      </c>
    </row>
    <row r="14">
      <c r="A14" s="9">
        <v>45526.0</v>
      </c>
      <c r="B14" s="1">
        <v>24863.4</v>
      </c>
      <c r="C14" s="1">
        <v>24867.35</v>
      </c>
      <c r="D14" s="1">
        <v>24784.45</v>
      </c>
      <c r="E14" s="1">
        <v>24811.5</v>
      </c>
      <c r="F14" s="1">
        <v>2.20345125E8</v>
      </c>
      <c r="G14" s="1">
        <v>24227.03</v>
      </c>
      <c r="H14" s="7">
        <v>0.0016673260611540994</v>
      </c>
    </row>
    <row r="15">
      <c r="A15" s="9">
        <v>45527.0</v>
      </c>
      <c r="B15" s="1">
        <v>24845.4</v>
      </c>
      <c r="C15" s="1">
        <v>24858.4</v>
      </c>
      <c r="D15" s="1">
        <v>24771.65</v>
      </c>
      <c r="E15" s="1">
        <v>24823.15</v>
      </c>
      <c r="F15" s="1">
        <v>2.06800655E8</v>
      </c>
      <c r="G15" s="1">
        <v>23134.22</v>
      </c>
      <c r="H15" s="7">
        <v>4.695403341193179E-4</v>
      </c>
    </row>
    <row r="16">
      <c r="A16" s="9">
        <v>45530.0</v>
      </c>
      <c r="B16" s="1">
        <v>24906.1</v>
      </c>
      <c r="C16" s="1">
        <v>25043.8</v>
      </c>
      <c r="D16" s="1">
        <v>24874.7</v>
      </c>
      <c r="E16" s="1">
        <v>25010.6</v>
      </c>
      <c r="F16" s="1">
        <v>2.10266456E8</v>
      </c>
      <c r="G16" s="1">
        <v>22166.86</v>
      </c>
      <c r="H16" s="7">
        <v>0.0075514187361393325</v>
      </c>
    </row>
    <row r="17">
      <c r="A17" s="9">
        <v>45531.0</v>
      </c>
      <c r="B17" s="1">
        <v>25024.8</v>
      </c>
      <c r="C17" s="1">
        <v>25073.1</v>
      </c>
      <c r="D17" s="1">
        <v>24973.65</v>
      </c>
      <c r="E17" s="1">
        <v>25017.75</v>
      </c>
      <c r="F17" s="1">
        <v>2.23346636E8</v>
      </c>
      <c r="G17" s="1">
        <v>26695.0</v>
      </c>
      <c r="H17" s="7">
        <v>2.858787873942031E-4</v>
      </c>
    </row>
    <row r="18">
      <c r="A18" s="9">
        <v>45532.0</v>
      </c>
      <c r="B18" s="1">
        <v>25030.8</v>
      </c>
      <c r="C18" s="1">
        <v>25129.6</v>
      </c>
      <c r="D18" s="1">
        <v>24964.65</v>
      </c>
      <c r="E18" s="1">
        <v>25052.35</v>
      </c>
      <c r="F18" s="1">
        <v>2.20419448E8</v>
      </c>
      <c r="G18" s="1">
        <v>26994.19</v>
      </c>
      <c r="H18" s="7">
        <v>0.0013830180571793446</v>
      </c>
    </row>
    <row r="19">
      <c r="A19" s="9">
        <v>45533.0</v>
      </c>
      <c r="B19" s="1">
        <v>25035.3</v>
      </c>
      <c r="C19" s="1">
        <v>25192.9</v>
      </c>
      <c r="D19" s="1">
        <v>24998.5</v>
      </c>
      <c r="E19" s="1">
        <v>25151.95</v>
      </c>
      <c r="F19" s="1">
        <v>3.539939E8</v>
      </c>
      <c r="G19" s="1">
        <v>43221.73</v>
      </c>
      <c r="H19" s="7">
        <v>0.003975674936682674</v>
      </c>
    </row>
    <row r="20">
      <c r="A20" s="9">
        <v>45534.0</v>
      </c>
      <c r="B20" s="1">
        <v>25249.7</v>
      </c>
      <c r="C20" s="1">
        <v>25268.35</v>
      </c>
      <c r="D20" s="1">
        <v>25199.4</v>
      </c>
      <c r="E20" s="1">
        <v>25235.9</v>
      </c>
      <c r="F20" s="1">
        <v>6.38166179E8</v>
      </c>
      <c r="G20" s="1">
        <v>89554.91</v>
      </c>
      <c r="H20" s="7">
        <v>0.00333771337808801</v>
      </c>
    </row>
    <row r="21">
      <c r="A21" s="3">
        <v>45537.0</v>
      </c>
      <c r="B21" s="1">
        <v>25333.6</v>
      </c>
      <c r="C21" s="1">
        <v>25333.65</v>
      </c>
      <c r="D21" s="1">
        <v>25235.5</v>
      </c>
      <c r="E21" s="1">
        <v>25278.7</v>
      </c>
      <c r="F21" s="1">
        <v>2.22815249E8</v>
      </c>
      <c r="G21" s="1">
        <v>28187.71</v>
      </c>
      <c r="H21" s="7">
        <v>0.0016959965763059478</v>
      </c>
    </row>
    <row r="22">
      <c r="A22" s="3">
        <v>45538.0</v>
      </c>
      <c r="B22" s="1">
        <v>25313.4</v>
      </c>
      <c r="C22" s="1">
        <v>25321.7</v>
      </c>
      <c r="D22" s="1">
        <v>25235.8</v>
      </c>
      <c r="E22" s="1">
        <v>25279.85</v>
      </c>
      <c r="F22" s="1">
        <v>2.12131921E8</v>
      </c>
      <c r="G22" s="1">
        <v>27276.14</v>
      </c>
      <c r="H22" s="7">
        <v>4.549284575543114E-5</v>
      </c>
    </row>
    <row r="23">
      <c r="A23" s="3">
        <v>45539.0</v>
      </c>
      <c r="B23" s="1">
        <v>25089.95</v>
      </c>
      <c r="C23" s="1">
        <v>25216.0</v>
      </c>
      <c r="D23" s="1">
        <v>25083.8</v>
      </c>
      <c r="E23" s="1">
        <v>25198.7</v>
      </c>
      <c r="F23" s="1">
        <v>2.53788501E8</v>
      </c>
      <c r="G23" s="1">
        <v>26293.35</v>
      </c>
      <c r="H23" s="7">
        <v>-0.0032100665154262318</v>
      </c>
    </row>
    <row r="24">
      <c r="A24" s="3">
        <v>45540.0</v>
      </c>
      <c r="B24" s="1">
        <v>25250.5</v>
      </c>
      <c r="C24" s="1">
        <v>25275.45</v>
      </c>
      <c r="D24" s="1">
        <v>25127.75</v>
      </c>
      <c r="E24" s="1">
        <v>25145.1</v>
      </c>
      <c r="F24" s="1">
        <v>2.22242223E8</v>
      </c>
      <c r="G24" s="1">
        <v>26272.38</v>
      </c>
      <c r="H24" s="7">
        <v>-0.0021270938580165715</v>
      </c>
    </row>
    <row r="25">
      <c r="A25" s="3">
        <v>45541.0</v>
      </c>
      <c r="B25" s="1">
        <v>25093.7</v>
      </c>
      <c r="C25" s="1">
        <v>25168.75</v>
      </c>
      <c r="D25" s="1">
        <v>24801.3</v>
      </c>
      <c r="E25" s="1">
        <v>24852.15</v>
      </c>
      <c r="F25" s="1">
        <v>3.11671856E8</v>
      </c>
      <c r="G25" s="1">
        <v>33001.17</v>
      </c>
      <c r="H25" s="7">
        <v>-0.011650381187587128</v>
      </c>
    </row>
    <row r="26">
      <c r="A26" s="3">
        <v>45544.0</v>
      </c>
      <c r="B26" s="1">
        <v>24823.4</v>
      </c>
      <c r="C26" s="1">
        <v>24957.5</v>
      </c>
      <c r="D26" s="1">
        <v>24753.15</v>
      </c>
      <c r="E26" s="1">
        <v>24936.4</v>
      </c>
      <c r="F26" s="1">
        <v>2.54367252E8</v>
      </c>
      <c r="G26" s="1">
        <v>25180.28</v>
      </c>
      <c r="H26" s="7">
        <v>0.0033900487482974306</v>
      </c>
    </row>
    <row r="27">
      <c r="A27" s="9">
        <v>45545.0</v>
      </c>
      <c r="B27" s="1">
        <v>24999.4</v>
      </c>
      <c r="C27" s="1">
        <v>25130.5</v>
      </c>
      <c r="D27" s="1">
        <v>24896.8</v>
      </c>
      <c r="E27" s="1">
        <v>25041.1</v>
      </c>
      <c r="F27" s="1">
        <v>2.51274802E8</v>
      </c>
      <c r="G27" s="1">
        <v>27846.31</v>
      </c>
      <c r="H27" s="7">
        <v>0.0041986814455974835</v>
      </c>
    </row>
    <row r="28">
      <c r="A28" s="9">
        <v>45546.0</v>
      </c>
      <c r="B28" s="1">
        <v>25034.0</v>
      </c>
      <c r="C28" s="1">
        <v>25113.7</v>
      </c>
      <c r="D28" s="1">
        <v>24885.15</v>
      </c>
      <c r="E28" s="1">
        <v>24918.45</v>
      </c>
      <c r="F28" s="1">
        <v>2.79229206E8</v>
      </c>
      <c r="G28" s="1">
        <v>29395.73</v>
      </c>
      <c r="H28" s="7">
        <v>-0.004897947773859688</v>
      </c>
    </row>
    <row r="29">
      <c r="A29" s="9">
        <v>45547.0</v>
      </c>
      <c r="B29" s="1">
        <v>25059.65</v>
      </c>
      <c r="C29" s="1">
        <v>25433.35</v>
      </c>
      <c r="D29" s="1">
        <v>24941.45</v>
      </c>
      <c r="E29" s="1">
        <v>25388.9</v>
      </c>
      <c r="F29" s="1">
        <v>3.80069653E8</v>
      </c>
      <c r="G29" s="1">
        <v>41747.91</v>
      </c>
      <c r="H29" s="7">
        <v>0.018879585206945083</v>
      </c>
    </row>
    <row r="30">
      <c r="A30" s="9">
        <v>45548.0</v>
      </c>
      <c r="B30" s="1">
        <v>25430.45</v>
      </c>
      <c r="C30" s="1">
        <v>25430.5</v>
      </c>
      <c r="D30" s="1">
        <v>25292.45</v>
      </c>
      <c r="E30" s="1">
        <v>25356.5</v>
      </c>
      <c r="F30" s="1">
        <v>2.50781898E8</v>
      </c>
      <c r="G30" s="1">
        <v>25530.69</v>
      </c>
      <c r="H30" s="7">
        <v>-0.0012761482380095812</v>
      </c>
    </row>
    <row r="31">
      <c r="A31" s="9">
        <v>45551.0</v>
      </c>
      <c r="B31" s="1">
        <v>25406.65</v>
      </c>
      <c r="C31" s="1">
        <v>25445.7</v>
      </c>
      <c r="D31" s="1">
        <v>25336.2</v>
      </c>
      <c r="E31" s="1">
        <v>25383.75</v>
      </c>
      <c r="F31" s="1">
        <v>1.6869488E8</v>
      </c>
      <c r="G31" s="1">
        <v>18705.01</v>
      </c>
      <c r="H31" s="7">
        <v>0.0010746751326089958</v>
      </c>
    </row>
    <row r="32">
      <c r="A32" s="9">
        <v>45552.0</v>
      </c>
      <c r="B32" s="1">
        <v>25416.9</v>
      </c>
      <c r="C32" s="1">
        <v>25441.65</v>
      </c>
      <c r="D32" s="1">
        <v>25352.25</v>
      </c>
      <c r="E32" s="1">
        <v>25418.55</v>
      </c>
      <c r="F32" s="1">
        <v>2.15956868E8</v>
      </c>
      <c r="G32" s="1">
        <v>25280.83</v>
      </c>
      <c r="H32" s="7">
        <v>0.0013709558280395637</v>
      </c>
    </row>
    <row r="33">
      <c r="A33" s="9">
        <v>45553.0</v>
      </c>
      <c r="B33" s="1">
        <v>25402.4</v>
      </c>
      <c r="C33" s="1">
        <v>25482.2</v>
      </c>
      <c r="D33" s="1">
        <v>25285.55</v>
      </c>
      <c r="E33" s="1">
        <v>25377.55</v>
      </c>
      <c r="F33" s="1">
        <v>2.15727159E8</v>
      </c>
      <c r="G33" s="1">
        <v>28832.0</v>
      </c>
      <c r="H33" s="7">
        <v>-0.001612995233795791</v>
      </c>
    </row>
    <row r="34">
      <c r="A34" s="9">
        <v>45554.0</v>
      </c>
      <c r="B34" s="1">
        <v>25487.05</v>
      </c>
      <c r="C34" s="1">
        <v>25611.95</v>
      </c>
      <c r="D34" s="1">
        <v>25376.05</v>
      </c>
      <c r="E34" s="1">
        <v>25415.8</v>
      </c>
      <c r="F34" s="1">
        <v>3.14461263E8</v>
      </c>
      <c r="G34" s="1">
        <v>34389.27</v>
      </c>
      <c r="H34" s="7">
        <v>0.0015072376963103215</v>
      </c>
    </row>
    <row r="35">
      <c r="A35" s="9">
        <v>45555.0</v>
      </c>
      <c r="B35" s="1">
        <v>25525.95</v>
      </c>
      <c r="C35" s="1">
        <v>25849.25</v>
      </c>
      <c r="D35" s="1">
        <v>25426.6</v>
      </c>
      <c r="E35" s="1">
        <v>25790.95</v>
      </c>
      <c r="F35" s="1">
        <v>5.33067422E8</v>
      </c>
      <c r="G35" s="1">
        <v>68915.27</v>
      </c>
      <c r="H35" s="7">
        <v>0.014760503308965348</v>
      </c>
    </row>
    <row r="36">
      <c r="A36" s="9">
        <v>45558.0</v>
      </c>
      <c r="B36" s="1">
        <v>25872.55</v>
      </c>
      <c r="C36" s="1">
        <v>25956.0</v>
      </c>
      <c r="D36" s="1">
        <v>25847.35</v>
      </c>
      <c r="E36" s="1">
        <v>25939.05</v>
      </c>
      <c r="F36" s="1">
        <v>2.09187756E8</v>
      </c>
      <c r="G36" s="1">
        <v>24825.74</v>
      </c>
      <c r="H36" s="7">
        <v>0.005742324342453401</v>
      </c>
    </row>
    <row r="37">
      <c r="A37" s="9">
        <v>45559.0</v>
      </c>
      <c r="B37" s="1">
        <v>25921.45</v>
      </c>
      <c r="C37" s="1">
        <v>26011.55</v>
      </c>
      <c r="D37" s="1">
        <v>25886.85</v>
      </c>
      <c r="E37" s="1">
        <v>25940.4</v>
      </c>
      <c r="F37" s="1">
        <v>3.84115033E8</v>
      </c>
      <c r="G37" s="1">
        <v>35573.63</v>
      </c>
      <c r="H37" s="7">
        <v>5.2045082607195824E-5</v>
      </c>
    </row>
    <row r="38">
      <c r="A38" s="9">
        <v>45560.0</v>
      </c>
      <c r="B38" s="1">
        <v>25899.45</v>
      </c>
      <c r="C38" s="1">
        <v>26032.8</v>
      </c>
      <c r="D38" s="1">
        <v>25871.35</v>
      </c>
      <c r="E38" s="1">
        <v>26004.15</v>
      </c>
      <c r="F38" s="1">
        <v>2.78540972E8</v>
      </c>
      <c r="G38" s="1">
        <v>27868.08</v>
      </c>
      <c r="H38" s="7">
        <v>0.0024575565527131422</v>
      </c>
    </row>
    <row r="39">
      <c r="A39" s="9">
        <v>45561.0</v>
      </c>
      <c r="B39" s="1">
        <v>26005.4</v>
      </c>
      <c r="C39" s="1">
        <v>26250.9</v>
      </c>
      <c r="D39" s="1">
        <v>25998.4</v>
      </c>
      <c r="E39" s="1">
        <v>26216.05</v>
      </c>
      <c r="F39" s="1">
        <v>3.70895477E8</v>
      </c>
      <c r="G39" s="1">
        <v>40838.36</v>
      </c>
      <c r="H39" s="7">
        <v>0.008148699342220293</v>
      </c>
    </row>
    <row r="40">
      <c r="A40" s="9">
        <v>45562.0</v>
      </c>
      <c r="B40" s="1">
        <v>26248.25</v>
      </c>
      <c r="C40" s="1">
        <v>26277.35</v>
      </c>
      <c r="D40" s="1">
        <v>26151.4</v>
      </c>
      <c r="E40" s="1">
        <v>26178.95</v>
      </c>
      <c r="F40" s="1">
        <v>4.9033237E8</v>
      </c>
      <c r="G40" s="1">
        <v>55420.63</v>
      </c>
      <c r="H40" s="7">
        <v>-0.0014151636116042862</v>
      </c>
    </row>
    <row r="41">
      <c r="A41" s="9">
        <v>45565.0</v>
      </c>
      <c r="B41" s="1">
        <v>26061.3</v>
      </c>
      <c r="C41" s="1">
        <v>26134.7</v>
      </c>
      <c r="D41" s="1">
        <v>25794.1</v>
      </c>
      <c r="E41" s="1">
        <v>25810.85</v>
      </c>
      <c r="F41" s="1">
        <v>3.75370974E8</v>
      </c>
      <c r="G41" s="1">
        <v>36028.06</v>
      </c>
      <c r="H41" s="7">
        <v>-0.014060915353748036</v>
      </c>
    </row>
    <row r="42">
      <c r="A42" s="3">
        <v>45566.0</v>
      </c>
      <c r="B42" s="1">
        <v>25788.45</v>
      </c>
      <c r="C42" s="1">
        <v>25907.6</v>
      </c>
      <c r="D42" s="1">
        <v>25739.2</v>
      </c>
      <c r="E42" s="1">
        <v>25796.9</v>
      </c>
      <c r="F42" s="1">
        <v>2.47423786E8</v>
      </c>
      <c r="G42" s="1">
        <v>27473.29</v>
      </c>
      <c r="H42" s="7">
        <v>-5.40470383578886E-4</v>
      </c>
    </row>
    <row r="43">
      <c r="A43" s="3">
        <v>45568.0</v>
      </c>
      <c r="B43" s="1">
        <v>25452.85</v>
      </c>
      <c r="C43" s="1">
        <v>25639.45</v>
      </c>
      <c r="D43" s="1">
        <v>25230.3</v>
      </c>
      <c r="E43" s="1">
        <v>25250.1</v>
      </c>
      <c r="F43" s="1">
        <v>4.2339503E8</v>
      </c>
      <c r="G43" s="1">
        <v>45689.5</v>
      </c>
      <c r="H43" s="7">
        <v>-0.021196345297303278</v>
      </c>
    </row>
    <row r="44">
      <c r="A44" s="3">
        <v>45569.0</v>
      </c>
      <c r="B44" s="1">
        <v>25181.9</v>
      </c>
      <c r="C44" s="1">
        <v>25485.05</v>
      </c>
      <c r="D44" s="1">
        <v>24966.8</v>
      </c>
      <c r="E44" s="1">
        <v>25014.6</v>
      </c>
      <c r="F44" s="1">
        <v>3.74914801E8</v>
      </c>
      <c r="G44" s="1">
        <v>42719.71</v>
      </c>
      <c r="H44" s="7">
        <v>-0.009326695735858473</v>
      </c>
    </row>
    <row r="45">
      <c r="A45" s="3">
        <v>45572.0</v>
      </c>
      <c r="B45" s="1">
        <v>25084.1</v>
      </c>
      <c r="C45" s="1">
        <v>25143.0</v>
      </c>
      <c r="D45" s="1">
        <v>24694.35</v>
      </c>
      <c r="E45" s="1">
        <v>24795.75</v>
      </c>
      <c r="F45" s="1">
        <v>3.74345795E8</v>
      </c>
      <c r="G45" s="1">
        <v>40550.24</v>
      </c>
      <c r="H45" s="7">
        <v>-0.008748890647861591</v>
      </c>
    </row>
    <row r="46">
      <c r="A46" s="3">
        <v>45573.0</v>
      </c>
      <c r="B46" s="1">
        <v>24832.2</v>
      </c>
      <c r="C46" s="1">
        <v>25044.0</v>
      </c>
      <c r="D46" s="1">
        <v>24756.8</v>
      </c>
      <c r="E46" s="1">
        <v>25013.15</v>
      </c>
      <c r="F46" s="1">
        <v>3.33220055E8</v>
      </c>
      <c r="G46" s="1">
        <v>33493.36</v>
      </c>
      <c r="H46" s="7">
        <v>0.008767631549761611</v>
      </c>
    </row>
    <row r="47">
      <c r="A47" s="3">
        <v>45574.0</v>
      </c>
      <c r="B47" s="1">
        <v>25065.8</v>
      </c>
      <c r="C47" s="1">
        <v>25234.05</v>
      </c>
      <c r="D47" s="1">
        <v>24947.7</v>
      </c>
      <c r="E47" s="1">
        <v>24981.95</v>
      </c>
      <c r="F47" s="1">
        <v>2.90562844E8</v>
      </c>
      <c r="G47" s="1">
        <v>30877.63</v>
      </c>
      <c r="H47" s="7">
        <v>-0.0012473438971101491</v>
      </c>
    </row>
    <row r="48">
      <c r="A48" s="9">
        <v>45575.0</v>
      </c>
      <c r="B48" s="1">
        <v>25067.05</v>
      </c>
      <c r="C48" s="1">
        <v>25134.05</v>
      </c>
      <c r="D48" s="1">
        <v>24979.4</v>
      </c>
      <c r="E48" s="1">
        <v>24998.45</v>
      </c>
      <c r="F48" s="1">
        <v>2.61364749E8</v>
      </c>
      <c r="G48" s="1">
        <v>28046.45</v>
      </c>
      <c r="H48" s="7">
        <v>6.604768642960217E-4</v>
      </c>
    </row>
    <row r="49">
      <c r="A49" s="9">
        <v>45576.0</v>
      </c>
      <c r="B49" s="1">
        <v>24985.3</v>
      </c>
      <c r="C49" s="1">
        <v>25028.65</v>
      </c>
      <c r="D49" s="1">
        <v>24920.05</v>
      </c>
      <c r="E49" s="1">
        <v>24964.25</v>
      </c>
      <c r="F49" s="1">
        <v>2.10462717E8</v>
      </c>
      <c r="G49" s="1">
        <v>21734.97</v>
      </c>
      <c r="H49" s="7">
        <v>-0.001368084821258947</v>
      </c>
    </row>
    <row r="50">
      <c r="A50" s="9">
        <v>45579.0</v>
      </c>
      <c r="B50" s="1">
        <v>25023.45</v>
      </c>
      <c r="C50" s="1">
        <v>25159.75</v>
      </c>
      <c r="D50" s="1">
        <v>25017.5</v>
      </c>
      <c r="E50" s="1">
        <v>25127.95</v>
      </c>
      <c r="F50" s="1">
        <v>2.06423311E8</v>
      </c>
      <c r="G50" s="1">
        <v>21270.9</v>
      </c>
      <c r="H50" s="7">
        <v>0.006557377049180357</v>
      </c>
    </row>
    <row r="51">
      <c r="A51" s="9">
        <v>45580.0</v>
      </c>
      <c r="B51" s="1">
        <v>25186.3</v>
      </c>
      <c r="C51" s="1">
        <v>25212.05</v>
      </c>
      <c r="D51" s="1">
        <v>25008.15</v>
      </c>
      <c r="E51" s="1">
        <v>25057.35</v>
      </c>
      <c r="F51" s="1">
        <v>2.57228772E8</v>
      </c>
      <c r="G51" s="1">
        <v>29113.88</v>
      </c>
      <c r="H51" s="7">
        <v>-0.0028096203629823435</v>
      </c>
    </row>
    <row r="52">
      <c r="A52" s="9">
        <v>45581.0</v>
      </c>
      <c r="B52" s="1">
        <v>25008.55</v>
      </c>
      <c r="C52" s="1">
        <v>25093.4</v>
      </c>
      <c r="D52" s="1">
        <v>24908.45</v>
      </c>
      <c r="E52" s="1">
        <v>24971.3</v>
      </c>
      <c r="F52" s="1">
        <v>2.26774456E8</v>
      </c>
      <c r="G52" s="1">
        <v>24115.83</v>
      </c>
      <c r="H52" s="7">
        <v>-0.003434122123847864</v>
      </c>
    </row>
    <row r="53">
      <c r="A53" s="9">
        <v>45582.0</v>
      </c>
      <c r="B53" s="1">
        <v>25027.4</v>
      </c>
      <c r="C53" s="1">
        <v>25029.5</v>
      </c>
      <c r="D53" s="1">
        <v>24728.9</v>
      </c>
      <c r="E53" s="1">
        <v>24749.85</v>
      </c>
      <c r="F53" s="1">
        <v>2.52755662E8</v>
      </c>
      <c r="G53" s="1">
        <v>32606.34</v>
      </c>
      <c r="H53" s="7">
        <v>-0.008868180671410809</v>
      </c>
    </row>
    <row r="54">
      <c r="A54" s="9">
        <v>45583.0</v>
      </c>
      <c r="B54" s="1">
        <v>24664.95</v>
      </c>
      <c r="C54" s="1">
        <v>24886.2</v>
      </c>
      <c r="D54" s="1">
        <v>24567.65</v>
      </c>
      <c r="E54" s="1">
        <v>24854.05</v>
      </c>
      <c r="F54" s="1">
        <v>2.90855392E8</v>
      </c>
      <c r="G54" s="1">
        <v>31772.76</v>
      </c>
      <c r="H54" s="7">
        <v>0.004210126526019379</v>
      </c>
    </row>
    <row r="55">
      <c r="A55" s="9">
        <v>45586.0</v>
      </c>
      <c r="B55" s="1">
        <v>24956.15</v>
      </c>
      <c r="C55" s="1">
        <v>24978.3</v>
      </c>
      <c r="D55" s="1">
        <v>24679.6</v>
      </c>
      <c r="E55" s="1">
        <v>24781.1</v>
      </c>
      <c r="F55" s="1">
        <v>2.41978957E8</v>
      </c>
      <c r="G55" s="1">
        <v>32207.22</v>
      </c>
      <c r="H55" s="7">
        <v>-0.0029351353199981787</v>
      </c>
    </row>
    <row r="56">
      <c r="A56" s="9">
        <v>45587.0</v>
      </c>
      <c r="B56" s="1">
        <v>24798.65</v>
      </c>
      <c r="C56" s="1">
        <v>24882.0</v>
      </c>
      <c r="D56" s="1">
        <v>24445.8</v>
      </c>
      <c r="E56" s="1">
        <v>24472.1</v>
      </c>
      <c r="F56" s="1">
        <v>2.79484697E8</v>
      </c>
      <c r="G56" s="1">
        <v>32801.59</v>
      </c>
      <c r="H56" s="7">
        <v>-0.012469180141317376</v>
      </c>
    </row>
    <row r="57">
      <c r="A57" s="9">
        <v>45588.0</v>
      </c>
      <c r="B57" s="1">
        <v>24378.15</v>
      </c>
      <c r="C57" s="1">
        <v>24604.25</v>
      </c>
      <c r="D57" s="1">
        <v>24378.1</v>
      </c>
      <c r="E57" s="1">
        <v>24435.5</v>
      </c>
      <c r="F57" s="1">
        <v>2.84556771E8</v>
      </c>
      <c r="G57" s="1">
        <v>31928.1</v>
      </c>
      <c r="H57" s="7">
        <v>-0.0014955806816741737</v>
      </c>
    </row>
    <row r="58">
      <c r="A58" s="9">
        <v>45589.0</v>
      </c>
      <c r="B58" s="1">
        <v>24412.7</v>
      </c>
      <c r="C58" s="1">
        <v>24480.65</v>
      </c>
      <c r="D58" s="1">
        <v>24341.2</v>
      </c>
      <c r="E58" s="1">
        <v>24399.4</v>
      </c>
      <c r="F58" s="1">
        <v>2.16686434E8</v>
      </c>
      <c r="G58" s="1">
        <v>27817.66</v>
      </c>
      <c r="H58" s="7">
        <v>-0.0014773587608192403</v>
      </c>
    </row>
    <row r="59">
      <c r="A59" s="9">
        <v>45590.0</v>
      </c>
      <c r="B59" s="1">
        <v>24418.05</v>
      </c>
      <c r="C59" s="1">
        <v>24440.25</v>
      </c>
      <c r="D59" s="1">
        <v>24073.9</v>
      </c>
      <c r="E59" s="1">
        <v>24180.8</v>
      </c>
      <c r="F59" s="1">
        <v>3.72642214E8</v>
      </c>
      <c r="G59" s="1">
        <v>37068.91</v>
      </c>
      <c r="H59" s="7">
        <v>-0.008959236702541954</v>
      </c>
    </row>
    <row r="60">
      <c r="A60" s="9">
        <v>45593.0</v>
      </c>
      <c r="B60" s="1">
        <v>24251.1</v>
      </c>
      <c r="C60" s="1">
        <v>24492.6</v>
      </c>
      <c r="D60" s="1">
        <v>24134.9</v>
      </c>
      <c r="E60" s="1">
        <v>24339.15</v>
      </c>
      <c r="F60" s="1">
        <v>2.78562235E8</v>
      </c>
      <c r="G60" s="1">
        <v>28136.06</v>
      </c>
      <c r="H60" s="7">
        <v>0.006548584000529436</v>
      </c>
    </row>
    <row r="61">
      <c r="A61" s="9">
        <v>45594.0</v>
      </c>
      <c r="B61" s="1">
        <v>24328.85</v>
      </c>
      <c r="C61" s="1">
        <v>24484.5</v>
      </c>
      <c r="D61" s="1">
        <v>24140.85</v>
      </c>
      <c r="E61" s="1">
        <v>24466.85</v>
      </c>
      <c r="F61" s="1">
        <v>3.3204469E8</v>
      </c>
      <c r="G61" s="1">
        <v>35579.48</v>
      </c>
      <c r="H61" s="7">
        <v>0.005246691030705554</v>
      </c>
    </row>
    <row r="62">
      <c r="A62" s="9">
        <v>45595.0</v>
      </c>
      <c r="B62" s="1">
        <v>24371.45</v>
      </c>
      <c r="C62" s="1">
        <v>24498.2</v>
      </c>
      <c r="D62" s="1">
        <v>24307.3</v>
      </c>
      <c r="E62" s="1">
        <v>24340.85</v>
      </c>
      <c r="F62" s="1">
        <v>2.85196335E8</v>
      </c>
      <c r="G62" s="1">
        <v>31068.7</v>
      </c>
      <c r="H62" s="7">
        <v>-0.00514982517160975</v>
      </c>
    </row>
    <row r="63">
      <c r="A63" s="9">
        <v>45596.0</v>
      </c>
      <c r="B63" s="1">
        <v>24349.85</v>
      </c>
      <c r="C63" s="1">
        <v>24372.45</v>
      </c>
      <c r="D63" s="1">
        <v>24172.6</v>
      </c>
      <c r="E63" s="1">
        <v>24205.35</v>
      </c>
      <c r="F63" s="1">
        <v>2.87007588E8</v>
      </c>
      <c r="G63" s="1">
        <v>33403.89</v>
      </c>
      <c r="H63" s="7">
        <v>-0.005566773551457735</v>
      </c>
    </row>
    <row r="64">
      <c r="A64" s="3">
        <v>45597.0</v>
      </c>
      <c r="B64" s="1">
        <v>24302.75</v>
      </c>
      <c r="C64" s="1">
        <v>24368.25</v>
      </c>
      <c r="D64" s="1">
        <v>24280.2</v>
      </c>
      <c r="E64" s="1">
        <v>24304.35</v>
      </c>
      <c r="F64" s="1">
        <v>3.8811387E7</v>
      </c>
      <c r="G64" s="1">
        <v>3348.45</v>
      </c>
      <c r="H64" s="7">
        <v>0.004090004895611921</v>
      </c>
    </row>
    <row r="65">
      <c r="A65" s="3">
        <v>45600.0</v>
      </c>
      <c r="B65" s="1">
        <v>24315.75</v>
      </c>
      <c r="C65" s="1">
        <v>24316.75</v>
      </c>
      <c r="D65" s="1">
        <v>23816.15</v>
      </c>
      <c r="E65" s="1">
        <v>23995.35</v>
      </c>
      <c r="F65" s="1">
        <v>2.85531635E8</v>
      </c>
      <c r="G65" s="1">
        <v>31561.52</v>
      </c>
      <c r="H65" s="7">
        <v>-0.012713773460306488</v>
      </c>
    </row>
    <row r="66">
      <c r="A66" s="3">
        <v>45601.0</v>
      </c>
      <c r="B66" s="1">
        <v>23916.5</v>
      </c>
      <c r="C66" s="1">
        <v>24229.05</v>
      </c>
      <c r="D66" s="1">
        <v>23842.75</v>
      </c>
      <c r="E66" s="1">
        <v>24213.3</v>
      </c>
      <c r="F66" s="1">
        <v>2.89511197E8</v>
      </c>
      <c r="G66" s="1">
        <v>30074.77</v>
      </c>
      <c r="H66" s="7">
        <v>0.009083009833155204</v>
      </c>
    </row>
    <row r="67">
      <c r="A67" s="3">
        <v>45602.0</v>
      </c>
      <c r="B67" s="1">
        <v>24308.75</v>
      </c>
      <c r="C67" s="1">
        <v>24537.6</v>
      </c>
      <c r="D67" s="1">
        <v>24204.05</v>
      </c>
      <c r="E67" s="1">
        <v>24484.05</v>
      </c>
      <c r="F67" s="1">
        <v>3.51082031E8</v>
      </c>
      <c r="G67" s="1">
        <v>34108.84</v>
      </c>
      <c r="H67" s="7">
        <v>0.011181871120417292</v>
      </c>
    </row>
    <row r="68">
      <c r="A68" s="3">
        <v>45603.0</v>
      </c>
      <c r="B68" s="1">
        <v>24489.6</v>
      </c>
      <c r="C68" s="1">
        <v>24503.35</v>
      </c>
      <c r="D68" s="1">
        <v>24179.05</v>
      </c>
      <c r="E68" s="1">
        <v>24199.35</v>
      </c>
      <c r="F68" s="1">
        <v>3.22185588E8</v>
      </c>
      <c r="G68" s="1">
        <v>30971.89</v>
      </c>
      <c r="H68" s="7">
        <v>-0.01162797821438858</v>
      </c>
    </row>
    <row r="69">
      <c r="A69" s="3">
        <v>45604.0</v>
      </c>
      <c r="B69" s="1">
        <v>24207.7</v>
      </c>
      <c r="C69" s="1">
        <v>24276.15</v>
      </c>
      <c r="D69" s="1">
        <v>24066.65</v>
      </c>
      <c r="E69" s="1">
        <v>24148.2</v>
      </c>
      <c r="F69" s="1">
        <v>2.98725122E8</v>
      </c>
      <c r="G69" s="1">
        <v>27670.3</v>
      </c>
      <c r="H69" s="7">
        <v>-0.0021136931363858044</v>
      </c>
    </row>
    <row r="70">
      <c r="A70" s="9">
        <v>45607.0</v>
      </c>
      <c r="B70" s="1">
        <v>24087.25</v>
      </c>
      <c r="C70" s="1">
        <v>24336.8</v>
      </c>
      <c r="D70" s="1">
        <v>24004.6</v>
      </c>
      <c r="E70" s="1">
        <v>24141.3</v>
      </c>
      <c r="F70" s="1">
        <v>2.73370562E8</v>
      </c>
      <c r="G70" s="1">
        <v>26600.28</v>
      </c>
      <c r="H70" s="7">
        <v>-2.857355827764163E-4</v>
      </c>
    </row>
    <row r="71">
      <c r="A71" s="9">
        <v>45608.0</v>
      </c>
      <c r="B71" s="1">
        <v>24225.8</v>
      </c>
      <c r="C71" s="1">
        <v>24242.0</v>
      </c>
      <c r="D71" s="1">
        <v>23839.15</v>
      </c>
      <c r="E71" s="1">
        <v>23883.45</v>
      </c>
      <c r="F71" s="1">
        <v>2.55825829E8</v>
      </c>
      <c r="G71" s="1">
        <v>26852.73</v>
      </c>
      <c r="H71" s="7">
        <v>-0.010680866399075383</v>
      </c>
    </row>
    <row r="72">
      <c r="A72" s="9">
        <v>45609.0</v>
      </c>
      <c r="B72" s="1">
        <v>23822.45</v>
      </c>
      <c r="C72" s="1">
        <v>23873.6</v>
      </c>
      <c r="D72" s="1">
        <v>23509.6</v>
      </c>
      <c r="E72" s="1">
        <v>23559.05</v>
      </c>
      <c r="F72" s="1">
        <v>3.04569316E8</v>
      </c>
      <c r="G72" s="1">
        <v>27765.81</v>
      </c>
      <c r="H72" s="7">
        <v>-0.013582627300494754</v>
      </c>
    </row>
    <row r="73">
      <c r="A73" s="9">
        <v>45610.0</v>
      </c>
      <c r="B73" s="1">
        <v>23542.15</v>
      </c>
      <c r="C73" s="1">
        <v>23675.9</v>
      </c>
      <c r="D73" s="1">
        <v>23484.15</v>
      </c>
      <c r="E73" s="1">
        <v>23532.7</v>
      </c>
      <c r="F73" s="1">
        <v>2.57708474E8</v>
      </c>
      <c r="G73" s="1">
        <v>24814.37</v>
      </c>
      <c r="H73" s="7">
        <v>-0.001118466152073133</v>
      </c>
    </row>
    <row r="74">
      <c r="A74" s="9">
        <v>45614.0</v>
      </c>
      <c r="B74" s="1">
        <v>23605.3</v>
      </c>
      <c r="C74" s="1">
        <v>23606.8</v>
      </c>
      <c r="D74" s="1">
        <v>23350.4</v>
      </c>
      <c r="E74" s="1">
        <v>23453.8</v>
      </c>
      <c r="F74" s="1">
        <v>2.63311912E8</v>
      </c>
      <c r="G74" s="1">
        <v>25257.33</v>
      </c>
      <c r="H74" s="7">
        <v>-0.003352781448792593</v>
      </c>
    </row>
    <row r="75">
      <c r="A75" s="9">
        <v>45615.0</v>
      </c>
      <c r="B75" s="1">
        <v>23529.55</v>
      </c>
      <c r="C75" s="1">
        <v>23780.65</v>
      </c>
      <c r="D75" s="1">
        <v>23464.8</v>
      </c>
      <c r="E75" s="1">
        <v>23518.5</v>
      </c>
      <c r="F75" s="1">
        <v>2.97477279E8</v>
      </c>
      <c r="G75" s="1">
        <v>30486.78</v>
      </c>
      <c r="H75" s="7">
        <v>0.002758614808687749</v>
      </c>
    </row>
    <row r="76">
      <c r="A76" s="9">
        <v>45617.0</v>
      </c>
      <c r="B76" s="1">
        <v>23488.45</v>
      </c>
      <c r="C76" s="1">
        <v>23507.3</v>
      </c>
      <c r="D76" s="1">
        <v>23263.15</v>
      </c>
      <c r="E76" s="1">
        <v>23349.9</v>
      </c>
      <c r="F76" s="1">
        <v>4.20332354E8</v>
      </c>
      <c r="G76" s="1">
        <v>40900.89</v>
      </c>
      <c r="H76" s="7">
        <v>-0.007168824542381468</v>
      </c>
    </row>
    <row r="77">
      <c r="A77" s="9">
        <v>45618.0</v>
      </c>
      <c r="B77" s="1">
        <v>23411.8</v>
      </c>
      <c r="C77" s="1">
        <v>23956.1</v>
      </c>
      <c r="D77" s="1">
        <v>23359.0</v>
      </c>
      <c r="E77" s="1">
        <v>23907.25</v>
      </c>
      <c r="F77" s="1">
        <v>3.67562789E8</v>
      </c>
      <c r="G77" s="1">
        <v>39257.52</v>
      </c>
      <c r="H77" s="7">
        <v>0.023869481239748285</v>
      </c>
    </row>
    <row r="78">
      <c r="A78" s="9">
        <v>45621.0</v>
      </c>
      <c r="B78" s="1">
        <v>24253.55</v>
      </c>
      <c r="C78" s="1">
        <v>24351.55</v>
      </c>
      <c r="D78" s="1">
        <v>24135.45</v>
      </c>
      <c r="E78" s="1">
        <v>24221.9</v>
      </c>
      <c r="F78" s="1">
        <v>6.87172787E8</v>
      </c>
      <c r="G78" s="1">
        <v>85975.81</v>
      </c>
      <c r="H78" s="7">
        <v>0.01316127952817666</v>
      </c>
    </row>
    <row r="79">
      <c r="A79" s="9">
        <v>45622.0</v>
      </c>
      <c r="B79" s="1">
        <v>24343.3</v>
      </c>
      <c r="C79" s="1">
        <v>24343.3</v>
      </c>
      <c r="D79" s="1">
        <v>24125.4</v>
      </c>
      <c r="E79" s="1">
        <v>24194.5</v>
      </c>
      <c r="F79" s="1">
        <v>2.30691771E8</v>
      </c>
      <c r="G79" s="1">
        <v>24140.67</v>
      </c>
      <c r="H79" s="7">
        <v>-0.0011312077087264605</v>
      </c>
    </row>
    <row r="80">
      <c r="A80" s="9">
        <v>45623.0</v>
      </c>
      <c r="B80" s="1">
        <v>24204.8</v>
      </c>
      <c r="C80" s="1">
        <v>24354.55</v>
      </c>
      <c r="D80" s="1">
        <v>24145.65</v>
      </c>
      <c r="E80" s="1">
        <v>24274.9</v>
      </c>
      <c r="F80" s="1">
        <v>2.95011445E8</v>
      </c>
      <c r="G80" s="1">
        <v>31149.09</v>
      </c>
      <c r="H80" s="7">
        <v>0.003323069292607884</v>
      </c>
    </row>
    <row r="81">
      <c r="A81" s="9">
        <v>45624.0</v>
      </c>
      <c r="B81" s="1">
        <v>24274.15</v>
      </c>
      <c r="C81" s="1">
        <v>24345.75</v>
      </c>
      <c r="D81" s="1">
        <v>23873.35</v>
      </c>
      <c r="E81" s="1">
        <v>23914.15</v>
      </c>
      <c r="F81" s="1">
        <v>3.667453E8</v>
      </c>
      <c r="G81" s="1">
        <v>41198.27</v>
      </c>
      <c r="H81" s="7">
        <v>-0.014861029293632517</v>
      </c>
    </row>
    <row r="82">
      <c r="A82" s="9">
        <v>45625.0</v>
      </c>
      <c r="B82" s="1">
        <v>23927.15</v>
      </c>
      <c r="C82" s="1">
        <v>24188.45</v>
      </c>
      <c r="D82" s="1">
        <v>23927.15</v>
      </c>
      <c r="E82" s="1">
        <v>24131.1</v>
      </c>
      <c r="F82" s="1">
        <v>2.82104071E8</v>
      </c>
      <c r="G82" s="1">
        <v>30509.98</v>
      </c>
      <c r="H82" s="7">
        <v>0.009072034757664273</v>
      </c>
    </row>
    <row r="83">
      <c r="A83" s="3">
        <v>45628.0</v>
      </c>
      <c r="B83" s="1">
        <v>24140.85</v>
      </c>
      <c r="C83" s="1">
        <v>24301.7</v>
      </c>
      <c r="D83" s="1">
        <v>24008.65</v>
      </c>
      <c r="E83" s="1">
        <v>24276.05</v>
      </c>
      <c r="F83" s="1">
        <v>2.20384187E8</v>
      </c>
      <c r="G83" s="1">
        <v>23162.75</v>
      </c>
      <c r="H83" s="7">
        <v>0.006006771344862055</v>
      </c>
    </row>
    <row r="84">
      <c r="A84" s="3">
        <v>45629.0</v>
      </c>
      <c r="B84" s="1">
        <v>24367.5</v>
      </c>
      <c r="C84" s="1">
        <v>24481.35</v>
      </c>
      <c r="D84" s="1">
        <v>24280.0</v>
      </c>
      <c r="E84" s="1">
        <v>24457.15</v>
      </c>
      <c r="F84" s="1">
        <v>3.39470947E8</v>
      </c>
      <c r="G84" s="1">
        <v>34228.3</v>
      </c>
      <c r="H84" s="7">
        <v>0.007460027475639661</v>
      </c>
    </row>
    <row r="85">
      <c r="A85" s="3">
        <v>45630.0</v>
      </c>
      <c r="B85" s="1">
        <v>24488.75</v>
      </c>
      <c r="C85" s="1">
        <v>24573.2</v>
      </c>
      <c r="D85" s="1">
        <v>24366.3</v>
      </c>
      <c r="E85" s="1">
        <v>24467.45</v>
      </c>
      <c r="F85" s="1">
        <v>3.48003156E8</v>
      </c>
      <c r="G85" s="1">
        <v>34639.78</v>
      </c>
      <c r="H85" s="7">
        <v>4.211447368151756E-4</v>
      </c>
    </row>
    <row r="86">
      <c r="A86" s="3">
        <v>45631.0</v>
      </c>
      <c r="B86" s="1">
        <v>24539.15</v>
      </c>
      <c r="C86" s="1">
        <v>24857.75</v>
      </c>
      <c r="D86" s="1">
        <v>24295.55</v>
      </c>
      <c r="E86" s="1">
        <v>24708.4</v>
      </c>
      <c r="F86" s="1">
        <v>3.6146992E8</v>
      </c>
      <c r="G86" s="1">
        <v>40471.33</v>
      </c>
      <c r="H86" s="7">
        <v>0.009847777353177415</v>
      </c>
    </row>
    <row r="87">
      <c r="A87" s="3">
        <v>45632.0</v>
      </c>
      <c r="B87" s="1">
        <v>24729.45</v>
      </c>
      <c r="C87" s="1">
        <v>24751.05</v>
      </c>
      <c r="D87" s="1">
        <v>24620.5</v>
      </c>
      <c r="E87" s="1">
        <v>24677.8</v>
      </c>
      <c r="F87" s="1">
        <v>2.26731303E8</v>
      </c>
      <c r="G87" s="1">
        <v>23904.13</v>
      </c>
      <c r="H87" s="7">
        <v>-0.0012384452251057204</v>
      </c>
    </row>
    <row r="88">
      <c r="A88" s="3">
        <v>45635.0</v>
      </c>
      <c r="B88" s="1">
        <v>24633.9</v>
      </c>
      <c r="C88" s="1">
        <v>24705.0</v>
      </c>
      <c r="D88" s="1">
        <v>24580.05</v>
      </c>
      <c r="E88" s="1">
        <v>24619.0</v>
      </c>
      <c r="F88" s="1">
        <v>2.48139308E8</v>
      </c>
      <c r="G88" s="1">
        <v>25099.79</v>
      </c>
      <c r="H88" s="7">
        <v>-0.0023827083451522938</v>
      </c>
    </row>
    <row r="89">
      <c r="A89" s="9">
        <v>45636.0</v>
      </c>
      <c r="B89" s="1">
        <v>24652.65</v>
      </c>
      <c r="C89" s="1">
        <v>24677.8</v>
      </c>
      <c r="D89" s="1">
        <v>24510.65</v>
      </c>
      <c r="E89" s="1">
        <v>24610.05</v>
      </c>
      <c r="F89" s="1">
        <v>2.61048951E8</v>
      </c>
      <c r="G89" s="1">
        <v>26093.38</v>
      </c>
      <c r="H89" s="7">
        <v>-3.635403550103874E-4</v>
      </c>
    </row>
    <row r="90">
      <c r="A90" s="9">
        <v>45637.0</v>
      </c>
      <c r="B90" s="1">
        <v>24620.5</v>
      </c>
      <c r="C90" s="1">
        <v>24691.75</v>
      </c>
      <c r="D90" s="1">
        <v>24583.85</v>
      </c>
      <c r="E90" s="1">
        <v>24641.8</v>
      </c>
      <c r="F90" s="1">
        <v>1.87252712E8</v>
      </c>
      <c r="G90" s="1">
        <v>21592.23</v>
      </c>
      <c r="H90" s="7">
        <v>0.00129012334391844</v>
      </c>
    </row>
    <row r="91">
      <c r="A91" s="9">
        <v>45638.0</v>
      </c>
      <c r="B91" s="1">
        <v>24604.45</v>
      </c>
      <c r="C91" s="1">
        <v>24675.25</v>
      </c>
      <c r="D91" s="1">
        <v>24527.95</v>
      </c>
      <c r="E91" s="1">
        <v>24548.7</v>
      </c>
      <c r="F91" s="1">
        <v>2.66051129E8</v>
      </c>
      <c r="G91" s="1">
        <v>28235.17</v>
      </c>
      <c r="H91" s="7">
        <v>-0.00377813309092674</v>
      </c>
    </row>
    <row r="92">
      <c r="A92" s="9">
        <v>45639.0</v>
      </c>
      <c r="B92" s="1">
        <v>24498.35</v>
      </c>
      <c r="C92" s="1">
        <v>24792.3</v>
      </c>
      <c r="D92" s="1">
        <v>24180.8</v>
      </c>
      <c r="E92" s="1">
        <v>24768.3</v>
      </c>
      <c r="F92" s="1">
        <v>3.10080852E8</v>
      </c>
      <c r="G92" s="1">
        <v>30429.73</v>
      </c>
      <c r="H92" s="7">
        <v>0.008945483874909814</v>
      </c>
    </row>
    <row r="93">
      <c r="A93" s="9">
        <v>45642.0</v>
      </c>
      <c r="B93" s="1">
        <v>24753.4</v>
      </c>
      <c r="C93" s="1">
        <v>24781.25</v>
      </c>
      <c r="D93" s="1">
        <v>24601.75</v>
      </c>
      <c r="E93" s="1">
        <v>24668.25</v>
      </c>
      <c r="F93" s="1">
        <v>1.87551629E8</v>
      </c>
      <c r="G93" s="1">
        <v>18608.23</v>
      </c>
      <c r="H93" s="7">
        <v>-0.004039437506813115</v>
      </c>
    </row>
    <row r="94">
      <c r="A94" s="9">
        <v>45643.0</v>
      </c>
      <c r="B94" s="1">
        <v>24584.8</v>
      </c>
      <c r="C94" s="1">
        <v>24624.1</v>
      </c>
      <c r="D94" s="1">
        <v>24303.45</v>
      </c>
      <c r="E94" s="1">
        <v>24336.0</v>
      </c>
      <c r="F94" s="1">
        <v>2.64881033E8</v>
      </c>
      <c r="G94" s="1">
        <v>26765.16</v>
      </c>
      <c r="H94" s="7">
        <v>-0.013468730047733423</v>
      </c>
    </row>
    <row r="95">
      <c r="A95" s="9">
        <v>45644.0</v>
      </c>
      <c r="B95" s="1">
        <v>24297.95</v>
      </c>
      <c r="C95" s="1">
        <v>24394.45</v>
      </c>
      <c r="D95" s="1">
        <v>24149.85</v>
      </c>
      <c r="E95" s="1">
        <v>24198.85</v>
      </c>
      <c r="F95" s="1">
        <v>2.35346534E8</v>
      </c>
      <c r="G95" s="1">
        <v>23315.92</v>
      </c>
      <c r="H95" s="7">
        <v>-0.0056356837606838205</v>
      </c>
    </row>
    <row r="96">
      <c r="A96" s="9">
        <v>45645.0</v>
      </c>
      <c r="B96" s="1">
        <v>23877.15</v>
      </c>
      <c r="C96" s="1">
        <v>24004.9</v>
      </c>
      <c r="D96" s="1">
        <v>23870.3</v>
      </c>
      <c r="E96" s="1">
        <v>23951.7</v>
      </c>
      <c r="F96" s="1">
        <v>2.71128027E8</v>
      </c>
      <c r="G96" s="1">
        <v>27815.23</v>
      </c>
      <c r="H96" s="7">
        <v>-0.010213295259898624</v>
      </c>
    </row>
    <row r="97">
      <c r="A97" s="9">
        <v>45646.0</v>
      </c>
      <c r="B97" s="1">
        <v>23960.7</v>
      </c>
      <c r="C97" s="1">
        <v>24065.8</v>
      </c>
      <c r="D97" s="1">
        <v>23537.35</v>
      </c>
      <c r="E97" s="1">
        <v>23587.5</v>
      </c>
      <c r="F97" s="1">
        <v>4.42714411E8</v>
      </c>
      <c r="G97" s="1">
        <v>47084.68</v>
      </c>
      <c r="H97" s="7">
        <v>-0.01520560127256106</v>
      </c>
    </row>
    <row r="98">
      <c r="A98" s="9">
        <v>45649.0</v>
      </c>
      <c r="B98" s="1">
        <v>23738.2</v>
      </c>
      <c r="C98" s="1">
        <v>23869.55</v>
      </c>
      <c r="D98" s="1">
        <v>23647.2</v>
      </c>
      <c r="E98" s="1">
        <v>23753.45</v>
      </c>
      <c r="F98" s="1">
        <v>1.89758237E8</v>
      </c>
      <c r="G98" s="1">
        <v>18243.28</v>
      </c>
      <c r="H98" s="7">
        <v>0.007035506094329655</v>
      </c>
    </row>
    <row r="99">
      <c r="A99" s="9">
        <v>45650.0</v>
      </c>
      <c r="B99" s="1">
        <v>23769.1</v>
      </c>
      <c r="C99" s="1">
        <v>23867.65</v>
      </c>
      <c r="D99" s="1">
        <v>23685.15</v>
      </c>
      <c r="E99" s="1">
        <v>23727.65</v>
      </c>
      <c r="F99" s="1">
        <v>1.77664746E8</v>
      </c>
      <c r="G99" s="1">
        <v>16010.71</v>
      </c>
      <c r="H99" s="7">
        <v>-0.0010861580107310422</v>
      </c>
    </row>
    <row r="100">
      <c r="A100" s="9">
        <v>45652.0</v>
      </c>
      <c r="B100" s="1">
        <v>23775.8</v>
      </c>
      <c r="C100" s="1">
        <v>23854.5</v>
      </c>
      <c r="D100" s="1">
        <v>23653.6</v>
      </c>
      <c r="E100" s="1">
        <v>23750.2</v>
      </c>
      <c r="F100" s="1">
        <v>1.77681783E8</v>
      </c>
      <c r="G100" s="1">
        <v>16695.1</v>
      </c>
      <c r="H100" s="7">
        <v>9.5036803054661E-4</v>
      </c>
    </row>
    <row r="101">
      <c r="A101" s="9">
        <v>45653.0</v>
      </c>
      <c r="B101" s="1">
        <v>23801.4</v>
      </c>
      <c r="C101" s="1">
        <v>23938.85</v>
      </c>
      <c r="D101" s="1">
        <v>23800.6</v>
      </c>
      <c r="E101" s="1">
        <v>23813.4</v>
      </c>
      <c r="F101" s="1">
        <v>1.76821521E8</v>
      </c>
      <c r="G101" s="1">
        <v>17164.99</v>
      </c>
      <c r="H101" s="7">
        <v>0.0026610302229034166</v>
      </c>
    </row>
    <row r="102">
      <c r="A102" s="9">
        <v>45656.0</v>
      </c>
      <c r="B102" s="1">
        <v>23796.9</v>
      </c>
      <c r="C102" s="1">
        <v>23915.35</v>
      </c>
      <c r="D102" s="1">
        <v>23599.3</v>
      </c>
      <c r="E102" s="1">
        <v>23644.9</v>
      </c>
      <c r="F102" s="1">
        <v>3.64929453E8</v>
      </c>
      <c r="G102" s="1">
        <v>33823.95</v>
      </c>
      <c r="H102" s="7">
        <v>-0.007075848051937144</v>
      </c>
    </row>
    <row r="103">
      <c r="A103" s="9">
        <v>45657.0</v>
      </c>
      <c r="B103" s="1">
        <v>23560.6</v>
      </c>
      <c r="C103" s="1">
        <v>23689.85</v>
      </c>
      <c r="D103" s="1">
        <v>23460.45</v>
      </c>
      <c r="E103" s="1">
        <v>23644.8</v>
      </c>
      <c r="F103" s="1">
        <v>1.93627727E8</v>
      </c>
      <c r="G103" s="1">
        <v>18646.79</v>
      </c>
      <c r="H103" s="7">
        <v>-4.2292418239105594E-6</v>
      </c>
    </row>
    <row r="104">
      <c r="A104" s="3">
        <v>45658.0</v>
      </c>
      <c r="B104" s="1">
        <v>23637.65</v>
      </c>
      <c r="C104" s="1">
        <v>23822.8</v>
      </c>
      <c r="D104" s="1">
        <v>23562.8</v>
      </c>
      <c r="E104" s="1">
        <v>23742.9</v>
      </c>
      <c r="F104" s="1">
        <v>1.54921938E8</v>
      </c>
      <c r="G104" s="1">
        <v>14266.26</v>
      </c>
      <c r="H104" s="7">
        <v>0.004148903775883162</v>
      </c>
    </row>
    <row r="105">
      <c r="A105" s="3">
        <v>45659.0</v>
      </c>
      <c r="B105" s="1">
        <v>23783.0</v>
      </c>
      <c r="C105" s="1">
        <v>24226.7</v>
      </c>
      <c r="D105" s="1">
        <v>23751.55</v>
      </c>
      <c r="E105" s="1">
        <v>24188.65</v>
      </c>
      <c r="F105" s="1">
        <v>2.83200811E8</v>
      </c>
      <c r="G105" s="1">
        <v>32237.25</v>
      </c>
      <c r="H105" s="7">
        <v>0.01877403350054121</v>
      </c>
    </row>
    <row r="106">
      <c r="A106" s="3">
        <v>45660.0</v>
      </c>
      <c r="B106" s="1">
        <v>24196.4</v>
      </c>
      <c r="C106" s="1">
        <v>24196.45</v>
      </c>
      <c r="D106" s="1">
        <v>23976.0</v>
      </c>
      <c r="E106" s="1">
        <v>24004.75</v>
      </c>
      <c r="F106" s="1">
        <v>3.12279515E8</v>
      </c>
      <c r="G106" s="1">
        <v>29411.99</v>
      </c>
      <c r="H106" s="7">
        <v>-0.0076027393012839265</v>
      </c>
    </row>
    <row r="107">
      <c r="A107" s="3">
        <v>45663.0</v>
      </c>
      <c r="B107" s="1">
        <v>24045.8</v>
      </c>
      <c r="C107" s="1">
        <v>24089.95</v>
      </c>
      <c r="D107" s="1">
        <v>23551.9</v>
      </c>
      <c r="E107" s="1">
        <v>23616.05</v>
      </c>
      <c r="F107" s="1">
        <v>2.78061806E8</v>
      </c>
      <c r="G107" s="1">
        <v>25853.64</v>
      </c>
      <c r="H107" s="7">
        <v>-0.016192628542267707</v>
      </c>
    </row>
    <row r="108">
      <c r="A108" s="3">
        <v>45664.0</v>
      </c>
      <c r="B108" s="1">
        <v>23679.9</v>
      </c>
      <c r="C108" s="1">
        <v>23795.2</v>
      </c>
      <c r="D108" s="1">
        <v>23637.8</v>
      </c>
      <c r="E108" s="1">
        <v>23707.9</v>
      </c>
      <c r="F108" s="1">
        <v>2.62337253E8</v>
      </c>
      <c r="G108" s="1">
        <v>22485.65</v>
      </c>
      <c r="H108" s="7">
        <v>0.003889304096155038</v>
      </c>
    </row>
    <row r="109">
      <c r="A109" s="3">
        <v>45665.0</v>
      </c>
      <c r="B109" s="1">
        <v>23746.65</v>
      </c>
      <c r="C109" s="1">
        <v>23751.85</v>
      </c>
      <c r="D109" s="1">
        <v>23496.15</v>
      </c>
      <c r="E109" s="1">
        <v>23688.95</v>
      </c>
      <c r="F109" s="1">
        <v>2.66375381E8</v>
      </c>
      <c r="G109" s="1">
        <v>24718.54</v>
      </c>
      <c r="H109" s="7">
        <v>-7.993116218644725E-4</v>
      </c>
    </row>
    <row r="110">
      <c r="A110" s="3">
        <v>45666.0</v>
      </c>
      <c r="B110" s="1">
        <v>23674.75</v>
      </c>
      <c r="C110" s="1">
        <v>23689.5</v>
      </c>
      <c r="D110" s="1">
        <v>23503.05</v>
      </c>
      <c r="E110" s="1">
        <v>23526.5</v>
      </c>
      <c r="F110" s="1">
        <v>2.69239831E8</v>
      </c>
      <c r="G110" s="1">
        <v>26793.85</v>
      </c>
      <c r="H110" s="7">
        <v>-0.006857627712498896</v>
      </c>
    </row>
    <row r="111">
      <c r="A111" s="9">
        <v>45667.0</v>
      </c>
      <c r="B111" s="1">
        <v>23551.9</v>
      </c>
      <c r="C111" s="1">
        <v>23596.6</v>
      </c>
      <c r="D111" s="1">
        <v>23344.35</v>
      </c>
      <c r="E111" s="1">
        <v>23431.5</v>
      </c>
      <c r="F111" s="1">
        <v>2.61022434E8</v>
      </c>
      <c r="G111" s="1">
        <v>25017.6</v>
      </c>
      <c r="H111" s="7">
        <v>-0.00403799970246318</v>
      </c>
    </row>
    <row r="112">
      <c r="A112" s="9">
        <v>45670.0</v>
      </c>
      <c r="B112" s="1">
        <v>23195.4</v>
      </c>
      <c r="C112" s="1">
        <v>23340.95</v>
      </c>
      <c r="D112" s="1">
        <v>23047.25</v>
      </c>
      <c r="E112" s="1">
        <v>23085.95</v>
      </c>
      <c r="F112" s="1">
        <v>3.16481107E8</v>
      </c>
      <c r="G112" s="1">
        <v>26890.37</v>
      </c>
      <c r="H112" s="7">
        <v>-0.014747241960608552</v>
      </c>
    </row>
    <row r="113">
      <c r="A113" s="9">
        <v>45671.0</v>
      </c>
      <c r="B113" s="1">
        <v>23165.9</v>
      </c>
      <c r="C113" s="1">
        <v>23264.95</v>
      </c>
      <c r="D113" s="1">
        <v>23134.15</v>
      </c>
      <c r="E113" s="1">
        <v>23176.05</v>
      </c>
      <c r="F113" s="1">
        <v>3.1123551E8</v>
      </c>
      <c r="G113" s="1">
        <v>31174.05</v>
      </c>
      <c r="H113" s="7">
        <v>0.0039028066854514777</v>
      </c>
    </row>
    <row r="114">
      <c r="A114" s="9">
        <v>45672.0</v>
      </c>
      <c r="B114" s="1">
        <v>23250.45</v>
      </c>
      <c r="C114" s="1">
        <v>23293.65</v>
      </c>
      <c r="D114" s="1">
        <v>23146.45</v>
      </c>
      <c r="E114" s="1">
        <v>23213.2</v>
      </c>
      <c r="F114" s="1">
        <v>2.28039156E8</v>
      </c>
      <c r="G114" s="1">
        <v>21587.78</v>
      </c>
      <c r="H114" s="7">
        <v>0.0016029478707545702</v>
      </c>
    </row>
    <row r="115">
      <c r="A115" s="9">
        <v>45673.0</v>
      </c>
      <c r="B115" s="1">
        <v>23377.25</v>
      </c>
      <c r="C115" s="1">
        <v>23391.65</v>
      </c>
      <c r="D115" s="1">
        <v>23272.05</v>
      </c>
      <c r="E115" s="1">
        <v>23311.8</v>
      </c>
      <c r="F115" s="1">
        <v>2.99416081E8</v>
      </c>
      <c r="G115" s="1">
        <v>29784.82</v>
      </c>
      <c r="H115" s="7">
        <v>0.004247583271586793</v>
      </c>
    </row>
    <row r="116">
      <c r="A116" s="9">
        <v>45674.0</v>
      </c>
      <c r="B116" s="1">
        <v>23277.1</v>
      </c>
      <c r="C116" s="1">
        <v>23292.1</v>
      </c>
      <c r="D116" s="1">
        <v>23100.35</v>
      </c>
      <c r="E116" s="1">
        <v>23203.2</v>
      </c>
      <c r="F116" s="1">
        <v>2.72945267E8</v>
      </c>
      <c r="G116" s="1">
        <v>27040.78</v>
      </c>
      <c r="H116" s="7">
        <v>-0.0046585849226571325</v>
      </c>
    </row>
    <row r="117">
      <c r="A117" s="9">
        <v>45677.0</v>
      </c>
      <c r="B117" s="1">
        <v>23290.4</v>
      </c>
      <c r="C117" s="1">
        <v>23391.1</v>
      </c>
      <c r="D117" s="1">
        <v>23170.65</v>
      </c>
      <c r="E117" s="1">
        <v>23344.75</v>
      </c>
      <c r="F117" s="1">
        <v>3.01455455E8</v>
      </c>
      <c r="G117" s="1">
        <v>27333.97</v>
      </c>
      <c r="H117" s="7">
        <v>0.006100451661839715</v>
      </c>
    </row>
    <row r="118">
      <c r="A118" s="9">
        <v>45678.0</v>
      </c>
      <c r="B118" s="1">
        <v>23421.65</v>
      </c>
      <c r="C118" s="1">
        <v>23426.3</v>
      </c>
      <c r="D118" s="1">
        <v>22976.85</v>
      </c>
      <c r="E118" s="1">
        <v>23024.65</v>
      </c>
      <c r="F118" s="1">
        <v>3.12871897E8</v>
      </c>
      <c r="G118" s="1">
        <v>30106.72</v>
      </c>
      <c r="H118" s="7">
        <v>-0.013711862410177815</v>
      </c>
    </row>
    <row r="119">
      <c r="A119" s="9">
        <v>45679.0</v>
      </c>
      <c r="B119" s="1">
        <v>23099.15</v>
      </c>
      <c r="C119" s="1">
        <v>23169.55</v>
      </c>
      <c r="D119" s="1">
        <v>22981.3</v>
      </c>
      <c r="E119" s="1">
        <v>23155.35</v>
      </c>
      <c r="F119" s="1">
        <v>2.75951918E8</v>
      </c>
      <c r="G119" s="1">
        <v>25462.05</v>
      </c>
      <c r="H119" s="7">
        <v>0.005676524941747088</v>
      </c>
    </row>
    <row r="120">
      <c r="A120" s="9">
        <v>45680.0</v>
      </c>
      <c r="B120" s="1">
        <v>23128.3</v>
      </c>
      <c r="C120" s="1">
        <v>23270.8</v>
      </c>
      <c r="D120" s="1">
        <v>23090.65</v>
      </c>
      <c r="E120" s="1">
        <v>23205.35</v>
      </c>
      <c r="F120" s="1">
        <v>2.75558357E8</v>
      </c>
      <c r="G120" s="1">
        <v>27723.78</v>
      </c>
      <c r="H120" s="7">
        <v>0.0021593281898135853</v>
      </c>
    </row>
    <row r="121">
      <c r="A121" s="9">
        <v>45681.0</v>
      </c>
      <c r="B121" s="1">
        <v>23183.9</v>
      </c>
      <c r="C121" s="1">
        <v>23347.3</v>
      </c>
      <c r="D121" s="1">
        <v>23050.0</v>
      </c>
      <c r="E121" s="1">
        <v>23092.2</v>
      </c>
      <c r="F121" s="1">
        <v>2.64336332E8</v>
      </c>
      <c r="G121" s="1">
        <v>24412.46</v>
      </c>
      <c r="H121" s="7">
        <v>-0.004876030742910485</v>
      </c>
    </row>
    <row r="122">
      <c r="A122" s="9">
        <v>45684.0</v>
      </c>
      <c r="B122" s="1">
        <v>22940.15</v>
      </c>
      <c r="C122" s="1">
        <v>23007.45</v>
      </c>
      <c r="D122" s="1">
        <v>22786.9</v>
      </c>
      <c r="E122" s="1">
        <v>22829.15</v>
      </c>
      <c r="F122" s="1">
        <v>2.5737279E8</v>
      </c>
      <c r="G122" s="1">
        <v>24202.41</v>
      </c>
      <c r="H122" s="7">
        <v>-0.011391292297832136</v>
      </c>
    </row>
    <row r="123">
      <c r="A123" s="9">
        <v>45685.0</v>
      </c>
      <c r="B123" s="1">
        <v>22960.45</v>
      </c>
      <c r="C123" s="1">
        <v>23137.95</v>
      </c>
      <c r="D123" s="1">
        <v>22857.65</v>
      </c>
      <c r="E123" s="1">
        <v>22957.25</v>
      </c>
      <c r="F123" s="1">
        <v>3.61868609E8</v>
      </c>
      <c r="G123" s="1">
        <v>33221.8</v>
      </c>
      <c r="H123" s="7">
        <v>0.005611247024089751</v>
      </c>
    </row>
    <row r="124">
      <c r="A124" s="9">
        <v>45686.0</v>
      </c>
      <c r="B124" s="1">
        <v>23026.75</v>
      </c>
      <c r="C124" s="1">
        <v>23183.35</v>
      </c>
      <c r="D124" s="1">
        <v>22976.5</v>
      </c>
      <c r="E124" s="1">
        <v>23163.1</v>
      </c>
      <c r="F124" s="1">
        <v>2.51208119E8</v>
      </c>
      <c r="G124" s="1">
        <v>22307.38</v>
      </c>
      <c r="H124" s="7">
        <v>0.008966666303673067</v>
      </c>
    </row>
    <row r="125">
      <c r="A125" s="9">
        <v>45687.0</v>
      </c>
      <c r="B125" s="1">
        <v>23169.5</v>
      </c>
      <c r="C125" s="1">
        <v>23322.05</v>
      </c>
      <c r="D125" s="1">
        <v>23139.2</v>
      </c>
      <c r="E125" s="1">
        <v>23249.5</v>
      </c>
      <c r="F125" s="1">
        <v>3.84687127E8</v>
      </c>
      <c r="G125" s="1">
        <v>35252.87</v>
      </c>
      <c r="H125" s="7">
        <v>0.00373007067275112</v>
      </c>
    </row>
    <row r="126">
      <c r="A126" s="9">
        <v>45688.0</v>
      </c>
      <c r="B126" s="1">
        <v>23296.75</v>
      </c>
      <c r="C126" s="1">
        <v>23546.8</v>
      </c>
      <c r="D126" s="1">
        <v>23277.4</v>
      </c>
      <c r="E126" s="1">
        <v>23508.4</v>
      </c>
      <c r="F126" s="1">
        <v>3.26919177E8</v>
      </c>
      <c r="G126" s="1">
        <v>28638.01</v>
      </c>
      <c r="H126" s="7">
        <v>0.011135723348889286</v>
      </c>
    </row>
    <row r="127">
      <c r="A127" s="3">
        <v>45689.0</v>
      </c>
      <c r="B127" s="1">
        <v>23528.6</v>
      </c>
      <c r="C127" s="1">
        <v>23632.45</v>
      </c>
      <c r="D127" s="1">
        <v>23318.3</v>
      </c>
      <c r="E127" s="1">
        <v>23482.15</v>
      </c>
      <c r="F127" s="1">
        <v>2.87703637E8</v>
      </c>
      <c r="G127" s="1">
        <v>25741.04</v>
      </c>
      <c r="H127" s="7">
        <v>-0.0011166221435742116</v>
      </c>
    </row>
    <row r="128">
      <c r="A128" s="3">
        <v>45691.0</v>
      </c>
      <c r="B128" s="1">
        <v>23319.35</v>
      </c>
      <c r="C128" s="1">
        <v>23381.6</v>
      </c>
      <c r="D128" s="1">
        <v>23222.0</v>
      </c>
      <c r="E128" s="1">
        <v>23361.05</v>
      </c>
      <c r="F128" s="1">
        <v>3.47241171E8</v>
      </c>
      <c r="G128" s="1">
        <v>32019.13</v>
      </c>
      <c r="H128" s="7">
        <v>-0.005157108697457523</v>
      </c>
    </row>
    <row r="129">
      <c r="A129" s="3">
        <v>45692.0</v>
      </c>
      <c r="B129" s="1">
        <v>23509.9</v>
      </c>
      <c r="C129" s="1">
        <v>23762.75</v>
      </c>
      <c r="D129" s="1">
        <v>23423.15</v>
      </c>
      <c r="E129" s="1">
        <v>23739.25</v>
      </c>
      <c r="F129" s="1">
        <v>3.76742506E8</v>
      </c>
      <c r="G129" s="1">
        <v>35974.3</v>
      </c>
      <c r="H129" s="7">
        <v>0.016189340804458736</v>
      </c>
    </row>
    <row r="130">
      <c r="A130" s="3">
        <v>45693.0</v>
      </c>
      <c r="B130" s="1">
        <v>23801.75</v>
      </c>
      <c r="C130" s="1">
        <v>23807.3</v>
      </c>
      <c r="D130" s="1">
        <v>23680.45</v>
      </c>
      <c r="E130" s="1">
        <v>23696.3</v>
      </c>
      <c r="F130" s="1">
        <v>2.67014345E8</v>
      </c>
      <c r="G130" s="1">
        <v>25806.44</v>
      </c>
      <c r="H130" s="7">
        <v>-0.0018092399717767296</v>
      </c>
    </row>
    <row r="131">
      <c r="A131" s="3">
        <v>45694.0</v>
      </c>
      <c r="B131" s="1">
        <v>23761.95</v>
      </c>
      <c r="C131" s="1">
        <v>23773.55</v>
      </c>
      <c r="D131" s="1">
        <v>23556.25</v>
      </c>
      <c r="E131" s="1">
        <v>23603.35</v>
      </c>
      <c r="F131" s="1">
        <v>3.06978683E8</v>
      </c>
      <c r="G131" s="1">
        <v>30885.59</v>
      </c>
      <c r="H131" s="7">
        <v>-0.0039225533100104544</v>
      </c>
    </row>
    <row r="132">
      <c r="A132" s="3">
        <v>45695.0</v>
      </c>
      <c r="B132" s="1">
        <v>23649.5</v>
      </c>
      <c r="C132" s="1">
        <v>23694.5</v>
      </c>
      <c r="D132" s="1">
        <v>23443.2</v>
      </c>
      <c r="E132" s="1">
        <v>23559.95</v>
      </c>
      <c r="F132" s="1">
        <v>3.68092482E8</v>
      </c>
      <c r="G132" s="1">
        <v>30042.0</v>
      </c>
      <c r="H132" s="7">
        <v>-0.0018387220458112013</v>
      </c>
    </row>
    <row r="133">
      <c r="A133" s="9">
        <v>45698.0</v>
      </c>
      <c r="B133" s="1">
        <v>23543.8</v>
      </c>
      <c r="C133" s="1">
        <v>23568.6</v>
      </c>
      <c r="D133" s="1">
        <v>23316.3</v>
      </c>
      <c r="E133" s="1">
        <v>23381.6</v>
      </c>
      <c r="F133" s="1">
        <v>2.25529166E8</v>
      </c>
      <c r="G133" s="1">
        <v>21254.72</v>
      </c>
      <c r="H133" s="7">
        <v>-0.00757005002132866</v>
      </c>
    </row>
    <row r="134">
      <c r="A134" s="9">
        <v>45699.0</v>
      </c>
      <c r="B134" s="1">
        <v>23383.55</v>
      </c>
      <c r="C134" s="1">
        <v>23390.05</v>
      </c>
      <c r="D134" s="1">
        <v>22986.65</v>
      </c>
      <c r="E134" s="1">
        <v>23071.8</v>
      </c>
      <c r="F134" s="1">
        <v>2.67969979E8</v>
      </c>
      <c r="G134" s="1">
        <v>27191.96</v>
      </c>
      <c r="H134" s="7">
        <v>-0.013249734834228593</v>
      </c>
    </row>
    <row r="135">
      <c r="A135" s="9">
        <v>45700.0</v>
      </c>
      <c r="B135" s="1">
        <v>23050.8</v>
      </c>
      <c r="C135" s="1">
        <v>23144.7</v>
      </c>
      <c r="D135" s="1">
        <v>22798.35</v>
      </c>
      <c r="E135" s="1">
        <v>23045.25</v>
      </c>
      <c r="F135" s="1">
        <v>2.79656513E8</v>
      </c>
      <c r="G135" s="1">
        <v>26989.94</v>
      </c>
      <c r="H135" s="7">
        <v>-0.001150755467713801</v>
      </c>
    </row>
    <row r="136">
      <c r="A136" s="9">
        <v>45701.0</v>
      </c>
      <c r="B136" s="1">
        <v>23055.75</v>
      </c>
      <c r="C136" s="1">
        <v>23235.5</v>
      </c>
      <c r="D136" s="1">
        <v>22992.2</v>
      </c>
      <c r="E136" s="1">
        <v>23031.4</v>
      </c>
      <c r="F136" s="1">
        <v>2.65706855E8</v>
      </c>
      <c r="G136" s="1">
        <v>25218.86</v>
      </c>
      <c r="H136" s="7">
        <v>-6.009915275381497E-4</v>
      </c>
    </row>
    <row r="137">
      <c r="A137" s="9">
        <v>45702.0</v>
      </c>
      <c r="B137" s="1">
        <v>23096.45</v>
      </c>
      <c r="C137" s="1">
        <v>23133.7</v>
      </c>
      <c r="D137" s="1">
        <v>22774.85</v>
      </c>
      <c r="E137" s="1">
        <v>22929.25</v>
      </c>
      <c r="F137" s="1">
        <v>2.54479643E8</v>
      </c>
      <c r="G137" s="1">
        <v>22049.89</v>
      </c>
      <c r="H137" s="7">
        <v>-0.004435249268390173</v>
      </c>
    </row>
    <row r="138">
      <c r="A138" s="9">
        <v>45705.0</v>
      </c>
      <c r="B138" s="1">
        <v>22809.9</v>
      </c>
      <c r="C138" s="1">
        <v>22974.2</v>
      </c>
      <c r="D138" s="1">
        <v>22725.45</v>
      </c>
      <c r="E138" s="1">
        <v>22959.5</v>
      </c>
      <c r="F138" s="1">
        <v>2.07393944E8</v>
      </c>
      <c r="G138" s="1">
        <v>19809.44</v>
      </c>
      <c r="H138" s="7">
        <v>0.001319275597762683</v>
      </c>
    </row>
    <row r="139">
      <c r="A139" s="9">
        <v>45706.0</v>
      </c>
      <c r="B139" s="1">
        <v>22963.65</v>
      </c>
      <c r="C139" s="1">
        <v>22992.5</v>
      </c>
      <c r="D139" s="1">
        <v>22801.5</v>
      </c>
      <c r="E139" s="1">
        <v>22945.3</v>
      </c>
      <c r="F139" s="1">
        <v>2.10616675E8</v>
      </c>
      <c r="G139" s="1">
        <v>19431.37</v>
      </c>
      <c r="H139" s="7">
        <v>-6.184803676038558E-4</v>
      </c>
    </row>
    <row r="140">
      <c r="A140" s="9">
        <v>45707.0</v>
      </c>
      <c r="B140" s="1">
        <v>22847.25</v>
      </c>
      <c r="C140" s="1">
        <v>23049.95</v>
      </c>
      <c r="D140" s="1">
        <v>22814.85</v>
      </c>
      <c r="E140" s="1">
        <v>22932.9</v>
      </c>
      <c r="F140" s="1">
        <v>2.06999204E8</v>
      </c>
      <c r="G140" s="1">
        <v>19817.93</v>
      </c>
      <c r="H140" s="7">
        <v>-5.404156842576832E-4</v>
      </c>
    </row>
    <row r="141">
      <c r="A141" s="9">
        <v>45708.0</v>
      </c>
      <c r="B141" s="1">
        <v>22821.1</v>
      </c>
      <c r="C141" s="1">
        <v>22923.85</v>
      </c>
      <c r="D141" s="1">
        <v>22812.75</v>
      </c>
      <c r="E141" s="1">
        <v>22913.15</v>
      </c>
      <c r="F141" s="1">
        <v>2.40836647E8</v>
      </c>
      <c r="G141" s="1">
        <v>21303.88</v>
      </c>
      <c r="H141" s="7">
        <v>-8.612081332932162E-4</v>
      </c>
    </row>
    <row r="142">
      <c r="A142" s="9">
        <v>45709.0</v>
      </c>
      <c r="B142" s="1">
        <v>22857.2</v>
      </c>
      <c r="C142" s="1">
        <v>22921.0</v>
      </c>
      <c r="D142" s="1">
        <v>22720.3</v>
      </c>
      <c r="E142" s="1">
        <v>22795.9</v>
      </c>
      <c r="F142" s="1">
        <v>2.42753984E8</v>
      </c>
      <c r="G142" s="1">
        <v>21994.37</v>
      </c>
      <c r="H142" s="7">
        <v>-0.005117148886119979</v>
      </c>
    </row>
    <row r="143">
      <c r="A143" s="9">
        <v>45712.0</v>
      </c>
      <c r="B143" s="1">
        <v>22609.35</v>
      </c>
      <c r="C143" s="1">
        <v>22668.05</v>
      </c>
      <c r="D143" s="1">
        <v>22518.8</v>
      </c>
      <c r="E143" s="1">
        <v>22553.35</v>
      </c>
      <c r="F143" s="1">
        <v>2.14317552E8</v>
      </c>
      <c r="G143" s="1">
        <v>20772.95</v>
      </c>
      <c r="H143" s="7">
        <v>-0.010640071240881163</v>
      </c>
    </row>
    <row r="144">
      <c r="A144" s="9">
        <v>45713.0</v>
      </c>
      <c r="B144" s="1">
        <v>22516.45</v>
      </c>
      <c r="C144" s="1">
        <v>22625.3</v>
      </c>
      <c r="D144" s="1">
        <v>22513.9</v>
      </c>
      <c r="E144" s="1">
        <v>22547.55</v>
      </c>
      <c r="F144" s="1">
        <v>2.50279519E8</v>
      </c>
      <c r="G144" s="1">
        <v>24917.83</v>
      </c>
      <c r="H144" s="7">
        <v>-2.571680038663557E-4</v>
      </c>
    </row>
    <row r="145">
      <c r="A145" s="9">
        <v>45715.0</v>
      </c>
      <c r="B145" s="1">
        <v>22568.95</v>
      </c>
      <c r="C145" s="1">
        <v>22613.3</v>
      </c>
      <c r="D145" s="1">
        <v>22508.4</v>
      </c>
      <c r="E145" s="1">
        <v>22545.05</v>
      </c>
      <c r="F145" s="1">
        <v>2.89230479E8</v>
      </c>
      <c r="G145" s="1">
        <v>29775.64</v>
      </c>
      <c r="H145" s="7">
        <v>-1.1087679149175853E-4</v>
      </c>
    </row>
    <row r="146">
      <c r="A146" s="9">
        <v>45716.0</v>
      </c>
      <c r="B146" s="1">
        <v>22433.4</v>
      </c>
      <c r="C146" s="1">
        <v>22450.35</v>
      </c>
      <c r="D146" s="1">
        <v>22104.85</v>
      </c>
      <c r="E146" s="1">
        <v>22124.7</v>
      </c>
      <c r="F146" s="1">
        <v>5.51285287E8</v>
      </c>
      <c r="G146" s="1">
        <v>52745.2</v>
      </c>
      <c r="H146" s="7">
        <v>-0.018644891007116797</v>
      </c>
    </row>
    <row r="147">
      <c r="A147" s="3">
        <v>45719.0</v>
      </c>
      <c r="B147" s="1">
        <v>22194.55</v>
      </c>
      <c r="C147" s="1">
        <v>22261.55</v>
      </c>
      <c r="D147" s="1">
        <v>22004.7</v>
      </c>
      <c r="E147" s="1">
        <v>22119.3</v>
      </c>
      <c r="F147" s="1">
        <v>2.82399735E8</v>
      </c>
      <c r="G147" s="1">
        <v>25942.05</v>
      </c>
      <c r="H147" s="7">
        <v>-2.4407110604896133E-4</v>
      </c>
    </row>
    <row r="148">
      <c r="A148" s="3">
        <v>45720.0</v>
      </c>
      <c r="B148" s="1">
        <v>21974.45</v>
      </c>
      <c r="C148" s="1">
        <v>22105.05</v>
      </c>
      <c r="D148" s="1">
        <v>21964.6</v>
      </c>
      <c r="E148" s="1">
        <v>22082.65</v>
      </c>
      <c r="F148" s="1">
        <v>2.53260641E8</v>
      </c>
      <c r="G148" s="1">
        <v>22979.56</v>
      </c>
      <c r="H148" s="7">
        <v>-0.001656924043708337</v>
      </c>
    </row>
    <row r="149">
      <c r="A149" s="3">
        <v>45721.0</v>
      </c>
      <c r="B149" s="1">
        <v>22073.05</v>
      </c>
      <c r="C149" s="1">
        <v>22394.9</v>
      </c>
      <c r="D149" s="1">
        <v>22067.8</v>
      </c>
      <c r="E149" s="1">
        <v>22337.3</v>
      </c>
      <c r="F149" s="1">
        <v>3.05942691E8</v>
      </c>
      <c r="G149" s="1">
        <v>26371.61</v>
      </c>
      <c r="H149" s="7">
        <v>0.011531677583985519</v>
      </c>
    </row>
    <row r="150">
      <c r="A150" s="3">
        <v>45722.0</v>
      </c>
      <c r="B150" s="1">
        <v>22476.35</v>
      </c>
      <c r="C150" s="1">
        <v>22556.45</v>
      </c>
      <c r="D150" s="1">
        <v>22245.85</v>
      </c>
      <c r="E150" s="1">
        <v>22544.7</v>
      </c>
      <c r="F150" s="1">
        <v>3.7208368E8</v>
      </c>
      <c r="G150" s="1">
        <v>30550.28</v>
      </c>
      <c r="H150" s="7">
        <v>0.009284918051868466</v>
      </c>
    </row>
    <row r="151">
      <c r="A151" s="3">
        <v>45723.0</v>
      </c>
      <c r="B151" s="1">
        <v>22508.65</v>
      </c>
      <c r="C151" s="1">
        <v>22633.8</v>
      </c>
      <c r="D151" s="1">
        <v>22464.75</v>
      </c>
      <c r="E151" s="1">
        <v>22552.5</v>
      </c>
      <c r="F151" s="1">
        <v>2.89765795E8</v>
      </c>
      <c r="G151" s="1">
        <v>21446.95</v>
      </c>
      <c r="H151" s="7">
        <v>3.459793210820846E-4</v>
      </c>
    </row>
    <row r="152">
      <c r="A152" s="9">
        <v>45726.0</v>
      </c>
      <c r="B152" s="1">
        <v>22521.85</v>
      </c>
      <c r="C152" s="1">
        <v>22676.75</v>
      </c>
      <c r="D152" s="1">
        <v>22429.05</v>
      </c>
      <c r="E152" s="1">
        <v>22460.3</v>
      </c>
      <c r="F152" s="1">
        <v>2.93855491E8</v>
      </c>
      <c r="G152" s="1">
        <v>22330.86</v>
      </c>
      <c r="H152" s="7">
        <v>-0.004088238554484014</v>
      </c>
    </row>
    <row r="153">
      <c r="A153" s="9">
        <v>45727.0</v>
      </c>
      <c r="B153" s="1">
        <v>22345.95</v>
      </c>
      <c r="C153" s="1">
        <v>22522.1</v>
      </c>
      <c r="D153" s="1">
        <v>22314.7</v>
      </c>
      <c r="E153" s="1">
        <v>22497.9</v>
      </c>
      <c r="F153" s="1">
        <v>3.47924102E8</v>
      </c>
      <c r="G153" s="1">
        <v>29208.22</v>
      </c>
      <c r="H153" s="7">
        <v>0.0016740649056335927</v>
      </c>
    </row>
    <row r="154">
      <c r="A154" s="9">
        <v>45728.0</v>
      </c>
      <c r="B154" s="1">
        <v>22536.35</v>
      </c>
      <c r="C154" s="1">
        <v>22577.4</v>
      </c>
      <c r="D154" s="1">
        <v>22329.55</v>
      </c>
      <c r="E154" s="1">
        <v>22470.5</v>
      </c>
      <c r="F154" s="1">
        <v>3.69736725E8</v>
      </c>
      <c r="G154" s="1">
        <v>33406.41</v>
      </c>
      <c r="H154" s="7">
        <v>-0.0012178914476462894</v>
      </c>
    </row>
    <row r="155">
      <c r="A155" s="9">
        <v>45729.0</v>
      </c>
      <c r="B155" s="1">
        <v>22541.5</v>
      </c>
      <c r="C155" s="1">
        <v>22558.05</v>
      </c>
      <c r="D155" s="1">
        <v>22377.35</v>
      </c>
      <c r="E155" s="1">
        <v>22397.2</v>
      </c>
      <c r="F155" s="1">
        <v>2.87535243E8</v>
      </c>
      <c r="G155" s="1">
        <v>22855.58</v>
      </c>
      <c r="H155" s="7">
        <v>-0.003262054693932012</v>
      </c>
    </row>
    <row r="156">
      <c r="A156" s="9">
        <v>45733.0</v>
      </c>
      <c r="B156" s="1">
        <v>22353.15</v>
      </c>
      <c r="C156" s="1">
        <v>22577.0</v>
      </c>
      <c r="D156" s="1">
        <v>22353.15</v>
      </c>
      <c r="E156" s="1">
        <v>22508.75</v>
      </c>
      <c r="F156" s="1">
        <v>2.51102239E8</v>
      </c>
      <c r="G156" s="1">
        <v>24122.27</v>
      </c>
      <c r="H156" s="7">
        <v>0.0049805332809458</v>
      </c>
    </row>
    <row r="157">
      <c r="A157" s="9">
        <v>45734.0</v>
      </c>
      <c r="B157" s="1">
        <v>22662.25</v>
      </c>
      <c r="C157" s="1">
        <v>22857.8</v>
      </c>
      <c r="D157" s="1">
        <v>22599.2</v>
      </c>
      <c r="E157" s="1">
        <v>22834.3</v>
      </c>
      <c r="F157" s="1">
        <v>2.72578844E8</v>
      </c>
      <c r="G157" s="1">
        <v>26387.47</v>
      </c>
      <c r="H157" s="7">
        <v>0.014463264286110925</v>
      </c>
    </row>
    <row r="158">
      <c r="A158" s="9">
        <v>45735.0</v>
      </c>
      <c r="B158" s="1">
        <v>22874.95</v>
      </c>
      <c r="C158" s="1">
        <v>22940.7</v>
      </c>
      <c r="D158" s="1">
        <v>22807.95</v>
      </c>
      <c r="E158" s="1">
        <v>22907.6</v>
      </c>
      <c r="F158" s="1">
        <v>3.23992121E8</v>
      </c>
      <c r="G158" s="1">
        <v>26994.95</v>
      </c>
      <c r="H158" s="7">
        <v>0.0032100830767748203</v>
      </c>
    </row>
    <row r="159">
      <c r="A159" s="9">
        <v>45736.0</v>
      </c>
      <c r="B159" s="1">
        <v>23036.6</v>
      </c>
      <c r="C159" s="1">
        <v>23216.7</v>
      </c>
      <c r="D159" s="1">
        <v>22973.95</v>
      </c>
      <c r="E159" s="1">
        <v>23190.65</v>
      </c>
      <c r="F159" s="1">
        <v>3.13729818E8</v>
      </c>
      <c r="G159" s="1">
        <v>27573.99</v>
      </c>
      <c r="H159" s="7">
        <v>0.0123561612739878</v>
      </c>
    </row>
    <row r="160">
      <c r="A160" s="9">
        <v>45737.0</v>
      </c>
      <c r="B160" s="1">
        <v>23168.25</v>
      </c>
      <c r="C160" s="1">
        <v>23402.7</v>
      </c>
      <c r="D160" s="1">
        <v>23132.8</v>
      </c>
      <c r="E160" s="1">
        <v>23350.4</v>
      </c>
      <c r="F160" s="1">
        <v>5.40966316E8</v>
      </c>
      <c r="G160" s="1">
        <v>51005.67</v>
      </c>
      <c r="H160" s="7">
        <v>0.0068885520673202345</v>
      </c>
    </row>
    <row r="161">
      <c r="A161" s="9">
        <v>45740.0</v>
      </c>
      <c r="B161" s="1">
        <v>23515.4</v>
      </c>
      <c r="C161" s="1">
        <v>23708.75</v>
      </c>
      <c r="D161" s="1">
        <v>23433.5</v>
      </c>
      <c r="E161" s="1">
        <v>23658.35</v>
      </c>
      <c r="F161" s="1">
        <v>3.11900413E8</v>
      </c>
      <c r="G161" s="1">
        <v>28871.35</v>
      </c>
      <c r="H161" s="7">
        <v>0.013188210908592447</v>
      </c>
    </row>
    <row r="162">
      <c r="A162" s="9">
        <v>45741.0</v>
      </c>
      <c r="B162" s="1">
        <v>23751.5</v>
      </c>
      <c r="C162" s="1">
        <v>23869.6</v>
      </c>
      <c r="D162" s="1">
        <v>23601.4</v>
      </c>
      <c r="E162" s="1">
        <v>23668.65</v>
      </c>
      <c r="F162" s="1">
        <v>3.38216746E8</v>
      </c>
      <c r="G162" s="1">
        <v>35415.03</v>
      </c>
      <c r="H162" s="7">
        <v>4.353642582852528E-4</v>
      </c>
    </row>
    <row r="163">
      <c r="A163" s="9">
        <v>45742.0</v>
      </c>
      <c r="B163" s="1">
        <v>23700.95</v>
      </c>
      <c r="C163" s="1">
        <v>23736.5</v>
      </c>
      <c r="D163" s="1">
        <v>23451.7</v>
      </c>
      <c r="E163" s="1">
        <v>23486.85</v>
      </c>
      <c r="F163" s="1">
        <v>2.78590831E8</v>
      </c>
      <c r="G163" s="1">
        <v>26877.28</v>
      </c>
      <c r="H163" s="7">
        <v>-0.007681046447516141</v>
      </c>
    </row>
    <row r="164">
      <c r="A164" s="9">
        <v>45743.0</v>
      </c>
      <c r="B164" s="1">
        <v>23433.95</v>
      </c>
      <c r="C164" s="1">
        <v>23646.45</v>
      </c>
      <c r="D164" s="1">
        <v>23412.2</v>
      </c>
      <c r="E164" s="1">
        <v>23591.95</v>
      </c>
      <c r="F164" s="1">
        <v>5.10302142E8</v>
      </c>
      <c r="G164" s="1">
        <v>46481.84</v>
      </c>
      <c r="H164" s="7">
        <v>0.004474844434226054</v>
      </c>
    </row>
    <row r="165">
      <c r="A165" s="9">
        <v>45744.0</v>
      </c>
      <c r="B165" s="1">
        <v>23600.4</v>
      </c>
      <c r="C165" s="1">
        <v>23649.2</v>
      </c>
      <c r="D165" s="1">
        <v>23450.2</v>
      </c>
      <c r="E165" s="1">
        <v>23519.35</v>
      </c>
      <c r="F165" s="1">
        <v>3.87455531E8</v>
      </c>
      <c r="G165" s="1">
        <v>29156.37</v>
      </c>
      <c r="H165" s="7">
        <v>-0.003077320865803894</v>
      </c>
    </row>
    <row r="166">
      <c r="A166" s="3">
        <v>45748.0</v>
      </c>
      <c r="B166" s="1">
        <v>23341.1</v>
      </c>
      <c r="C166" s="1">
        <v>23565.15</v>
      </c>
      <c r="D166" s="1">
        <v>23136.4</v>
      </c>
      <c r="E166" s="1">
        <v>23165.7</v>
      </c>
      <c r="F166" s="1">
        <v>3.75118343E8</v>
      </c>
      <c r="G166" s="1">
        <v>30680.7</v>
      </c>
      <c r="H166" s="7">
        <v>-0.015036555006834706</v>
      </c>
    </row>
    <row r="167">
      <c r="A167" s="3">
        <v>45749.0</v>
      </c>
      <c r="B167" s="1">
        <v>23192.6</v>
      </c>
      <c r="C167" s="1">
        <v>23350.0</v>
      </c>
      <c r="D167" s="1">
        <v>23158.45</v>
      </c>
      <c r="E167" s="1">
        <v>23332.35</v>
      </c>
      <c r="F167" s="1">
        <v>3.40970371E8</v>
      </c>
      <c r="G167" s="1">
        <v>24334.3</v>
      </c>
      <c r="H167" s="7">
        <v>0.007193825353863592</v>
      </c>
    </row>
    <row r="168">
      <c r="A168" s="3">
        <v>45750.0</v>
      </c>
      <c r="B168" s="1">
        <v>23150.3</v>
      </c>
      <c r="C168" s="1">
        <v>23306.5</v>
      </c>
      <c r="D168" s="1">
        <v>23145.8</v>
      </c>
      <c r="E168" s="1">
        <v>23250.1</v>
      </c>
      <c r="F168" s="1">
        <v>2.83196379E8</v>
      </c>
      <c r="G168" s="1">
        <v>23501.33</v>
      </c>
      <c r="H168" s="7">
        <v>-0.0035251485598321647</v>
      </c>
    </row>
    <row r="169">
      <c r="A169" s="3">
        <v>45751.0</v>
      </c>
      <c r="B169" s="1">
        <v>23190.4</v>
      </c>
      <c r="C169" s="1">
        <v>23214.7</v>
      </c>
      <c r="D169" s="1">
        <v>22857.45</v>
      </c>
      <c r="E169" s="1">
        <v>22904.45</v>
      </c>
      <c r="F169" s="1">
        <v>4.66776198E8</v>
      </c>
      <c r="G169" s="1">
        <v>33761.96</v>
      </c>
      <c r="H169" s="7">
        <v>-0.014866602724289265</v>
      </c>
    </row>
    <row r="170">
      <c r="A170" s="3">
        <v>45754.0</v>
      </c>
      <c r="B170" s="1">
        <v>21758.4</v>
      </c>
      <c r="C170" s="1">
        <v>22254.0</v>
      </c>
      <c r="D170" s="1">
        <v>21743.65</v>
      </c>
      <c r="E170" s="1">
        <v>22161.6</v>
      </c>
      <c r="F170" s="1">
        <v>6.47107618E8</v>
      </c>
      <c r="G170" s="1">
        <v>49172.14</v>
      </c>
      <c r="H170" s="7">
        <v>-0.03243256223135688</v>
      </c>
    </row>
    <row r="171">
      <c r="A171" s="3">
        <v>45755.0</v>
      </c>
      <c r="B171" s="1">
        <v>22446.75</v>
      </c>
      <c r="C171" s="1">
        <v>22697.2</v>
      </c>
      <c r="D171" s="1">
        <v>22270.85</v>
      </c>
      <c r="E171" s="1">
        <v>22535.85</v>
      </c>
      <c r="F171" s="1">
        <v>4.68250807E8</v>
      </c>
      <c r="G171" s="1">
        <v>37226.82</v>
      </c>
      <c r="H171" s="7">
        <v>0.016887318605154862</v>
      </c>
    </row>
    <row r="172">
      <c r="A172" s="3">
        <v>45756.0</v>
      </c>
      <c r="B172" s="1">
        <v>22460.3</v>
      </c>
      <c r="C172" s="1">
        <v>22468.7</v>
      </c>
      <c r="D172" s="1">
        <v>22353.25</v>
      </c>
      <c r="E172" s="1">
        <v>22399.15</v>
      </c>
      <c r="F172" s="1">
        <v>3.83822618E8</v>
      </c>
      <c r="G172" s="1">
        <v>28996.55</v>
      </c>
      <c r="H172" s="7">
        <v>-0.00606589056991403</v>
      </c>
    </row>
    <row r="173">
      <c r="A173" s="9">
        <v>45758.0</v>
      </c>
      <c r="B173" s="1">
        <v>22695.4</v>
      </c>
      <c r="C173" s="1">
        <v>22923.9</v>
      </c>
      <c r="D173" s="1">
        <v>22695.4</v>
      </c>
      <c r="E173" s="1">
        <v>22828.55</v>
      </c>
      <c r="F173" s="1">
        <v>4.02162001E8</v>
      </c>
      <c r="G173" s="1">
        <v>33683.6</v>
      </c>
      <c r="H173" s="7">
        <v>0.019170370304230196</v>
      </c>
    </row>
    <row r="174">
      <c r="A174" s="9">
        <v>45762.0</v>
      </c>
      <c r="B174" s="1">
        <v>23368.35</v>
      </c>
      <c r="C174" s="1">
        <v>23368.35</v>
      </c>
      <c r="D174" s="1">
        <v>23207.0</v>
      </c>
      <c r="E174" s="1">
        <v>23328.55</v>
      </c>
      <c r="F174" s="1">
        <v>3.88321931E8</v>
      </c>
      <c r="G174" s="1">
        <v>34216.17</v>
      </c>
      <c r="H174" s="7">
        <v>0.021902398531663203</v>
      </c>
    </row>
    <row r="175">
      <c r="A175" s="9">
        <v>45763.0</v>
      </c>
      <c r="B175" s="1">
        <v>23344.1</v>
      </c>
      <c r="C175" s="1">
        <v>23452.2</v>
      </c>
      <c r="D175" s="1">
        <v>23273.05</v>
      </c>
      <c r="E175" s="1">
        <v>23437.2</v>
      </c>
      <c r="F175" s="1">
        <v>3.4842496E8</v>
      </c>
      <c r="G175" s="1">
        <v>28102.36</v>
      </c>
      <c r="H175" s="7">
        <v>0.0046573833350123115</v>
      </c>
    </row>
    <row r="176">
      <c r="A176" s="9">
        <v>45764.0</v>
      </c>
      <c r="B176" s="1">
        <v>23401.85</v>
      </c>
      <c r="C176" s="1">
        <v>23872.35</v>
      </c>
      <c r="D176" s="1">
        <v>23298.55</v>
      </c>
      <c r="E176" s="1">
        <v>23851.65</v>
      </c>
      <c r="F176" s="1">
        <v>5.05333905E8</v>
      </c>
      <c r="G176" s="1">
        <v>38450.09</v>
      </c>
      <c r="H176" s="7">
        <v>0.017683426347857283</v>
      </c>
    </row>
    <row r="177">
      <c r="A177" s="9">
        <v>45768.0</v>
      </c>
      <c r="B177" s="1">
        <v>23949.15</v>
      </c>
      <c r="C177" s="1">
        <v>24189.55</v>
      </c>
      <c r="D177" s="1">
        <v>23903.65</v>
      </c>
      <c r="E177" s="1">
        <v>24125.55</v>
      </c>
      <c r="F177" s="1">
        <v>4.06145632E8</v>
      </c>
      <c r="G177" s="1">
        <v>33125.62</v>
      </c>
      <c r="H177" s="7">
        <v>0.011483482274811085</v>
      </c>
    </row>
    <row r="178">
      <c r="A178" s="9">
        <v>45769.0</v>
      </c>
      <c r="B178" s="1">
        <v>24185.4</v>
      </c>
      <c r="C178" s="1">
        <v>24242.6</v>
      </c>
      <c r="D178" s="1">
        <v>24072.0</v>
      </c>
      <c r="E178" s="1">
        <v>24167.25</v>
      </c>
      <c r="F178" s="1">
        <v>4.4094049E8</v>
      </c>
      <c r="G178" s="1">
        <v>35479.29</v>
      </c>
      <c r="H178" s="7">
        <v>0.0017284580040662588</v>
      </c>
    </row>
    <row r="179">
      <c r="A179" s="9">
        <v>45770.0</v>
      </c>
      <c r="B179" s="1">
        <v>24357.6</v>
      </c>
      <c r="C179" s="1">
        <v>24359.3</v>
      </c>
      <c r="D179" s="1">
        <v>24119.95</v>
      </c>
      <c r="E179" s="1">
        <v>24328.95</v>
      </c>
      <c r="F179" s="1">
        <v>4.15042544E8</v>
      </c>
      <c r="G179" s="1">
        <v>34527.08</v>
      </c>
      <c r="H179" s="7">
        <v>0.006690872978928125</v>
      </c>
    </row>
    <row r="180">
      <c r="A180" s="9">
        <v>45771.0</v>
      </c>
      <c r="B180" s="1">
        <v>24277.9</v>
      </c>
      <c r="C180" s="1">
        <v>24347.85</v>
      </c>
      <c r="D180" s="1">
        <v>24216.15</v>
      </c>
      <c r="E180" s="1">
        <v>24246.7</v>
      </c>
      <c r="F180" s="1">
        <v>3.58768165E8</v>
      </c>
      <c r="G180" s="1">
        <v>33057.29</v>
      </c>
      <c r="H180" s="7">
        <v>-0.0033807459836943227</v>
      </c>
    </row>
    <row r="181">
      <c r="A181" s="9">
        <v>45772.0</v>
      </c>
      <c r="B181" s="1">
        <v>24289.0</v>
      </c>
      <c r="C181" s="1">
        <v>24365.45</v>
      </c>
      <c r="D181" s="1">
        <v>23847.85</v>
      </c>
      <c r="E181" s="1">
        <v>24039.35</v>
      </c>
      <c r="F181" s="1">
        <v>3.87741866E8</v>
      </c>
      <c r="G181" s="1">
        <v>33430.86</v>
      </c>
      <c r="H181" s="7">
        <v>-0.008551679197581616</v>
      </c>
    </row>
    <row r="182">
      <c r="A182" s="9">
        <v>45775.0</v>
      </c>
      <c r="B182" s="1">
        <v>24070.25</v>
      </c>
      <c r="C182" s="1">
        <v>24355.1</v>
      </c>
      <c r="D182" s="1">
        <v>24054.05</v>
      </c>
      <c r="E182" s="1">
        <v>24328.5</v>
      </c>
      <c r="F182" s="1">
        <v>3.20467976E8</v>
      </c>
      <c r="G182" s="1">
        <v>28278.82</v>
      </c>
      <c r="H182" s="7">
        <v>0.012028195437896677</v>
      </c>
    </row>
    <row r="183">
      <c r="A183" s="9">
        <v>45776.0</v>
      </c>
      <c r="B183" s="1">
        <v>24370.7</v>
      </c>
      <c r="C183" s="1">
        <v>24457.65</v>
      </c>
      <c r="D183" s="1">
        <v>24290.75</v>
      </c>
      <c r="E183" s="1">
        <v>24335.95</v>
      </c>
      <c r="F183" s="1">
        <v>3.57563224E8</v>
      </c>
      <c r="G183" s="1">
        <v>30436.88</v>
      </c>
      <c r="H183" s="7">
        <v>3.062252091169093E-4</v>
      </c>
    </row>
    <row r="184">
      <c r="A184" s="9">
        <v>45777.0</v>
      </c>
      <c r="B184" s="1">
        <v>24342.05</v>
      </c>
      <c r="C184" s="1">
        <v>24396.15</v>
      </c>
      <c r="D184" s="1">
        <v>24198.75</v>
      </c>
      <c r="E184" s="1">
        <v>24334.2</v>
      </c>
      <c r="F184" s="1">
        <v>4.24452559E8</v>
      </c>
      <c r="G184" s="1">
        <v>41073.48</v>
      </c>
      <c r="H184" s="7">
        <v>-7.191007542339626E-5</v>
      </c>
    </row>
    <row r="185">
      <c r="A185" s="12">
        <v>45779.0</v>
      </c>
      <c r="B185" s="1">
        <v>24311.9</v>
      </c>
      <c r="C185" s="1">
        <v>24589.15</v>
      </c>
      <c r="D185" s="1">
        <v>24238.5</v>
      </c>
      <c r="E185" s="1">
        <v>24346.7</v>
      </c>
      <c r="F185" s="1">
        <v>4.21112627E8</v>
      </c>
      <c r="G185" s="1">
        <v>34043.27</v>
      </c>
      <c r="H185" s="7">
        <v>5.136803346730116E-4</v>
      </c>
    </row>
    <row r="186">
      <c r="A186" s="12">
        <v>45782.0</v>
      </c>
      <c r="B186" s="1">
        <v>24419.5</v>
      </c>
      <c r="C186" s="1">
        <v>24526.4</v>
      </c>
      <c r="D186" s="1">
        <v>24400.65</v>
      </c>
      <c r="E186" s="1">
        <v>24461.15</v>
      </c>
      <c r="F186" s="1">
        <v>2.91471628E8</v>
      </c>
      <c r="G186" s="1">
        <v>26918.36</v>
      </c>
      <c r="H186" s="7">
        <v>0.004700842413961675</v>
      </c>
    </row>
    <row r="187">
      <c r="A187" s="12">
        <v>45783.0</v>
      </c>
      <c r="B187" s="1">
        <v>24500.75</v>
      </c>
      <c r="C187" s="1">
        <v>24509.65</v>
      </c>
      <c r="D187" s="1">
        <v>24331.8</v>
      </c>
      <c r="E187" s="1">
        <v>24379.6</v>
      </c>
      <c r="F187" s="1">
        <v>3.02354059E8</v>
      </c>
      <c r="G187" s="1">
        <v>26481.15</v>
      </c>
      <c r="H187" s="7">
        <v>-0.003333857974788712</v>
      </c>
    </row>
    <row r="188">
      <c r="A188" s="12">
        <v>45784.0</v>
      </c>
      <c r="B188" s="1">
        <v>24233.3</v>
      </c>
      <c r="C188" s="1">
        <v>24449.6</v>
      </c>
      <c r="D188" s="1">
        <v>24220.0</v>
      </c>
      <c r="E188" s="1">
        <v>24414.4</v>
      </c>
      <c r="F188" s="1">
        <v>3.30137191E8</v>
      </c>
      <c r="G188" s="1">
        <v>27648.34</v>
      </c>
      <c r="H188" s="7">
        <v>0.0014274229273656218</v>
      </c>
    </row>
    <row r="189">
      <c r="A189" s="12">
        <v>45785.0</v>
      </c>
      <c r="B189" s="1">
        <v>24431.5</v>
      </c>
      <c r="C189" s="1">
        <v>24447.25</v>
      </c>
      <c r="D189" s="1">
        <v>24150.2</v>
      </c>
      <c r="E189" s="1">
        <v>24273.8</v>
      </c>
      <c r="F189" s="1">
        <v>4.1136223E8</v>
      </c>
      <c r="G189" s="1">
        <v>36893.06</v>
      </c>
      <c r="H189" s="7">
        <v>-0.005758896389016407</v>
      </c>
    </row>
    <row r="190">
      <c r="A190" s="12">
        <v>45786.0</v>
      </c>
      <c r="B190" s="1">
        <v>23935.75</v>
      </c>
      <c r="C190" s="1">
        <v>24164.25</v>
      </c>
      <c r="D190" s="1">
        <v>23935.75</v>
      </c>
      <c r="E190" s="1">
        <v>24008.0</v>
      </c>
      <c r="F190" s="1">
        <v>3.3555068E8</v>
      </c>
      <c r="G190" s="1">
        <v>28942.61</v>
      </c>
      <c r="H190" s="7">
        <v>-0.01095007786172743</v>
      </c>
    </row>
    <row r="191">
      <c r="A191" s="13">
        <v>45789.0</v>
      </c>
      <c r="B191" s="1">
        <v>24420.1</v>
      </c>
      <c r="C191" s="1">
        <v>24944.8</v>
      </c>
      <c r="D191" s="1">
        <v>24378.85</v>
      </c>
      <c r="E191" s="1">
        <v>24924.7</v>
      </c>
      <c r="F191" s="1">
        <v>3.68707684E8</v>
      </c>
      <c r="G191" s="1">
        <v>30362.27</v>
      </c>
      <c r="H191" s="7">
        <v>0.03818310563145621</v>
      </c>
    </row>
    <row r="192">
      <c r="A192" s="13">
        <v>45790.0</v>
      </c>
      <c r="B192" s="1">
        <v>24864.05</v>
      </c>
      <c r="C192" s="1">
        <v>24973.8</v>
      </c>
      <c r="D192" s="1">
        <v>24547.5</v>
      </c>
      <c r="E192" s="1">
        <v>24578.35</v>
      </c>
      <c r="F192" s="1">
        <v>4.22977876E8</v>
      </c>
      <c r="G192" s="1">
        <v>34576.66</v>
      </c>
      <c r="H192" s="7">
        <v>-0.01389585431319142</v>
      </c>
    </row>
    <row r="193">
      <c r="A193" s="13">
        <v>45791.0</v>
      </c>
      <c r="B193" s="1">
        <v>24613.8</v>
      </c>
      <c r="C193" s="1">
        <v>24767.55</v>
      </c>
      <c r="D193" s="1">
        <v>24535.55</v>
      </c>
      <c r="E193" s="1">
        <v>24666.9</v>
      </c>
      <c r="F193" s="1">
        <v>3.45490805E8</v>
      </c>
      <c r="G193" s="1">
        <v>25585.37</v>
      </c>
      <c r="H193" s="7">
        <v>0.0036027642213575326</v>
      </c>
    </row>
    <row r="194">
      <c r="A194" s="13">
        <v>45792.0</v>
      </c>
      <c r="B194" s="1">
        <v>24694.45</v>
      </c>
      <c r="C194" s="1">
        <v>25116.25</v>
      </c>
      <c r="D194" s="1">
        <v>24494.45</v>
      </c>
      <c r="E194" s="1">
        <v>25062.1</v>
      </c>
      <c r="F194" s="1">
        <v>5.00821889E8</v>
      </c>
      <c r="G194" s="1">
        <v>44147.39</v>
      </c>
      <c r="H194" s="7">
        <v>0.01602147006717492</v>
      </c>
    </row>
    <row r="195">
      <c r="A195" s="13">
        <v>45793.0</v>
      </c>
      <c r="B195" s="1">
        <v>25064.65</v>
      </c>
      <c r="C195" s="1">
        <v>25070.0</v>
      </c>
      <c r="D195" s="1">
        <v>24953.05</v>
      </c>
      <c r="E195" s="1">
        <v>25019.8</v>
      </c>
      <c r="F195" s="1">
        <v>4.32717092E8</v>
      </c>
      <c r="G195" s="1">
        <v>43815.86</v>
      </c>
      <c r="H195" s="7">
        <v>-0.0016878074862042396</v>
      </c>
    </row>
    <row r="196">
      <c r="A196" s="13">
        <v>45796.0</v>
      </c>
      <c r="B196" s="1">
        <v>25005.35</v>
      </c>
      <c r="C196" s="1">
        <v>25062.95</v>
      </c>
      <c r="D196" s="1">
        <v>24916.65</v>
      </c>
      <c r="E196" s="1">
        <v>24945.45</v>
      </c>
      <c r="F196" s="1">
        <v>2.5525434E8</v>
      </c>
      <c r="G196" s="1">
        <v>21598.6</v>
      </c>
      <c r="H196" s="7">
        <v>-0.0029716464560067845</v>
      </c>
    </row>
    <row r="197">
      <c r="A197" s="13">
        <v>45797.0</v>
      </c>
      <c r="B197" s="1">
        <v>24996.2</v>
      </c>
      <c r="C197" s="1">
        <v>25010.35</v>
      </c>
      <c r="D197" s="1">
        <v>24669.7</v>
      </c>
      <c r="E197" s="1">
        <v>24683.9</v>
      </c>
      <c r="F197" s="1">
        <v>4.14799113E8</v>
      </c>
      <c r="G197" s="1">
        <v>31063.03</v>
      </c>
      <c r="H197" s="7">
        <v>-0.01048487800380427</v>
      </c>
    </row>
    <row r="198">
      <c r="A198" s="13">
        <v>45798.0</v>
      </c>
      <c r="B198" s="1">
        <v>24744.25</v>
      </c>
      <c r="C198" s="1">
        <v>24946.2</v>
      </c>
      <c r="D198" s="1">
        <v>24685.35</v>
      </c>
      <c r="E198" s="1">
        <v>24813.45</v>
      </c>
      <c r="F198" s="1">
        <v>3.32724952E8</v>
      </c>
      <c r="G198" s="1">
        <v>23179.85</v>
      </c>
      <c r="H198" s="7">
        <v>0.0052483602672186835</v>
      </c>
    </row>
    <row r="199">
      <c r="A199" s="13">
        <v>45799.0</v>
      </c>
      <c r="B199" s="1">
        <v>24733.95</v>
      </c>
      <c r="C199" s="1">
        <v>24737.5</v>
      </c>
      <c r="D199" s="1">
        <v>24462.4</v>
      </c>
      <c r="E199" s="1">
        <v>24609.7</v>
      </c>
      <c r="F199" s="1">
        <v>4.03279638E8</v>
      </c>
      <c r="G199" s="1">
        <v>30579.52</v>
      </c>
      <c r="H199" s="7">
        <v>-0.00821127251551074</v>
      </c>
    </row>
    <row r="200">
      <c r="A200" s="13">
        <v>45800.0</v>
      </c>
      <c r="B200" s="1">
        <v>24639.5</v>
      </c>
      <c r="C200" s="1">
        <v>24909.05</v>
      </c>
      <c r="D200" s="1">
        <v>24614.05</v>
      </c>
      <c r="E200" s="1">
        <v>24853.15</v>
      </c>
      <c r="F200" s="1">
        <v>2.70470348E8</v>
      </c>
      <c r="G200" s="1">
        <v>20200.73</v>
      </c>
      <c r="H200" s="7">
        <v>0.009892440785543941</v>
      </c>
    </row>
    <row r="201">
      <c r="A201" s="13">
        <v>45803.0</v>
      </c>
      <c r="B201" s="1">
        <v>24919.35</v>
      </c>
      <c r="C201" s="1">
        <v>25079.2</v>
      </c>
      <c r="D201" s="1">
        <v>24900.5</v>
      </c>
      <c r="E201" s="1">
        <v>25001.15</v>
      </c>
      <c r="F201" s="1">
        <v>3.02799227E8</v>
      </c>
      <c r="G201" s="1">
        <v>20060.68</v>
      </c>
      <c r="H201" s="7">
        <v>0.005954979549875971</v>
      </c>
    </row>
    <row r="202">
      <c r="A202" s="13">
        <v>45804.0</v>
      </c>
      <c r="B202" s="1">
        <v>24956.65</v>
      </c>
      <c r="C202" s="1">
        <v>25062.9</v>
      </c>
      <c r="D202" s="1">
        <v>24704.1</v>
      </c>
      <c r="E202" s="1">
        <v>24826.2</v>
      </c>
      <c r="F202" s="1">
        <v>5.25653668E8</v>
      </c>
      <c r="G202" s="1">
        <v>33638.3</v>
      </c>
      <c r="H202" s="7">
        <v>-0.0069976781068071155</v>
      </c>
    </row>
    <row r="203">
      <c r="A203" s="13">
        <v>45805.0</v>
      </c>
      <c r="B203" s="1">
        <v>24832.5</v>
      </c>
      <c r="C203" s="1">
        <v>24864.25</v>
      </c>
      <c r="D203" s="1">
        <v>24737.05</v>
      </c>
      <c r="E203" s="1">
        <v>24752.45</v>
      </c>
      <c r="F203" s="1">
        <v>6.84425321E8</v>
      </c>
      <c r="G203" s="1">
        <v>37143.55</v>
      </c>
      <c r="H203" s="7">
        <v>-0.0029706519725129095</v>
      </c>
    </row>
    <row r="204">
      <c r="A204" s="13">
        <v>45806.0</v>
      </c>
      <c r="B204" s="1">
        <v>24825.1</v>
      </c>
      <c r="C204" s="1">
        <v>24892.6</v>
      </c>
      <c r="D204" s="1">
        <v>24677.3</v>
      </c>
      <c r="E204" s="1">
        <v>24833.6</v>
      </c>
      <c r="F204" s="1">
        <v>3.45370611E8</v>
      </c>
      <c r="G204" s="1">
        <v>29730.05</v>
      </c>
      <c r="H204" s="7">
        <v>0.0032784633440325226</v>
      </c>
    </row>
    <row r="205">
      <c r="A205" s="13">
        <v>45807.0</v>
      </c>
      <c r="B205" s="1">
        <v>24812.6</v>
      </c>
      <c r="C205" s="1">
        <v>24863.95</v>
      </c>
      <c r="D205" s="1">
        <v>24717.4</v>
      </c>
      <c r="E205" s="1">
        <v>24750.7</v>
      </c>
      <c r="F205" s="1">
        <v>8.53890978E8</v>
      </c>
      <c r="G205" s="1">
        <v>52247.87</v>
      </c>
      <c r="H205" s="7">
        <v>-0.0033382191869079725</v>
      </c>
    </row>
    <row r="206">
      <c r="A206" s="3">
        <v>45810.0</v>
      </c>
      <c r="B206" s="1">
        <v>24669.7</v>
      </c>
      <c r="C206" s="1">
        <v>24754.4</v>
      </c>
      <c r="D206" s="1">
        <v>24526.15</v>
      </c>
      <c r="E206" s="1">
        <v>24716.6</v>
      </c>
      <c r="F206" s="1">
        <v>3.11100908E8</v>
      </c>
      <c r="G206" s="1">
        <v>25091.04</v>
      </c>
      <c r="H206" s="7">
        <v>-0.0013777388114276437</v>
      </c>
    </row>
    <row r="207">
      <c r="A207" s="3">
        <v>45811.0</v>
      </c>
      <c r="B207" s="1">
        <v>24786.3</v>
      </c>
      <c r="C207" s="1">
        <v>24845.1</v>
      </c>
      <c r="D207" s="1">
        <v>24502.15</v>
      </c>
      <c r="E207" s="1">
        <v>24542.5</v>
      </c>
      <c r="F207" s="1">
        <v>3.49288937E8</v>
      </c>
      <c r="G207" s="1">
        <v>28906.4</v>
      </c>
      <c r="H207" s="7">
        <v>-0.007043849073092519</v>
      </c>
    </row>
    <row r="208">
      <c r="A208" s="3">
        <v>45812.0</v>
      </c>
      <c r="B208" s="1">
        <v>24560.45</v>
      </c>
      <c r="C208" s="1">
        <v>24644.25</v>
      </c>
      <c r="D208" s="1">
        <v>24530.45</v>
      </c>
      <c r="E208" s="1">
        <v>24620.2</v>
      </c>
      <c r="F208" s="1">
        <v>2.80862575E8</v>
      </c>
      <c r="G208" s="1">
        <v>21907.07</v>
      </c>
      <c r="H208" s="7">
        <v>0.003165936640521574</v>
      </c>
    </row>
    <row r="209">
      <c r="A209" s="3">
        <v>45813.0</v>
      </c>
      <c r="B209" s="1">
        <v>24691.2</v>
      </c>
      <c r="C209" s="1">
        <v>24899.85</v>
      </c>
      <c r="D209" s="1">
        <v>24613.1</v>
      </c>
      <c r="E209" s="1">
        <v>24750.9</v>
      </c>
      <c r="F209" s="1">
        <v>3.88405978E8</v>
      </c>
      <c r="G209" s="1">
        <v>30186.46</v>
      </c>
      <c r="H209" s="7">
        <v>0.005308648995540277</v>
      </c>
    </row>
    <row r="210">
      <c r="A210" s="3">
        <v>45814.0</v>
      </c>
      <c r="B210" s="1">
        <v>24748.7</v>
      </c>
      <c r="C210" s="1">
        <v>25029.5</v>
      </c>
      <c r="D210" s="1">
        <v>24671.45</v>
      </c>
      <c r="E210" s="1">
        <v>25003.05</v>
      </c>
      <c r="F210" s="1">
        <v>3.35581057E8</v>
      </c>
      <c r="G210" s="1">
        <v>30041.71</v>
      </c>
      <c r="H210" s="7">
        <v>0.010187508333030225</v>
      </c>
    </row>
    <row r="211">
      <c r="A211" s="3">
        <v>45817.0</v>
      </c>
      <c r="B211" s="1">
        <v>25160.1</v>
      </c>
      <c r="C211" s="1">
        <v>25160.1</v>
      </c>
      <c r="D211" s="1">
        <v>25077.15</v>
      </c>
      <c r="E211" s="1">
        <v>25103.2</v>
      </c>
      <c r="F211" s="1">
        <v>2.79219989E8</v>
      </c>
      <c r="G211" s="1">
        <v>25606.21</v>
      </c>
      <c r="H211" s="7">
        <v>0.004005511327618089</v>
      </c>
    </row>
    <row r="212">
      <c r="A212" s="9">
        <v>45818.0</v>
      </c>
      <c r="B212" s="1">
        <v>25196.05</v>
      </c>
      <c r="C212" s="1">
        <v>25199.3</v>
      </c>
      <c r="D212" s="1">
        <v>25055.45</v>
      </c>
      <c r="E212" s="1">
        <v>25104.25</v>
      </c>
      <c r="F212" s="1">
        <v>3.07323471E8</v>
      </c>
      <c r="G212" s="1">
        <v>28813.93</v>
      </c>
      <c r="H212" s="7">
        <v>4.1827336753851E-5</v>
      </c>
    </row>
    <row r="213">
      <c r="A213" s="9">
        <v>45819.0</v>
      </c>
      <c r="B213" s="1">
        <v>25134.15</v>
      </c>
      <c r="C213" s="1">
        <v>25222.4</v>
      </c>
      <c r="D213" s="1">
        <v>25081.3</v>
      </c>
      <c r="E213" s="1">
        <v>25141.4</v>
      </c>
      <c r="F213" s="1">
        <v>3.01245273E8</v>
      </c>
      <c r="G213" s="1">
        <v>25871.18</v>
      </c>
      <c r="H213" s="7">
        <v>0.001479829112600514</v>
      </c>
    </row>
    <row r="214">
      <c r="A214" s="9">
        <v>45820.0</v>
      </c>
      <c r="B214" s="1">
        <v>25164.45</v>
      </c>
      <c r="C214" s="1">
        <v>25196.2</v>
      </c>
      <c r="D214" s="1">
        <v>24825.9</v>
      </c>
      <c r="E214" s="1">
        <v>24888.2</v>
      </c>
      <c r="F214" s="1">
        <v>3.28310748E8</v>
      </c>
      <c r="G214" s="1">
        <v>29573.27</v>
      </c>
      <c r="H214" s="7">
        <v>-0.010071038207896168</v>
      </c>
    </row>
    <row r="215">
      <c r="A215" s="9">
        <v>45821.0</v>
      </c>
      <c r="B215" s="1">
        <v>24473.0</v>
      </c>
      <c r="C215" s="1">
        <v>24754.35</v>
      </c>
      <c r="D215" s="1">
        <v>24473.0</v>
      </c>
      <c r="E215" s="1">
        <v>24718.6</v>
      </c>
      <c r="F215" s="1">
        <v>3.18711364E8</v>
      </c>
      <c r="G215" s="1">
        <v>24838.56</v>
      </c>
      <c r="H215" s="7">
        <v>-0.00681447432920027</v>
      </c>
    </row>
    <row r="216">
      <c r="A216" s="9">
        <v>45824.0</v>
      </c>
      <c r="B216" s="1">
        <v>24732.35</v>
      </c>
      <c r="C216" s="1">
        <v>24967.1</v>
      </c>
      <c r="D216" s="1">
        <v>24703.6</v>
      </c>
      <c r="E216" s="1">
        <v>24946.5</v>
      </c>
      <c r="F216" s="1">
        <v>3.05813047E8</v>
      </c>
      <c r="G216" s="1">
        <v>23857.15</v>
      </c>
      <c r="H216" s="7">
        <v>0.00921977781913221</v>
      </c>
    </row>
    <row r="217">
      <c r="A217" s="9">
        <v>45825.0</v>
      </c>
      <c r="B217" s="1">
        <v>24977.85</v>
      </c>
      <c r="C217" s="1">
        <v>24982.05</v>
      </c>
      <c r="D217" s="1">
        <v>24813.7</v>
      </c>
      <c r="E217" s="1">
        <v>24853.4</v>
      </c>
      <c r="F217" s="1">
        <v>2.4241574E8</v>
      </c>
      <c r="G217" s="1">
        <v>21818.05</v>
      </c>
      <c r="H217" s="7">
        <v>-0.0037319864510050927</v>
      </c>
    </row>
    <row r="218">
      <c r="A218" s="9">
        <v>45826.0</v>
      </c>
      <c r="B218" s="1">
        <v>24788.35</v>
      </c>
      <c r="C218" s="1">
        <v>24947.55</v>
      </c>
      <c r="D218" s="1">
        <v>24750.45</v>
      </c>
      <c r="E218" s="1">
        <v>24812.05</v>
      </c>
      <c r="F218" s="1">
        <v>2.37599011E8</v>
      </c>
      <c r="G218" s="1">
        <v>22044.05</v>
      </c>
      <c r="H218" s="7">
        <v>-0.0016637562667482992</v>
      </c>
    </row>
    <row r="219">
      <c r="A219" s="9">
        <v>45827.0</v>
      </c>
      <c r="B219" s="1">
        <v>24803.25</v>
      </c>
      <c r="C219" s="1">
        <v>24863.1</v>
      </c>
      <c r="D219" s="1">
        <v>24733.4</v>
      </c>
      <c r="E219" s="1">
        <v>24793.25</v>
      </c>
      <c r="F219" s="1">
        <v>2.74619935E8</v>
      </c>
      <c r="G219" s="1">
        <v>23620.79</v>
      </c>
      <c r="H219" s="7">
        <v>-7.576963612438018E-4</v>
      </c>
    </row>
    <row r="220">
      <c r="A220" s="9">
        <v>45828.0</v>
      </c>
      <c r="B220" s="1">
        <v>24787.65</v>
      </c>
      <c r="C220" s="1">
        <v>25136.2</v>
      </c>
      <c r="D220" s="1">
        <v>24783.65</v>
      </c>
      <c r="E220" s="1">
        <v>25112.4</v>
      </c>
      <c r="F220" s="1">
        <v>5.74654035E8</v>
      </c>
      <c r="G220" s="1">
        <v>55782.03</v>
      </c>
      <c r="H220" s="7">
        <v>0.012872455204541618</v>
      </c>
    </row>
    <row r="221">
      <c r="A221" s="9">
        <v>45831.0</v>
      </c>
      <c r="B221" s="1">
        <v>24939.75</v>
      </c>
      <c r="C221" s="1">
        <v>25057.0</v>
      </c>
      <c r="D221" s="1">
        <v>24824.85</v>
      </c>
      <c r="E221" s="1">
        <v>24971.9</v>
      </c>
      <c r="F221" s="1">
        <v>2.48534153E8</v>
      </c>
      <c r="G221" s="1">
        <v>20797.88</v>
      </c>
      <c r="H221" s="7">
        <v>-0.005594845574297956</v>
      </c>
    </row>
    <row r="222">
      <c r="A222" s="9">
        <v>45832.0</v>
      </c>
      <c r="B222" s="1">
        <v>25179.9</v>
      </c>
      <c r="C222" s="1">
        <v>25317.7</v>
      </c>
      <c r="D222" s="1">
        <v>24999.7</v>
      </c>
      <c r="E222" s="1">
        <v>25044.35</v>
      </c>
      <c r="F222" s="1">
        <v>4.50185468E8</v>
      </c>
      <c r="G222" s="1">
        <v>35508.9</v>
      </c>
      <c r="H222" s="7">
        <v>0.0029012610173834224</v>
      </c>
    </row>
    <row r="223">
      <c r="A223" s="9">
        <v>45833.0</v>
      </c>
      <c r="B223" s="1">
        <v>25150.35</v>
      </c>
      <c r="C223" s="1">
        <v>25266.8</v>
      </c>
      <c r="D223" s="1">
        <v>25125.05</v>
      </c>
      <c r="E223" s="1">
        <v>25244.75</v>
      </c>
      <c r="F223" s="1">
        <v>2.60582584E8</v>
      </c>
      <c r="G223" s="1">
        <v>22985.17</v>
      </c>
      <c r="H223" s="7">
        <v>0.008001804798287895</v>
      </c>
    </row>
    <row r="224">
      <c r="A224" s="9">
        <v>45834.0</v>
      </c>
      <c r="B224" s="1">
        <v>25268.95</v>
      </c>
      <c r="C224" s="1">
        <v>25565.3</v>
      </c>
      <c r="D224" s="1">
        <v>25259.9</v>
      </c>
      <c r="E224" s="1">
        <v>25549.0</v>
      </c>
      <c r="F224" s="1">
        <v>4.28891818E8</v>
      </c>
      <c r="G224" s="1">
        <v>38689.39</v>
      </c>
      <c r="H224" s="7">
        <v>0.01205201081412967</v>
      </c>
    </row>
    <row r="225">
      <c r="A225" s="9">
        <v>45835.0</v>
      </c>
      <c r="B225" s="1">
        <v>25576.65</v>
      </c>
      <c r="C225" s="1">
        <v>25654.2</v>
      </c>
      <c r="D225" s="1">
        <v>25523.55</v>
      </c>
      <c r="E225" s="1">
        <v>25637.8</v>
      </c>
      <c r="F225" s="1">
        <v>5.63957748E8</v>
      </c>
      <c r="G225" s="1">
        <v>47108.6</v>
      </c>
      <c r="H225" s="7">
        <v>0.003475674194684695</v>
      </c>
    </row>
    <row r="226">
      <c r="A226" s="9">
        <v>45838.0</v>
      </c>
      <c r="B226" s="1">
        <v>25661.65</v>
      </c>
      <c r="C226" s="1">
        <v>25669.35</v>
      </c>
      <c r="D226" s="1">
        <v>25473.3</v>
      </c>
      <c r="E226" s="1">
        <v>25517.05</v>
      </c>
      <c r="F226" s="1">
        <v>2.70981274E8</v>
      </c>
      <c r="G226" s="1">
        <v>24673.48</v>
      </c>
      <c r="H226" s="7">
        <v>-0.004709842498186272</v>
      </c>
    </row>
    <row r="227">
      <c r="A227" s="3">
        <v>45839.0</v>
      </c>
      <c r="B227" s="1">
        <v>25551.35</v>
      </c>
      <c r="C227" s="1">
        <v>25593.4</v>
      </c>
      <c r="D227" s="1">
        <v>25501.8</v>
      </c>
      <c r="E227" s="1">
        <v>25541.8</v>
      </c>
      <c r="F227" s="1">
        <v>2.60669106E8</v>
      </c>
      <c r="G227" s="1">
        <v>23921.02</v>
      </c>
      <c r="H227" s="7">
        <v>9.699397069802348E-4</v>
      </c>
    </row>
    <row r="228">
      <c r="A228" s="3">
        <v>45840.0</v>
      </c>
      <c r="B228" s="1">
        <v>25588.3</v>
      </c>
      <c r="C228" s="1">
        <v>25608.1</v>
      </c>
      <c r="D228" s="1">
        <v>25378.75</v>
      </c>
      <c r="E228" s="1">
        <v>25453.4</v>
      </c>
      <c r="F228" s="1">
        <v>3.09828013E8</v>
      </c>
      <c r="G228" s="1">
        <v>26681.66</v>
      </c>
      <c r="H228" s="7">
        <v>-0.00346099335207377</v>
      </c>
    </row>
    <row r="229">
      <c r="A229" s="3">
        <v>45841.0</v>
      </c>
      <c r="B229" s="1">
        <v>25505.1</v>
      </c>
      <c r="C229" s="1">
        <v>25587.5</v>
      </c>
      <c r="D229" s="1">
        <v>25384.35</v>
      </c>
      <c r="E229" s="1">
        <v>25405.3</v>
      </c>
      <c r="F229" s="1">
        <v>2.93428797E8</v>
      </c>
      <c r="G229" s="1">
        <v>24531.7</v>
      </c>
      <c r="H229" s="7">
        <v>-0.0018897278948982132</v>
      </c>
    </row>
    <row r="230">
      <c r="A230" s="3">
        <v>45842.0</v>
      </c>
      <c r="B230" s="1">
        <v>25428.85</v>
      </c>
      <c r="C230" s="1">
        <v>25470.25</v>
      </c>
      <c r="D230" s="1">
        <v>25331.65</v>
      </c>
      <c r="E230" s="1">
        <v>25461.0</v>
      </c>
      <c r="F230" s="1">
        <v>1.93511595E8</v>
      </c>
      <c r="G230" s="1">
        <v>19101.33</v>
      </c>
      <c r="H230" s="7">
        <v>0.0021924559048702723</v>
      </c>
    </row>
    <row r="231">
      <c r="A231" s="3">
        <v>45845.0</v>
      </c>
      <c r="B231" s="1">
        <v>25450.45</v>
      </c>
      <c r="C231" s="1">
        <v>25489.8</v>
      </c>
      <c r="D231" s="1">
        <v>25407.25</v>
      </c>
      <c r="E231" s="1">
        <v>25461.3</v>
      </c>
      <c r="F231" s="1">
        <v>1.96051345E8</v>
      </c>
      <c r="G231" s="1">
        <v>16923.26</v>
      </c>
      <c r="H231" s="7">
        <v>1.1782726522888827E-5</v>
      </c>
    </row>
    <row r="232">
      <c r="A232" s="3">
        <v>45846.0</v>
      </c>
      <c r="B232" s="1">
        <v>25427.85</v>
      </c>
      <c r="C232" s="1">
        <v>25548.05</v>
      </c>
      <c r="D232" s="1">
        <v>25424.15</v>
      </c>
      <c r="E232" s="1">
        <v>25522.5</v>
      </c>
      <c r="F232" s="1">
        <v>2.1041053E8</v>
      </c>
      <c r="G232" s="1">
        <v>21947.32</v>
      </c>
      <c r="H232" s="7">
        <v>0.002403647889149444</v>
      </c>
    </row>
    <row r="233">
      <c r="A233" s="3">
        <v>45847.0</v>
      </c>
      <c r="B233" s="1">
        <v>25514.6</v>
      </c>
      <c r="C233" s="1">
        <v>25548.7</v>
      </c>
      <c r="D233" s="1">
        <v>25424.35</v>
      </c>
      <c r="E233" s="1">
        <v>25476.1</v>
      </c>
      <c r="F233" s="1">
        <v>2.39081546E8</v>
      </c>
      <c r="G233" s="1">
        <v>20549.5</v>
      </c>
      <c r="H233" s="7">
        <v>-0.0018180037222059538</v>
      </c>
    </row>
    <row r="234">
      <c r="A234" s="9">
        <v>45848.0</v>
      </c>
      <c r="B234" s="1">
        <v>25511.65</v>
      </c>
      <c r="C234" s="1">
        <v>25524.05</v>
      </c>
      <c r="D234" s="1">
        <v>25340.45</v>
      </c>
      <c r="E234" s="1">
        <v>25355.25</v>
      </c>
      <c r="F234" s="1">
        <v>2.19609322E8</v>
      </c>
      <c r="G234" s="1">
        <v>21435.36</v>
      </c>
      <c r="H234" s="7">
        <v>-0.004743661706462079</v>
      </c>
    </row>
    <row r="235">
      <c r="A235" s="9">
        <v>45849.0</v>
      </c>
      <c r="B235" s="1">
        <v>25255.5</v>
      </c>
      <c r="C235" s="1">
        <v>25322.45</v>
      </c>
      <c r="D235" s="1">
        <v>25129.0</v>
      </c>
      <c r="E235" s="1">
        <v>25149.85</v>
      </c>
      <c r="F235" s="1">
        <v>2.49987681E8</v>
      </c>
      <c r="G235" s="1">
        <v>26251.65</v>
      </c>
      <c r="H235" s="7">
        <v>-0.008100886404196426</v>
      </c>
    </row>
    <row r="236">
      <c r="A236" s="9">
        <v>45852.0</v>
      </c>
      <c r="B236" s="1">
        <v>25149.5</v>
      </c>
      <c r="C236" s="1">
        <v>25151.1</v>
      </c>
      <c r="D236" s="1">
        <v>25001.95</v>
      </c>
      <c r="E236" s="1">
        <v>25082.3</v>
      </c>
      <c r="F236" s="1">
        <v>2.59533624E8</v>
      </c>
      <c r="G236" s="1">
        <v>23316.33</v>
      </c>
      <c r="H236" s="7">
        <v>-0.0026859007111374135</v>
      </c>
    </row>
    <row r="237">
      <c r="A237" s="9">
        <v>45853.0</v>
      </c>
      <c r="B237" s="1">
        <v>25089.5</v>
      </c>
      <c r="C237" s="1">
        <v>25245.2</v>
      </c>
      <c r="D237" s="1">
        <v>25088.45</v>
      </c>
      <c r="E237" s="1">
        <v>25195.8</v>
      </c>
      <c r="F237" s="1">
        <v>2.4134013E8</v>
      </c>
      <c r="G237" s="1">
        <v>23282.7</v>
      </c>
      <c r="H237" s="7">
        <v>0.004525103359739737</v>
      </c>
    </row>
    <row r="238">
      <c r="A238" s="9">
        <v>45854.0</v>
      </c>
      <c r="B238" s="1">
        <v>25196.6</v>
      </c>
      <c r="C238" s="1">
        <v>25255.3</v>
      </c>
      <c r="D238" s="1">
        <v>25121.05</v>
      </c>
      <c r="E238" s="1">
        <v>25212.05</v>
      </c>
      <c r="F238" s="1">
        <v>2.28815928E8</v>
      </c>
      <c r="G238" s="1">
        <v>22254.54</v>
      </c>
      <c r="H238" s="7">
        <v>6.449487613014868E-4</v>
      </c>
    </row>
    <row r="239">
      <c r="A239" s="9">
        <v>45855.0</v>
      </c>
      <c r="B239" s="1">
        <v>25230.75</v>
      </c>
      <c r="C239" s="1">
        <v>25238.35</v>
      </c>
      <c r="D239" s="1">
        <v>25101.0</v>
      </c>
      <c r="E239" s="1">
        <v>25111.45</v>
      </c>
      <c r="F239" s="1">
        <v>2.4341254E8</v>
      </c>
      <c r="G239" s="1">
        <v>24715.35</v>
      </c>
      <c r="H239" s="7">
        <v>-0.0039901555010401196</v>
      </c>
    </row>
    <row r="240">
      <c r="A240" s="9">
        <v>45856.0</v>
      </c>
      <c r="B240" s="1">
        <v>25108.55</v>
      </c>
      <c r="C240" s="1">
        <v>25144.6</v>
      </c>
      <c r="D240" s="1">
        <v>24918.65</v>
      </c>
      <c r="E240" s="1">
        <v>24968.4</v>
      </c>
      <c r="F240" s="1">
        <v>3.16979826E8</v>
      </c>
      <c r="G240" s="1">
        <v>26330.8</v>
      </c>
      <c r="H240" s="7">
        <v>-0.00569660453697414</v>
      </c>
    </row>
    <row r="241">
      <c r="A241" s="9">
        <v>45859.0</v>
      </c>
      <c r="B241" s="1">
        <v>24999.0</v>
      </c>
      <c r="C241" s="1">
        <v>25111.4</v>
      </c>
      <c r="D241" s="1">
        <v>24882.3</v>
      </c>
      <c r="E241" s="1">
        <v>25090.7</v>
      </c>
      <c r="F241" s="1">
        <v>3.05216414E8</v>
      </c>
      <c r="G241" s="1">
        <v>26062.25</v>
      </c>
      <c r="H241" s="7">
        <v>0.00489819131382064</v>
      </c>
    </row>
    <row r="242">
      <c r="A242" s="9">
        <v>45860.0</v>
      </c>
      <c r="B242" s="1">
        <v>25166.65</v>
      </c>
      <c r="C242" s="1">
        <v>25182.0</v>
      </c>
      <c r="D242" s="1">
        <v>25035.55</v>
      </c>
      <c r="E242" s="1">
        <v>25060.9</v>
      </c>
      <c r="F242" s="1">
        <v>4.8372512E8</v>
      </c>
      <c r="G242" s="1">
        <v>31248.06</v>
      </c>
      <c r="H242" s="7">
        <v>-0.0011876910568457346</v>
      </c>
    </row>
    <row r="243">
      <c r="A243" s="9">
        <v>45861.0</v>
      </c>
      <c r="B243" s="1">
        <v>25139.35</v>
      </c>
      <c r="C243" s="1">
        <v>25233.5</v>
      </c>
      <c r="D243" s="1">
        <v>25085.5</v>
      </c>
      <c r="E243" s="1">
        <v>25219.9</v>
      </c>
      <c r="F243" s="1">
        <v>2.71539651E8</v>
      </c>
      <c r="G243" s="1">
        <v>23042.49</v>
      </c>
      <c r="H243" s="7">
        <v>0.006344544689137261</v>
      </c>
    </row>
    <row r="244">
      <c r="A244" s="9">
        <v>45862.0</v>
      </c>
      <c r="B244" s="1">
        <v>25243.3</v>
      </c>
      <c r="C244" s="1">
        <v>25246.25</v>
      </c>
      <c r="D244" s="1">
        <v>25018.7</v>
      </c>
      <c r="E244" s="1">
        <v>25062.1</v>
      </c>
      <c r="F244" s="1">
        <v>3.3872886E8</v>
      </c>
      <c r="G244" s="1">
        <v>27433.34</v>
      </c>
      <c r="H244" s="7">
        <v>-0.0062569637468825375</v>
      </c>
    </row>
    <row r="245">
      <c r="A245" s="9">
        <v>45863.0</v>
      </c>
      <c r="B245" s="1">
        <v>25010.35</v>
      </c>
      <c r="C245" s="1">
        <v>25010.35</v>
      </c>
      <c r="D245" s="1">
        <v>24806.35</v>
      </c>
      <c r="E245" s="1">
        <v>24837.0</v>
      </c>
      <c r="F245" s="1">
        <v>2.78136104E8</v>
      </c>
      <c r="G245" s="1">
        <v>25273.64</v>
      </c>
      <c r="H245" s="7">
        <v>-0.008981689483323367</v>
      </c>
    </row>
    <row r="246">
      <c r="A246" s="9">
        <v>45866.0</v>
      </c>
      <c r="B246" s="1">
        <v>24782.45</v>
      </c>
      <c r="C246" s="1">
        <v>24889.2</v>
      </c>
      <c r="D246" s="1">
        <v>24646.6</v>
      </c>
      <c r="E246" s="1">
        <v>24680.9</v>
      </c>
      <c r="F246" s="1">
        <v>2.62142969E8</v>
      </c>
      <c r="G246" s="1">
        <v>24976.54</v>
      </c>
      <c r="H246" s="7">
        <v>-0.006284978056931133</v>
      </c>
    </row>
    <row r="247">
      <c r="A247" s="9">
        <v>45867.0</v>
      </c>
      <c r="B247" s="1">
        <v>24609.65</v>
      </c>
      <c r="C247" s="1">
        <v>24847.15</v>
      </c>
      <c r="D247" s="1">
        <v>24598.6</v>
      </c>
      <c r="E247" s="1">
        <v>24821.1</v>
      </c>
      <c r="F247" s="1">
        <v>2.84657235E8</v>
      </c>
      <c r="G247" s="1">
        <v>25954.42</v>
      </c>
      <c r="H247" s="7">
        <v>0.005680505978306993</v>
      </c>
    </row>
    <row r="248">
      <c r="A248" s="9">
        <v>45868.0</v>
      </c>
      <c r="B248" s="1">
        <v>24890.4</v>
      </c>
      <c r="C248" s="1">
        <v>24902.3</v>
      </c>
      <c r="D248" s="1">
        <v>24771.95</v>
      </c>
      <c r="E248" s="1">
        <v>24855.05</v>
      </c>
      <c r="F248" s="1">
        <v>2.43886726E8</v>
      </c>
      <c r="G248" s="1">
        <v>23525.25</v>
      </c>
      <c r="H248" s="7">
        <v>0.0013677878901418845</v>
      </c>
    </row>
    <row r="249">
      <c r="A249" s="9">
        <v>45869.0</v>
      </c>
      <c r="B249" s="1">
        <v>24642.25</v>
      </c>
      <c r="C249" s="1">
        <v>24956.5</v>
      </c>
      <c r="D249" s="1">
        <v>24635.0</v>
      </c>
      <c r="E249" s="1">
        <v>24768.35</v>
      </c>
      <c r="F249" s="1">
        <v>3.46303628E8</v>
      </c>
      <c r="G249" s="1">
        <v>30477.71</v>
      </c>
      <c r="H249" s="7">
        <v>-0.003488224726966984</v>
      </c>
    </row>
    <row r="250">
      <c r="A250" s="3">
        <v>45870.0</v>
      </c>
      <c r="B250" s="1">
        <v>24734.9</v>
      </c>
      <c r="C250" s="1">
        <v>24784.15</v>
      </c>
      <c r="D250" s="1">
        <v>24535.05</v>
      </c>
      <c r="E250" s="1">
        <v>24565.35</v>
      </c>
      <c r="F250" s="1">
        <v>2.63357194E8</v>
      </c>
      <c r="G250" s="1">
        <v>24972.45</v>
      </c>
      <c r="H250" s="7">
        <v>-0.008195943613522903</v>
      </c>
    </row>
    <row r="251">
      <c r="A251" s="3">
        <v>45873.0</v>
      </c>
      <c r="B251" s="1">
        <v>24596.05</v>
      </c>
      <c r="C251" s="1">
        <v>24736.25</v>
      </c>
      <c r="D251" s="1">
        <v>24554.0</v>
      </c>
      <c r="E251" s="1">
        <v>24722.75</v>
      </c>
      <c r="F251" s="1">
        <v>2.59329477E8</v>
      </c>
      <c r="G251" s="1">
        <v>20372.68</v>
      </c>
      <c r="H251" s="7">
        <v>0.006407399039704359</v>
      </c>
    </row>
    <row r="252">
      <c r="A252" s="3">
        <v>45874.0</v>
      </c>
      <c r="B252" s="1">
        <v>24720.25</v>
      </c>
      <c r="C252" s="1">
        <v>24733.1</v>
      </c>
      <c r="D252" s="1">
        <v>24590.3</v>
      </c>
      <c r="E252" s="1">
        <v>24649.55</v>
      </c>
      <c r="F252" s="1">
        <v>2.51849778E8</v>
      </c>
      <c r="G252" s="1">
        <v>23815.36</v>
      </c>
      <c r="H252" s="7">
        <v>-0.002960835667553194</v>
      </c>
    </row>
    <row r="253">
      <c r="A253" s="3">
        <v>45875.0</v>
      </c>
      <c r="B253" s="1">
        <v>24641.35</v>
      </c>
      <c r="C253" s="1">
        <v>24671.4</v>
      </c>
      <c r="D253" s="1">
        <v>24539.2</v>
      </c>
      <c r="E253" s="1">
        <v>24574.2</v>
      </c>
      <c r="F253" s="1">
        <v>2.25091071E8</v>
      </c>
      <c r="G253" s="1">
        <v>20559.22</v>
      </c>
      <c r="H253" s="7">
        <v>-0.0030568509364267723</v>
      </c>
    </row>
    <row r="254">
      <c r="A254" s="3">
        <v>45876.0</v>
      </c>
      <c r="B254" s="1">
        <v>24464.2</v>
      </c>
      <c r="C254" s="1">
        <v>24634.2</v>
      </c>
      <c r="D254" s="1">
        <v>24344.15</v>
      </c>
      <c r="E254" s="1">
        <v>24596.15</v>
      </c>
      <c r="F254" s="1">
        <v>6.1673919E8</v>
      </c>
      <c r="G254" s="1">
        <v>35574.59</v>
      </c>
      <c r="H254" s="7">
        <v>8.932132073475729E-4</v>
      </c>
    </row>
    <row r="255">
      <c r="A255" s="3">
        <v>45877.0</v>
      </c>
      <c r="B255" s="1">
        <v>24544.25</v>
      </c>
      <c r="C255" s="1">
        <v>24585.5</v>
      </c>
      <c r="D255" s="1">
        <v>24337.5</v>
      </c>
      <c r="E255" s="1">
        <v>24363.3</v>
      </c>
      <c r="F255" s="1">
        <v>3.12630157E8</v>
      </c>
      <c r="G255" s="1">
        <v>38135.74</v>
      </c>
      <c r="H255" s="7">
        <v>-0.009466928767307167</v>
      </c>
    </row>
    <row r="256">
      <c r="A256" s="9">
        <v>45880.0</v>
      </c>
      <c r="B256" s="1">
        <v>24371.5</v>
      </c>
      <c r="C256" s="1">
        <v>24600.85</v>
      </c>
      <c r="D256" s="1">
        <v>24347.45</v>
      </c>
      <c r="E256" s="1">
        <v>24585.05</v>
      </c>
      <c r="F256" s="1">
        <v>2.41145497E8</v>
      </c>
      <c r="G256" s="1">
        <v>21081.61</v>
      </c>
      <c r="H256" s="7">
        <v>0.009101804763722484</v>
      </c>
    </row>
    <row r="257">
      <c r="A257" s="9">
        <v>45881.0</v>
      </c>
      <c r="B257" s="1">
        <v>24563.35</v>
      </c>
      <c r="C257" s="1">
        <v>24702.6</v>
      </c>
      <c r="D257" s="1">
        <v>24465.65</v>
      </c>
      <c r="E257" s="1">
        <v>24487.4</v>
      </c>
      <c r="F257" s="1">
        <v>2.37002462E8</v>
      </c>
      <c r="G257" s="1">
        <v>22258.29</v>
      </c>
      <c r="H257" s="7">
        <v>-0.003971926028216246</v>
      </c>
    </row>
    <row r="258">
      <c r="A258" s="9">
        <v>45882.0</v>
      </c>
      <c r="B258" s="1">
        <v>24586.2</v>
      </c>
      <c r="C258" s="1">
        <v>24664.55</v>
      </c>
      <c r="D258" s="1">
        <v>24535.25</v>
      </c>
      <c r="E258" s="1">
        <v>24619.35</v>
      </c>
      <c r="F258" s="1">
        <v>2.36006791E8</v>
      </c>
      <c r="G258" s="1">
        <v>22843.14</v>
      </c>
      <c r="H258" s="7">
        <v>0.005388485506831966</v>
      </c>
    </row>
    <row r="259">
      <c r="A259" s="9">
        <v>45883.0</v>
      </c>
      <c r="B259" s="1">
        <v>24607.25</v>
      </c>
      <c r="C259" s="1">
        <v>24673.65</v>
      </c>
      <c r="D259" s="1">
        <v>24596.9</v>
      </c>
      <c r="E259" s="1">
        <v>24631.3</v>
      </c>
      <c r="F259" s="1">
        <v>2.70162203E8</v>
      </c>
      <c r="G259" s="1">
        <v>22375.44</v>
      </c>
      <c r="H259" s="7">
        <v>4.853905566150499E-4</v>
      </c>
    </row>
    <row r="260">
      <c r="A260" s="9">
        <v>45887.0</v>
      </c>
      <c r="B260" s="1">
        <v>24938.2</v>
      </c>
      <c r="C260" s="1">
        <v>25022.0</v>
      </c>
      <c r="D260" s="1">
        <v>24852.85</v>
      </c>
      <c r="E260" s="1">
        <v>24876.95</v>
      </c>
      <c r="F260" s="1">
        <v>3.63071305E8</v>
      </c>
      <c r="G260" s="1">
        <v>37637.67</v>
      </c>
      <c r="H260" s="7">
        <v>0.009973083028504443</v>
      </c>
    </row>
    <row r="261">
      <c r="A261" s="9">
        <v>45888.0</v>
      </c>
      <c r="B261" s="1">
        <v>24891.35</v>
      </c>
      <c r="C261" s="1">
        <v>25012.65</v>
      </c>
      <c r="D261" s="1">
        <v>24873.95</v>
      </c>
      <c r="E261" s="1">
        <v>24980.65</v>
      </c>
      <c r="F261" s="1">
        <v>2.52340828E8</v>
      </c>
      <c r="G261" s="1">
        <v>24781.97</v>
      </c>
      <c r="H261" s="7">
        <v>0.0041685174428537555</v>
      </c>
    </row>
    <row r="262">
      <c r="A262" s="9">
        <v>45889.0</v>
      </c>
      <c r="B262" s="1">
        <v>24965.8</v>
      </c>
      <c r="C262" s="1">
        <v>25088.7</v>
      </c>
      <c r="D262" s="1">
        <v>24929.7</v>
      </c>
      <c r="E262" s="1">
        <v>25050.55</v>
      </c>
      <c r="F262" s="1">
        <v>2.87054119E8</v>
      </c>
      <c r="G262" s="1">
        <v>25330.45</v>
      </c>
      <c r="H262" s="7">
        <v>0.0027981657803138756</v>
      </c>
    </row>
    <row r="263">
      <c r="A263" s="9">
        <v>45890.0</v>
      </c>
      <c r="B263" s="1">
        <v>25142.0</v>
      </c>
      <c r="C263" s="1">
        <v>25153.65</v>
      </c>
      <c r="D263" s="1">
        <v>25054.9</v>
      </c>
      <c r="E263" s="1">
        <v>25083.75</v>
      </c>
      <c r="F263" s="1">
        <v>2.26542052E8</v>
      </c>
      <c r="G263" s="1">
        <v>21865.07</v>
      </c>
      <c r="H263" s="7">
        <v>0.0013253202025504721</v>
      </c>
    </row>
    <row r="264">
      <c r="A264" s="9">
        <v>45891.0</v>
      </c>
      <c r="B264" s="1">
        <v>25064.15</v>
      </c>
      <c r="C264" s="1">
        <v>25084.85</v>
      </c>
      <c r="D264" s="1">
        <v>24859.15</v>
      </c>
      <c r="E264" s="1">
        <v>24870.1</v>
      </c>
      <c r="F264" s="1">
        <v>2.10165384E8</v>
      </c>
      <c r="G264" s="1">
        <v>19655.78</v>
      </c>
      <c r="H264" s="7">
        <v>-0.008517466487267712</v>
      </c>
    </row>
    <row r="265">
      <c r="A265" s="9">
        <v>45894.0</v>
      </c>
      <c r="B265" s="1">
        <v>24949.15</v>
      </c>
      <c r="C265" s="1">
        <v>25021.55</v>
      </c>
      <c r="D265" s="1">
        <v>24894.35</v>
      </c>
      <c r="E265" s="1">
        <v>24967.75</v>
      </c>
      <c r="F265" s="1">
        <v>2.13032133E8</v>
      </c>
      <c r="G265" s="1">
        <v>19871.25</v>
      </c>
      <c r="H265" s="7">
        <v>0.003926401582623369</v>
      </c>
    </row>
    <row r="266">
      <c r="A266" s="9">
        <v>45895.0</v>
      </c>
      <c r="B266" s="1">
        <v>24899.5</v>
      </c>
      <c r="C266" s="1">
        <v>24919.65</v>
      </c>
      <c r="D266" s="1">
        <v>24689.6</v>
      </c>
      <c r="E266" s="1">
        <v>24712.05</v>
      </c>
      <c r="F266" s="1">
        <v>7.50473927E8</v>
      </c>
      <c r="G266" s="1">
        <v>47068.2</v>
      </c>
      <c r="H266" s="7">
        <v>-0.010241211162399524</v>
      </c>
    </row>
    <row r="267">
      <c r="A267" s="9">
        <v>45897.0</v>
      </c>
      <c r="B267" s="1">
        <v>24695.8</v>
      </c>
      <c r="C267" s="1">
        <v>24702.65</v>
      </c>
      <c r="D267" s="1">
        <v>24481.6</v>
      </c>
      <c r="E267" s="1">
        <v>24500.9</v>
      </c>
      <c r="F267" s="1">
        <v>3.26601486E8</v>
      </c>
      <c r="G267" s="1">
        <v>29371.67</v>
      </c>
      <c r="H267" s="7">
        <v>-0.008544414566982416</v>
      </c>
    </row>
    <row r="268">
      <c r="A268" s="9">
        <v>45898.0</v>
      </c>
      <c r="B268" s="1">
        <v>24466.7</v>
      </c>
      <c r="C268" s="1">
        <v>24572.45</v>
      </c>
      <c r="D268" s="1">
        <v>24404.7</v>
      </c>
      <c r="E268" s="1">
        <v>24426.85</v>
      </c>
      <c r="F268" s="1">
        <v>3.25543583E8</v>
      </c>
      <c r="G268" s="1">
        <v>26796.69</v>
      </c>
      <c r="H268" s="7">
        <v>-0.0030223379549323866</v>
      </c>
    </row>
    <row r="269">
      <c r="A269" s="3">
        <v>45901.0</v>
      </c>
      <c r="B269" s="1">
        <v>24432.7</v>
      </c>
      <c r="C269" s="1">
        <v>24635.6</v>
      </c>
      <c r="D269" s="1">
        <v>24432.7</v>
      </c>
      <c r="E269" s="1">
        <v>24625.05</v>
      </c>
      <c r="F269" s="1">
        <v>2.29327424E8</v>
      </c>
      <c r="G269" s="1">
        <v>20704.88</v>
      </c>
      <c r="H269" s="7">
        <v>0.008114022069976306</v>
      </c>
    </row>
    <row r="270">
      <c r="A270" s="3">
        <v>45902.0</v>
      </c>
      <c r="B270" s="1">
        <v>24653.0</v>
      </c>
      <c r="C270" s="1">
        <v>24756.1</v>
      </c>
      <c r="D270" s="1">
        <v>24522.35</v>
      </c>
      <c r="E270" s="1">
        <v>24579.6</v>
      </c>
      <c r="F270" s="1">
        <v>2.71558516E8</v>
      </c>
      <c r="G270" s="1">
        <v>22051.8</v>
      </c>
      <c r="H270" s="7">
        <v>-0.001845681531611133</v>
      </c>
    </row>
    <row r="271">
      <c r="A271" s="3">
        <v>45903.0</v>
      </c>
      <c r="B271" s="1">
        <v>24616.5</v>
      </c>
      <c r="C271" s="1">
        <v>24737.05</v>
      </c>
      <c r="D271" s="1">
        <v>24533.2</v>
      </c>
      <c r="E271" s="1">
        <v>24715.05</v>
      </c>
      <c r="F271" s="1">
        <v>3.40283328E8</v>
      </c>
      <c r="G271" s="1">
        <v>23533.08</v>
      </c>
      <c r="H271" s="7">
        <v>0.005510667382707641</v>
      </c>
    </row>
    <row r="272">
      <c r="A272" s="3">
        <v>45904.0</v>
      </c>
      <c r="B272" s="1">
        <v>24980.75</v>
      </c>
      <c r="C272" s="1">
        <v>24980.75</v>
      </c>
      <c r="D272" s="1">
        <v>24708.2</v>
      </c>
      <c r="E272" s="1">
        <v>24734.3</v>
      </c>
      <c r="F272" s="1">
        <v>3.1409416E8</v>
      </c>
      <c r="G272" s="1">
        <v>30252.19</v>
      </c>
      <c r="H272" s="7">
        <v>7.788776474253542E-4</v>
      </c>
    </row>
    <row r="273">
      <c r="A273" s="3">
        <v>45905.0</v>
      </c>
      <c r="B273" s="1">
        <v>24818.85</v>
      </c>
      <c r="C273" s="1">
        <v>24832.35</v>
      </c>
      <c r="D273" s="1">
        <v>24621.6</v>
      </c>
      <c r="E273" s="1">
        <v>24741.0</v>
      </c>
      <c r="F273" s="1">
        <v>2.10071924E8</v>
      </c>
      <c r="G273" s="1">
        <v>18530.24</v>
      </c>
      <c r="H273" s="7">
        <v>2.708789009594259E-4</v>
      </c>
    </row>
    <row r="274">
      <c r="A274" s="3">
        <v>45908.0</v>
      </c>
      <c r="B274" s="1">
        <v>24802.6</v>
      </c>
      <c r="C274" s="1">
        <v>24885.5</v>
      </c>
      <c r="D274" s="1">
        <v>24751.55</v>
      </c>
      <c r="E274" s="1">
        <v>24773.15</v>
      </c>
      <c r="F274" s="1">
        <v>2.13228202E8</v>
      </c>
      <c r="G274" s="1">
        <v>20122.88</v>
      </c>
      <c r="H274" s="7">
        <v>0.0012994624307829698</v>
      </c>
    </row>
    <row r="275">
      <c r="A275" s="3">
        <v>45909.0</v>
      </c>
      <c r="B275" s="1">
        <v>24864.1</v>
      </c>
      <c r="C275" s="1">
        <v>24891.8</v>
      </c>
      <c r="D275" s="1">
        <v>24814.0</v>
      </c>
      <c r="E275" s="1">
        <v>24868.6</v>
      </c>
      <c r="F275" s="1">
        <v>2.26919775E8</v>
      </c>
      <c r="G275" s="1">
        <v>22356.88</v>
      </c>
      <c r="H275" s="7">
        <v>0.0038529617751475722</v>
      </c>
    </row>
    <row r="276">
      <c r="A276" s="9">
        <v>45910.0</v>
      </c>
      <c r="B276" s="1">
        <v>24991.0</v>
      </c>
      <c r="C276" s="1">
        <v>25035.7</v>
      </c>
      <c r="D276" s="1">
        <v>24915.05</v>
      </c>
      <c r="E276" s="1">
        <v>24973.1</v>
      </c>
      <c r="F276" s="1">
        <v>2.44146466E8</v>
      </c>
      <c r="G276" s="1">
        <v>22458.98</v>
      </c>
      <c r="H276" s="7">
        <v>0.004202086164882623</v>
      </c>
    </row>
    <row r="277">
      <c r="A277" s="9">
        <v>45911.0</v>
      </c>
      <c r="B277" s="1">
        <v>24945.5</v>
      </c>
      <c r="C277" s="1">
        <v>25037.3</v>
      </c>
      <c r="D277" s="1">
        <v>24940.15</v>
      </c>
      <c r="E277" s="1">
        <v>25005.5</v>
      </c>
      <c r="F277" s="1">
        <v>2.24570983E8</v>
      </c>
      <c r="G277" s="1">
        <v>21316.72</v>
      </c>
      <c r="H277" s="7">
        <v>0.0012973959980940074</v>
      </c>
    </row>
    <row r="278">
      <c r="A278" s="9">
        <v>45912.0</v>
      </c>
      <c r="B278" s="1">
        <v>25074.45</v>
      </c>
      <c r="C278" s="1">
        <v>25139.45</v>
      </c>
      <c r="D278" s="1">
        <v>25038.05</v>
      </c>
      <c r="E278" s="1">
        <v>25114.0</v>
      </c>
      <c r="F278" s="1">
        <v>2.25739766E8</v>
      </c>
      <c r="G278" s="1">
        <v>21335.67</v>
      </c>
      <c r="H278" s="7">
        <v>0.0043390454100097975</v>
      </c>
    </row>
    <row r="279">
      <c r="A279" s="9">
        <v>45915.0</v>
      </c>
      <c r="B279" s="1">
        <v>25118.9</v>
      </c>
      <c r="C279" s="1">
        <v>25138.45</v>
      </c>
      <c r="D279" s="1">
        <v>25048.75</v>
      </c>
      <c r="E279" s="1">
        <v>25069.2</v>
      </c>
      <c r="F279" s="1">
        <v>1.85375759E8</v>
      </c>
      <c r="G279" s="1">
        <v>17115.6</v>
      </c>
      <c r="H279" s="7">
        <v>-0.0017838655729871494</v>
      </c>
    </row>
    <row r="280">
      <c r="A280" s="9">
        <v>45916.0</v>
      </c>
      <c r="B280" s="1">
        <v>25073.6</v>
      </c>
      <c r="C280" s="1">
        <v>25261.4</v>
      </c>
      <c r="D280" s="1">
        <v>25070.45</v>
      </c>
      <c r="E280" s="1">
        <v>25239.1</v>
      </c>
      <c r="F280" s="1">
        <v>2.4012232E8</v>
      </c>
      <c r="G280" s="1">
        <v>22642.86</v>
      </c>
      <c r="H280" s="7">
        <v>0.006777240598024581</v>
      </c>
    </row>
    <row r="281">
      <c r="A281" s="9">
        <v>45917.0</v>
      </c>
      <c r="B281" s="1">
        <v>25276.6</v>
      </c>
      <c r="C281" s="1">
        <v>25346.5</v>
      </c>
      <c r="D281" s="1">
        <v>25275.35</v>
      </c>
      <c r="E281" s="1">
        <v>25330.25</v>
      </c>
      <c r="F281" s="1">
        <v>2.68936695E8</v>
      </c>
      <c r="G281" s="1">
        <v>23484.12</v>
      </c>
      <c r="H281" s="7">
        <v>0.0036114599965926465</v>
      </c>
    </row>
    <row r="282">
      <c r="A282" s="9">
        <v>45918.0</v>
      </c>
      <c r="B282" s="1">
        <v>25441.05</v>
      </c>
      <c r="C282" s="1">
        <v>25448.55</v>
      </c>
      <c r="D282" s="1">
        <v>25329.75</v>
      </c>
      <c r="E282" s="1">
        <v>25423.6</v>
      </c>
      <c r="F282" s="1">
        <v>2.72193683E8</v>
      </c>
      <c r="G282" s="1">
        <v>24198.11</v>
      </c>
      <c r="H282" s="7">
        <v>0.003685316962919772</v>
      </c>
    </row>
    <row r="283">
      <c r="A283" s="9">
        <v>45919.0</v>
      </c>
      <c r="B283" s="1">
        <v>25410.2</v>
      </c>
      <c r="C283" s="1">
        <v>25431.4</v>
      </c>
      <c r="D283" s="1">
        <v>25286.3</v>
      </c>
      <c r="E283" s="1">
        <v>25327.05</v>
      </c>
      <c r="F283" s="1">
        <v>3.80362832E8</v>
      </c>
      <c r="G283" s="1">
        <v>38805.58</v>
      </c>
      <c r="H283" s="7">
        <v>-0.0037976525747730173</v>
      </c>
    </row>
    <row r="284">
      <c r="A284" s="9">
        <v>45922.0</v>
      </c>
      <c r="B284" s="1">
        <v>25238.1</v>
      </c>
      <c r="C284" s="1">
        <v>25331.7</v>
      </c>
      <c r="D284" s="1">
        <v>25151.05</v>
      </c>
      <c r="E284" s="1">
        <v>25202.35</v>
      </c>
      <c r="F284" s="1">
        <v>2.54509892E8</v>
      </c>
      <c r="G284" s="1">
        <v>25277.82</v>
      </c>
      <c r="H284" s="7">
        <v>-0.004923589600841816</v>
      </c>
    </row>
    <row r="285">
      <c r="A285" s="9">
        <v>45923.0</v>
      </c>
      <c r="B285" s="1">
        <v>25209.0</v>
      </c>
      <c r="C285" s="1">
        <v>25261.9</v>
      </c>
      <c r="D285" s="1">
        <v>25084.65</v>
      </c>
      <c r="E285" s="1">
        <v>25169.5</v>
      </c>
      <c r="F285" s="1">
        <v>2.99204338E8</v>
      </c>
      <c r="G285" s="1">
        <v>31435.17</v>
      </c>
      <c r="H285" s="7">
        <v>-0.0013034498766979488</v>
      </c>
    </row>
    <row r="286">
      <c r="A286" s="9">
        <v>45924.0</v>
      </c>
      <c r="B286" s="1">
        <v>25108.75</v>
      </c>
      <c r="C286" s="1">
        <v>25149.85</v>
      </c>
      <c r="D286" s="1">
        <v>25027.45</v>
      </c>
      <c r="E286" s="1">
        <v>25056.9</v>
      </c>
      <c r="F286" s="1">
        <v>2.44382281E8</v>
      </c>
      <c r="G286" s="1">
        <v>22310.05</v>
      </c>
      <c r="H286" s="7">
        <v>-0.004473668527384276</v>
      </c>
    </row>
    <row r="287">
      <c r="A287" s="9">
        <v>45925.0</v>
      </c>
      <c r="B287" s="1">
        <v>25034.5</v>
      </c>
      <c r="C287" s="1">
        <v>25092.7</v>
      </c>
      <c r="D287" s="1">
        <v>24878.3</v>
      </c>
      <c r="E287" s="1">
        <v>24890.85</v>
      </c>
      <c r="F287" s="1">
        <v>3.42534768E8</v>
      </c>
      <c r="G287" s="1">
        <v>32715.91</v>
      </c>
      <c r="H287" s="7">
        <v>-0.006626917136597221</v>
      </c>
    </row>
    <row r="288">
      <c r="A288" s="9">
        <v>45926.0</v>
      </c>
      <c r="B288" s="1">
        <v>24818.55</v>
      </c>
      <c r="C288" s="1">
        <v>24868.6</v>
      </c>
      <c r="D288" s="1">
        <v>24629.45</v>
      </c>
      <c r="E288" s="1">
        <v>24654.7</v>
      </c>
      <c r="F288" s="1">
        <v>2.91537949E8</v>
      </c>
      <c r="G288" s="1">
        <v>29987.93</v>
      </c>
      <c r="H288" s="7">
        <v>-0.009487422084822247</v>
      </c>
    </row>
    <row r="289">
      <c r="A289" s="9">
        <v>45929.0</v>
      </c>
      <c r="B289" s="1">
        <v>24728.55</v>
      </c>
      <c r="C289" s="1">
        <v>24791.3</v>
      </c>
      <c r="D289" s="1">
        <v>24606.2</v>
      </c>
      <c r="E289" s="1">
        <v>24634.9</v>
      </c>
      <c r="F289" s="1">
        <v>3.94388242E8</v>
      </c>
      <c r="G289" s="1">
        <v>40004.93</v>
      </c>
      <c r="H289" s="7">
        <v>-8.03092310999496E-4</v>
      </c>
    </row>
    <row r="290">
      <c r="A290" s="9">
        <v>45930.0</v>
      </c>
      <c r="B290" s="1">
        <v>24691.95</v>
      </c>
      <c r="C290" s="1">
        <v>24731.8</v>
      </c>
      <c r="D290" s="1">
        <v>24587.7</v>
      </c>
      <c r="E290" s="1">
        <v>24611.1</v>
      </c>
      <c r="F290" s="1">
        <v>3.0492472E8</v>
      </c>
      <c r="G290" s="1">
        <v>29285.11</v>
      </c>
      <c r="H290" s="7">
        <v>-9.661090566636321E-4</v>
      </c>
    </row>
    <row r="291">
      <c r="A291" s="3">
        <v>45931.0</v>
      </c>
      <c r="B291" s="1">
        <v>24620.55</v>
      </c>
      <c r="C291" s="1">
        <v>24867.95</v>
      </c>
      <c r="D291" s="1">
        <v>24605.95</v>
      </c>
      <c r="E291" s="1">
        <v>24836.3</v>
      </c>
      <c r="F291" s="1">
        <v>3.08135228E8</v>
      </c>
      <c r="G291" s="1">
        <v>29041.17</v>
      </c>
      <c r="H291" s="7">
        <v>0.009150342731531737</v>
      </c>
    </row>
    <row r="292">
      <c r="A292" s="3">
        <v>45933.0</v>
      </c>
      <c r="B292" s="1">
        <v>24759.55</v>
      </c>
      <c r="C292" s="1">
        <v>24904.8</v>
      </c>
      <c r="D292" s="1">
        <v>24747.55</v>
      </c>
      <c r="E292" s="1">
        <v>24894.25</v>
      </c>
      <c r="F292" s="1">
        <v>3.66929642E8</v>
      </c>
      <c r="G292" s="1">
        <v>31409.06</v>
      </c>
      <c r="H292" s="7">
        <v>0.002333278306350009</v>
      </c>
    </row>
    <row r="293">
      <c r="A293" s="3">
        <v>45936.0</v>
      </c>
      <c r="B293" s="1">
        <v>24916.55</v>
      </c>
      <c r="C293" s="1">
        <v>25095.95</v>
      </c>
      <c r="D293" s="1">
        <v>24881.65</v>
      </c>
      <c r="E293" s="1">
        <v>25077.65</v>
      </c>
      <c r="F293" s="1">
        <v>2.7195307E8</v>
      </c>
      <c r="G293" s="1">
        <v>25160.76</v>
      </c>
      <c r="H293" s="7">
        <v>0.007367163099912689</v>
      </c>
    </row>
    <row r="294">
      <c r="A294" s="3">
        <v>45937.0</v>
      </c>
      <c r="B294" s="1">
        <v>25085.3</v>
      </c>
      <c r="C294" s="1">
        <v>25220.9</v>
      </c>
      <c r="D294" s="1">
        <v>25076.3</v>
      </c>
      <c r="E294" s="1">
        <v>25108.3</v>
      </c>
      <c r="F294" s="1">
        <v>2.86833765E8</v>
      </c>
      <c r="G294" s="1">
        <v>26176.23</v>
      </c>
      <c r="H294" s="7">
        <v>0.0012222038348887482</v>
      </c>
    </row>
    <row r="295">
      <c r="A295" s="3">
        <v>45938.0</v>
      </c>
      <c r="B295" s="1">
        <v>25079.75</v>
      </c>
      <c r="C295" s="1">
        <v>25192.5</v>
      </c>
      <c r="D295" s="1">
        <v>25008.5</v>
      </c>
      <c r="E295" s="1">
        <v>25046.15</v>
      </c>
      <c r="F295" s="1">
        <v>2.25967495E8</v>
      </c>
      <c r="G295" s="1">
        <v>21701.19</v>
      </c>
      <c r="H295" s="7">
        <v>-0.0024752770996044264</v>
      </c>
    </row>
    <row r="296">
      <c r="A296" s="3">
        <v>45939.0</v>
      </c>
      <c r="B296" s="1">
        <v>25074.3</v>
      </c>
      <c r="C296" s="1">
        <v>25199.25</v>
      </c>
      <c r="D296" s="1">
        <v>25024.3</v>
      </c>
      <c r="E296" s="1">
        <v>25181.8</v>
      </c>
      <c r="F296" s="1">
        <v>2.86253252E8</v>
      </c>
      <c r="G296" s="1">
        <v>22617.86</v>
      </c>
      <c r="H296" s="7">
        <v>0.005416002060196789</v>
      </c>
    </row>
    <row r="297">
      <c r="A297" s="9">
        <v>45940.0</v>
      </c>
      <c r="B297" s="1">
        <v>25167.65</v>
      </c>
      <c r="C297" s="1">
        <v>25330.75</v>
      </c>
      <c r="D297" s="1">
        <v>25156.85</v>
      </c>
      <c r="E297" s="1">
        <v>25285.35</v>
      </c>
      <c r="F297" s="1">
        <v>2.32943306E8</v>
      </c>
      <c r="G297" s="1">
        <v>21749.23</v>
      </c>
      <c r="H297" s="7">
        <v>0.004112096831838839</v>
      </c>
    </row>
    <row r="298">
      <c r="A298" s="9">
        <v>45943.0</v>
      </c>
      <c r="B298" s="1">
        <v>25177.3</v>
      </c>
      <c r="C298" s="1">
        <v>25267.3</v>
      </c>
      <c r="D298" s="1">
        <v>25152.3</v>
      </c>
      <c r="E298" s="1">
        <v>25227.35</v>
      </c>
      <c r="F298" s="1">
        <v>2.34285202E8</v>
      </c>
      <c r="G298" s="1">
        <v>20806.83</v>
      </c>
      <c r="H298" s="7">
        <v>-0.002293818357270119</v>
      </c>
    </row>
    <row r="299">
      <c r="A299" s="9">
        <v>45944.0</v>
      </c>
      <c r="B299" s="1">
        <v>25277.55</v>
      </c>
      <c r="C299" s="1">
        <v>25310.35</v>
      </c>
      <c r="D299" s="1">
        <v>25060.55</v>
      </c>
      <c r="E299" s="1">
        <v>25145.5</v>
      </c>
      <c r="F299" s="1">
        <v>2.92129083E8</v>
      </c>
      <c r="G299" s="1">
        <v>24151.97</v>
      </c>
      <c r="H299" s="7">
        <v>-0.003244494566412982</v>
      </c>
    </row>
    <row r="300">
      <c r="A300" s="9">
        <v>45945.0</v>
      </c>
      <c r="B300" s="1">
        <v>25181.95</v>
      </c>
      <c r="C300" s="1">
        <v>25365.15</v>
      </c>
      <c r="D300" s="1">
        <v>25159.35</v>
      </c>
      <c r="E300" s="1">
        <v>25323.55</v>
      </c>
      <c r="F300" s="1">
        <v>2.89930172E8</v>
      </c>
      <c r="G300" s="1">
        <v>25202.02</v>
      </c>
      <c r="H300" s="7">
        <v>0.007080789803344506</v>
      </c>
    </row>
    <row r="301">
      <c r="A301" s="9">
        <v>45946.0</v>
      </c>
      <c r="B301" s="1">
        <v>25394.9</v>
      </c>
      <c r="C301" s="1">
        <v>25625.4</v>
      </c>
      <c r="D301" s="1">
        <v>25376.85</v>
      </c>
      <c r="E301" s="1">
        <v>25585.3</v>
      </c>
      <c r="F301" s="1">
        <v>3.72777021E8</v>
      </c>
      <c r="G301" s="1">
        <v>32008.64</v>
      </c>
      <c r="H301" s="7">
        <v>0.01033622853036008</v>
      </c>
    </row>
    <row r="302">
      <c r="A302" s="9">
        <v>45947.0</v>
      </c>
      <c r="B302" s="1">
        <v>25546.85</v>
      </c>
      <c r="C302" s="1">
        <v>25781.5</v>
      </c>
      <c r="D302" s="1">
        <v>25508.6</v>
      </c>
      <c r="E302" s="1">
        <v>25709.85</v>
      </c>
      <c r="F302" s="1">
        <v>4.22055809E8</v>
      </c>
      <c r="G302" s="1">
        <v>35106.96</v>
      </c>
      <c r="H302" s="7">
        <v>0.004868029688922908</v>
      </c>
    </row>
    <row r="303">
      <c r="A303" s="9">
        <v>45950.0</v>
      </c>
      <c r="B303" s="1">
        <v>25824.6</v>
      </c>
      <c r="C303" s="1">
        <v>25926.2</v>
      </c>
      <c r="D303" s="1">
        <v>25788.5</v>
      </c>
      <c r="E303" s="1">
        <v>25843.15</v>
      </c>
      <c r="F303" s="1">
        <v>3.01133193E8</v>
      </c>
      <c r="G303" s="1">
        <v>29637.12</v>
      </c>
      <c r="H303" s="7">
        <v>0.0051847832640020425</v>
      </c>
    </row>
    <row r="304">
      <c r="A304" s="9">
        <v>45951.0</v>
      </c>
      <c r="B304" s="1">
        <v>25901.2</v>
      </c>
      <c r="C304" s="1">
        <v>25934.35</v>
      </c>
      <c r="D304" s="1">
        <v>25825.8</v>
      </c>
      <c r="E304" s="1">
        <v>25868.6</v>
      </c>
      <c r="F304" s="1">
        <v>4.2477128E7</v>
      </c>
      <c r="G304" s="1">
        <v>3831.1</v>
      </c>
      <c r="H304" s="7">
        <v>9.847870712353984E-4</v>
      </c>
    </row>
    <row r="305">
      <c r="A305" s="9">
        <v>45953.0</v>
      </c>
      <c r="B305" s="1">
        <v>26057.2</v>
      </c>
      <c r="C305" s="1">
        <v>26104.2</v>
      </c>
      <c r="D305" s="1">
        <v>25862.45</v>
      </c>
      <c r="E305" s="1">
        <v>25891.4</v>
      </c>
      <c r="F305" s="1">
        <v>4.48404894E8</v>
      </c>
      <c r="G305" s="1">
        <v>41777.68</v>
      </c>
      <c r="H305" s="7">
        <v>8.813774228216027E-4</v>
      </c>
    </row>
    <row r="306">
      <c r="A306" s="9">
        <v>45954.0</v>
      </c>
      <c r="B306" s="1">
        <v>25935.1</v>
      </c>
      <c r="C306" s="1">
        <v>25944.15</v>
      </c>
      <c r="D306" s="1">
        <v>25718.2</v>
      </c>
      <c r="E306" s="1">
        <v>25795.15</v>
      </c>
      <c r="F306" s="1">
        <v>2.84913477E8</v>
      </c>
      <c r="G306" s="1">
        <v>23527.98</v>
      </c>
      <c r="H306" s="7">
        <v>-0.003717450582046548</v>
      </c>
    </row>
    <row r="307">
      <c r="A307" s="9">
        <v>45957.0</v>
      </c>
      <c r="B307" s="1">
        <v>25843.2</v>
      </c>
      <c r="C307" s="1">
        <v>26005.95</v>
      </c>
      <c r="D307" s="1">
        <v>25827.0</v>
      </c>
      <c r="E307" s="1">
        <v>25966.05</v>
      </c>
      <c r="F307" s="1">
        <v>2.66337274E8</v>
      </c>
      <c r="G307" s="1">
        <v>23989.06</v>
      </c>
      <c r="H307" s="7">
        <v>0.0066252764570083065</v>
      </c>
    </row>
    <row r="308">
      <c r="A308" s="9">
        <v>45958.0</v>
      </c>
      <c r="B308" s="1">
        <v>25939.95</v>
      </c>
      <c r="C308" s="1">
        <v>26041.7</v>
      </c>
      <c r="D308" s="1">
        <v>25810.05</v>
      </c>
      <c r="E308" s="1">
        <v>25936.2</v>
      </c>
      <c r="F308" s="1">
        <v>3.95231207E8</v>
      </c>
      <c r="G308" s="1">
        <v>37023.32</v>
      </c>
      <c r="H308" s="7">
        <v>-0.0011495780066663411</v>
      </c>
    </row>
    <row r="309">
      <c r="A309" s="9">
        <v>45959.0</v>
      </c>
      <c r="B309" s="1">
        <v>25982.0</v>
      </c>
      <c r="C309" s="1">
        <v>26097.85</v>
      </c>
      <c r="D309" s="1">
        <v>25960.3</v>
      </c>
      <c r="E309" s="1">
        <v>26053.9</v>
      </c>
      <c r="F309" s="1">
        <v>3.2188061E8</v>
      </c>
      <c r="G309" s="1">
        <v>26309.32</v>
      </c>
      <c r="H309" s="7">
        <v>0.004538058774994052</v>
      </c>
    </row>
    <row r="310">
      <c r="A310" s="9">
        <v>45960.0</v>
      </c>
      <c r="B310" s="1">
        <v>25984.4</v>
      </c>
      <c r="C310" s="1">
        <v>26032.05</v>
      </c>
      <c r="D310" s="1">
        <v>25845.25</v>
      </c>
      <c r="E310" s="1">
        <v>25877.85</v>
      </c>
      <c r="F310" s="1">
        <v>2.57373001E8</v>
      </c>
      <c r="G310" s="1">
        <v>24180.46</v>
      </c>
      <c r="H310" s="7">
        <v>-0.006757145763206388</v>
      </c>
    </row>
    <row r="311">
      <c r="A311" s="9">
        <v>45961.0</v>
      </c>
      <c r="B311" s="1">
        <v>25863.8</v>
      </c>
      <c r="C311" s="1">
        <v>25953.75</v>
      </c>
      <c r="D311" s="1">
        <v>25711.2</v>
      </c>
      <c r="E311" s="1">
        <v>25722.1</v>
      </c>
      <c r="F311" s="1">
        <v>3.343844E8</v>
      </c>
      <c r="G311" s="1">
        <v>28788.4</v>
      </c>
      <c r="H311" s="7">
        <v>-0.006018660746545792</v>
      </c>
    </row>
    <row r="312">
      <c r="A312" s="3">
        <v>45964.0</v>
      </c>
      <c r="B312" s="1">
        <v>25696.85</v>
      </c>
      <c r="C312" s="1">
        <v>25803.1</v>
      </c>
      <c r="D312" s="1">
        <v>25645.5</v>
      </c>
      <c r="E312" s="1">
        <v>25763.35</v>
      </c>
      <c r="F312" s="1">
        <v>2.75858501E8</v>
      </c>
      <c r="G312" s="1">
        <v>23949.88</v>
      </c>
      <c r="H312" s="7">
        <v>0.0016036793263380518</v>
      </c>
    </row>
    <row r="313">
      <c r="A313" s="3">
        <v>45965.0</v>
      </c>
      <c r="B313" s="1">
        <v>25744.75</v>
      </c>
      <c r="C313" s="1">
        <v>25787.4</v>
      </c>
      <c r="D313" s="1">
        <v>25578.4</v>
      </c>
      <c r="E313" s="1">
        <v>25597.65</v>
      </c>
      <c r="F313" s="1">
        <v>3.05143084E8</v>
      </c>
      <c r="G313" s="1">
        <v>29307.41</v>
      </c>
      <c r="H313" s="7">
        <v>-0.006431617006328645</v>
      </c>
    </row>
    <row r="314">
      <c r="A314" s="3">
        <v>45967.0</v>
      </c>
      <c r="B314" s="1">
        <v>25593.35</v>
      </c>
      <c r="C314" s="1">
        <v>25679.15</v>
      </c>
      <c r="D314" s="1">
        <v>25491.55</v>
      </c>
      <c r="E314" s="1">
        <v>25509.7</v>
      </c>
      <c r="F314" s="1">
        <v>3.71852417E8</v>
      </c>
      <c r="G314" s="1">
        <v>36129.62</v>
      </c>
      <c r="H314" s="7">
        <v>-0.003435862276419934</v>
      </c>
    </row>
    <row r="315">
      <c r="A315" s="3">
        <v>45968.0</v>
      </c>
      <c r="B315" s="1">
        <v>25433.8</v>
      </c>
      <c r="C315" s="1">
        <v>25551.25</v>
      </c>
      <c r="D315" s="1">
        <v>25318.45</v>
      </c>
      <c r="E315" s="1">
        <v>25492.3</v>
      </c>
      <c r="F315" s="1">
        <v>3.05606393E8</v>
      </c>
      <c r="G315" s="1">
        <v>35487.0</v>
      </c>
      <c r="H315" s="7">
        <v>-6.820934781671856E-4</v>
      </c>
    </row>
    <row r="316">
      <c r="A316" s="9">
        <v>45971.0</v>
      </c>
      <c r="B316" s="1">
        <v>25503.5</v>
      </c>
      <c r="C316" s="1">
        <v>25653.45</v>
      </c>
      <c r="D316" s="1">
        <v>25503.5</v>
      </c>
      <c r="E316" s="1">
        <v>25574.35</v>
      </c>
      <c r="F316" s="1">
        <v>2.43592948E8</v>
      </c>
      <c r="G316" s="1">
        <v>25023.65</v>
      </c>
      <c r="H316" s="7">
        <v>0.003218618955527719</v>
      </c>
    </row>
    <row r="317">
      <c r="A317" s="9">
        <v>45972.0</v>
      </c>
      <c r="B317" s="1">
        <v>25617.0</v>
      </c>
      <c r="C317" s="1">
        <v>25715.8</v>
      </c>
      <c r="D317" s="1">
        <v>25449.25</v>
      </c>
      <c r="E317" s="1">
        <v>25694.95</v>
      </c>
      <c r="F317" s="1">
        <v>2.97714069E8</v>
      </c>
      <c r="G317" s="1">
        <v>28285.51</v>
      </c>
      <c r="H317" s="7">
        <v>0.004715662372650808</v>
      </c>
    </row>
    <row r="318">
      <c r="A318" s="9">
        <v>45973.0</v>
      </c>
      <c r="B318" s="1">
        <v>25834.3</v>
      </c>
      <c r="C318" s="1">
        <v>25934.55</v>
      </c>
      <c r="D318" s="1">
        <v>25781.15</v>
      </c>
      <c r="E318" s="1">
        <v>25875.8</v>
      </c>
      <c r="F318" s="1">
        <v>3.43864299E8</v>
      </c>
      <c r="G318" s="1">
        <v>30633.19</v>
      </c>
      <c r="H318" s="7">
        <v>0.007038348002233845</v>
      </c>
    </row>
    <row r="319">
      <c r="A319" s="9">
        <v>45974.0</v>
      </c>
      <c r="B319" s="1">
        <v>25906.1</v>
      </c>
      <c r="C319" s="1">
        <v>26010.7</v>
      </c>
      <c r="D319" s="1">
        <v>25808.4</v>
      </c>
      <c r="E319" s="1">
        <v>25879.15</v>
      </c>
      <c r="F319" s="1">
        <v>3.85170023E8</v>
      </c>
      <c r="G319" s="1">
        <v>30145.74</v>
      </c>
      <c r="H319" s="7">
        <v>1.2946459626377477E-4</v>
      </c>
    </row>
    <row r="320">
      <c r="A320" s="9">
        <v>45975.0</v>
      </c>
      <c r="B320" s="1">
        <v>25767.9</v>
      </c>
      <c r="C320" s="1">
        <v>25940.2</v>
      </c>
      <c r="D320" s="1">
        <v>25740.8</v>
      </c>
      <c r="E320" s="1">
        <v>25910.05</v>
      </c>
      <c r="F320" s="1">
        <v>5.18943416E8</v>
      </c>
      <c r="G320" s="1">
        <v>33121.81</v>
      </c>
      <c r="H320" s="7">
        <v>0.001194011395273717</v>
      </c>
    </row>
    <row r="321">
      <c r="A321" s="9">
        <v>45978.0</v>
      </c>
      <c r="B321" s="1">
        <v>25948.2</v>
      </c>
      <c r="C321" s="1">
        <v>26024.2</v>
      </c>
      <c r="D321" s="1">
        <v>25906.35</v>
      </c>
      <c r="E321" s="1">
        <v>26013.45</v>
      </c>
      <c r="F321" s="1">
        <v>2.64610565E8</v>
      </c>
      <c r="G321" s="1">
        <v>23384.35</v>
      </c>
      <c r="H321" s="7">
        <v>0.003990729465979474</v>
      </c>
    </row>
    <row r="322">
      <c r="A322" s="9">
        <v>45979.0</v>
      </c>
      <c r="B322" s="1">
        <v>26021.8</v>
      </c>
      <c r="C322" s="1">
        <v>26029.85</v>
      </c>
      <c r="D322" s="1">
        <v>25876.5</v>
      </c>
      <c r="E322" s="1">
        <v>25910.05</v>
      </c>
      <c r="F322" s="1">
        <v>2.80000989E8</v>
      </c>
      <c r="G322" s="1">
        <v>26059.6</v>
      </c>
      <c r="H322" s="7">
        <v>-0.003974866847726905</v>
      </c>
    </row>
    <row r="323">
      <c r="A323" s="9">
        <v>45980.0</v>
      </c>
      <c r="B323" s="1">
        <v>25918.1</v>
      </c>
      <c r="C323" s="1">
        <v>26074.65</v>
      </c>
      <c r="D323" s="1">
        <v>25856.2</v>
      </c>
      <c r="E323" s="1">
        <v>26052.65</v>
      </c>
      <c r="F323" s="1">
        <v>2.50110008E8</v>
      </c>
      <c r="G323" s="1">
        <v>24496.86</v>
      </c>
      <c r="H323" s="7">
        <v>0.005503655917298584</v>
      </c>
    </row>
    <row r="324">
      <c r="A324" s="9">
        <v>45981.0</v>
      </c>
      <c r="B324" s="1">
        <v>26132.1</v>
      </c>
      <c r="C324" s="1">
        <v>26246.65</v>
      </c>
      <c r="D324" s="1">
        <v>26063.2</v>
      </c>
      <c r="E324" s="1">
        <v>26192.15</v>
      </c>
      <c r="F324" s="1">
        <v>2.40425729E8</v>
      </c>
      <c r="G324" s="1">
        <v>25000.17</v>
      </c>
      <c r="H324" s="7">
        <v>0.00535454166850589</v>
      </c>
    </row>
    <row r="325">
      <c r="A325" s="9">
        <v>45982.0</v>
      </c>
      <c r="B325" s="1">
        <v>26109.55</v>
      </c>
      <c r="C325" s="1">
        <v>26179.2</v>
      </c>
      <c r="D325" s="1">
        <v>26052.2</v>
      </c>
      <c r="E325" s="1">
        <v>26068.15</v>
      </c>
      <c r="F325" s="1">
        <v>2.35581427E8</v>
      </c>
      <c r="G325" s="1">
        <v>24720.07</v>
      </c>
      <c r="H325" s="7">
        <v>-0.004734242893385995</v>
      </c>
    </row>
    <row r="326">
      <c r="A326" s="9">
        <v>45985.0</v>
      </c>
      <c r="B326" s="1">
        <v>26122.8</v>
      </c>
      <c r="C326" s="1">
        <v>26142.8</v>
      </c>
      <c r="D326" s="1">
        <v>25912.15</v>
      </c>
      <c r="E326" s="1">
        <v>25959.5</v>
      </c>
      <c r="F326" s="1">
        <v>4.64655063E8</v>
      </c>
      <c r="G326" s="1">
        <v>44895.45</v>
      </c>
      <c r="H326" s="7">
        <v>-0.004167921390662607</v>
      </c>
    </row>
    <row r="327">
      <c r="A327" s="9">
        <v>45986.0</v>
      </c>
      <c r="B327" s="1">
        <v>25998.5</v>
      </c>
      <c r="C327" s="1">
        <v>26032.6</v>
      </c>
      <c r="D327" s="1">
        <v>25857.5</v>
      </c>
      <c r="E327" s="1">
        <v>25884.8</v>
      </c>
      <c r="F327" s="1">
        <v>2.60454909E8</v>
      </c>
      <c r="G327" s="1">
        <v>25320.15</v>
      </c>
      <c r="H327" s="7">
        <v>-0.0028775592750245856</v>
      </c>
    </row>
    <row r="328">
      <c r="A328" s="9">
        <v>45987.0</v>
      </c>
      <c r="B328" s="1">
        <v>25842.95</v>
      </c>
      <c r="C328" s="1">
        <v>26215.15</v>
      </c>
      <c r="D328" s="1">
        <v>25842.95</v>
      </c>
      <c r="E328" s="1">
        <v>26205.3</v>
      </c>
      <c r="F328" s="1">
        <v>2.75265169E8</v>
      </c>
      <c r="G328" s="1">
        <v>31666.03</v>
      </c>
      <c r="H328" s="7">
        <v>0.012381783904067252</v>
      </c>
    </row>
    <row r="329">
      <c r="A329" s="9">
        <v>45988.0</v>
      </c>
      <c r="B329" s="1">
        <v>26261.25</v>
      </c>
      <c r="C329" s="1">
        <v>26310.45</v>
      </c>
      <c r="D329" s="1">
        <v>26141.9</v>
      </c>
      <c r="E329" s="1">
        <v>26215.55</v>
      </c>
      <c r="F329" s="1">
        <v>2.40287057E8</v>
      </c>
      <c r="G329" s="1">
        <v>25306.47</v>
      </c>
      <c r="H329" s="7">
        <v>3.9114224985022116E-4</v>
      </c>
    </row>
    <row r="330">
      <c r="A330" s="9">
        <v>45989.0</v>
      </c>
      <c r="B330" s="1">
        <v>26237.45</v>
      </c>
      <c r="C330" s="1">
        <v>26280.75</v>
      </c>
      <c r="D330" s="1">
        <v>26172.4</v>
      </c>
      <c r="E330" s="1">
        <v>26202.95</v>
      </c>
      <c r="F330" s="1">
        <v>2.02511545E8</v>
      </c>
      <c r="G330" s="1">
        <v>20525.36</v>
      </c>
      <c r="H330" s="7">
        <v>-4.806307706684981E-4</v>
      </c>
    </row>
    <row r="331">
      <c r="A331" s="3">
        <v>45992.0</v>
      </c>
      <c r="B331" s="1">
        <v>26325.8</v>
      </c>
      <c r="C331" s="1">
        <v>26325.8</v>
      </c>
      <c r="D331" s="1">
        <v>26124.2</v>
      </c>
      <c r="E331" s="1">
        <v>26175.75</v>
      </c>
      <c r="F331" s="1">
        <v>2.13828573E8</v>
      </c>
      <c r="G331" s="1">
        <v>21734.75</v>
      </c>
      <c r="H331" s="7">
        <v>-0.001038051059136499</v>
      </c>
    </row>
    <row r="332">
      <c r="A332" s="3">
        <v>45993.0</v>
      </c>
      <c r="B332" s="1">
        <v>26087.95</v>
      </c>
      <c r="C332" s="1">
        <v>26154.6</v>
      </c>
      <c r="D332" s="1">
        <v>25997.85</v>
      </c>
      <c r="E332" s="1">
        <v>26032.2</v>
      </c>
      <c r="F332" s="1">
        <v>2.54803113E8</v>
      </c>
      <c r="G332" s="1">
        <v>26298.82</v>
      </c>
      <c r="H332" s="7">
        <v>-0.005484083550614568</v>
      </c>
    </row>
    <row r="333">
      <c r="A333" s="3">
        <v>45994.0</v>
      </c>
      <c r="B333" s="1">
        <v>26004.9</v>
      </c>
      <c r="C333" s="1">
        <v>26066.45</v>
      </c>
      <c r="D333" s="1">
        <v>25891.0</v>
      </c>
      <c r="E333" s="1">
        <v>25986.0</v>
      </c>
      <c r="F333" s="1">
        <v>2.65660108E8</v>
      </c>
      <c r="G333" s="1">
        <v>25320.85</v>
      </c>
      <c r="H333" s="7">
        <v>-0.00177472514808586</v>
      </c>
    </row>
    <row r="334">
      <c r="A334" s="3">
        <v>45995.0</v>
      </c>
      <c r="B334" s="1">
        <v>25981.85</v>
      </c>
      <c r="C334" s="1">
        <v>26098.25</v>
      </c>
      <c r="D334" s="1">
        <v>25938.95</v>
      </c>
      <c r="E334" s="1">
        <v>26033.75</v>
      </c>
      <c r="F334" s="1">
        <v>2.48099545E8</v>
      </c>
      <c r="G334" s="1">
        <v>26377.76</v>
      </c>
      <c r="H334" s="7">
        <v>0.0018375278996382667</v>
      </c>
    </row>
    <row r="335">
      <c r="A335" s="3">
        <v>45996.0</v>
      </c>
      <c r="B335" s="1">
        <v>25999.8</v>
      </c>
      <c r="C335" s="1">
        <v>26202.6</v>
      </c>
      <c r="D335" s="1">
        <v>25985.35</v>
      </c>
      <c r="E335" s="1">
        <v>26186.45</v>
      </c>
      <c r="F335" s="1">
        <v>2.49254405E8</v>
      </c>
      <c r="G335" s="1">
        <v>27491.07</v>
      </c>
      <c r="H335" s="7">
        <v>0.005865463100782666</v>
      </c>
    </row>
    <row r="336">
      <c r="A336" s="3">
        <v>45999.0</v>
      </c>
      <c r="B336" s="1">
        <v>26159.8</v>
      </c>
      <c r="C336" s="1">
        <v>26178.7</v>
      </c>
      <c r="D336" s="1">
        <v>25892.25</v>
      </c>
      <c r="E336" s="1">
        <v>25960.55</v>
      </c>
      <c r="F336" s="1">
        <v>3.2072992E8</v>
      </c>
      <c r="G336" s="1">
        <v>31677.57</v>
      </c>
      <c r="H336" s="7">
        <v>-0.0086265988707901</v>
      </c>
    </row>
    <row r="337">
      <c r="A337" s="3">
        <v>46000.0</v>
      </c>
      <c r="B337" s="1">
        <v>25867.1</v>
      </c>
      <c r="C337" s="1">
        <v>25923.65</v>
      </c>
      <c r="D337" s="1">
        <v>25728.0</v>
      </c>
      <c r="E337" s="1">
        <v>25839.65</v>
      </c>
      <c r="F337" s="1">
        <v>2.7597816E8</v>
      </c>
      <c r="G337" s="1">
        <v>29894.41</v>
      </c>
      <c r="H337" s="7">
        <v>-0.0046570662023723616</v>
      </c>
    </row>
    <row r="338">
      <c r="A338" s="9">
        <v>46001.0</v>
      </c>
      <c r="B338" s="1">
        <v>25864.05</v>
      </c>
      <c r="C338" s="1">
        <v>25947.65</v>
      </c>
      <c r="D338" s="1">
        <v>25734.55</v>
      </c>
      <c r="E338" s="1">
        <v>25758.0</v>
      </c>
      <c r="F338" s="1">
        <v>2.07944446E8</v>
      </c>
      <c r="G338" s="1">
        <v>21975.7</v>
      </c>
      <c r="H338" s="7">
        <v>-0.003159872521493188</v>
      </c>
    </row>
    <row r="339">
      <c r="A339" s="9">
        <v>46002.0</v>
      </c>
      <c r="B339" s="1">
        <v>25771.4</v>
      </c>
      <c r="C339" s="1">
        <v>25922.8</v>
      </c>
      <c r="D339" s="1">
        <v>25693.25</v>
      </c>
      <c r="E339" s="1">
        <v>25898.55</v>
      </c>
      <c r="F339" s="1">
        <v>2.06099631E8</v>
      </c>
      <c r="G339" s="1">
        <v>20145.19</v>
      </c>
      <c r="H339" s="7">
        <v>0.0054565571861169065</v>
      </c>
    </row>
    <row r="340">
      <c r="A340" s="9">
        <v>46003.0</v>
      </c>
      <c r="B340" s="1">
        <v>25971.2</v>
      </c>
      <c r="C340" s="1">
        <v>26057.6</v>
      </c>
      <c r="D340" s="1">
        <v>25938.45</v>
      </c>
      <c r="E340" s="1">
        <v>26046.95</v>
      </c>
      <c r="F340" s="1">
        <v>2.16344338E8</v>
      </c>
      <c r="G340" s="1">
        <v>19484.07</v>
      </c>
      <c r="H340" s="7">
        <v>0.005730050524064145</v>
      </c>
    </row>
    <row r="341">
      <c r="A341" s="9">
        <v>46006.0</v>
      </c>
      <c r="B341" s="1">
        <v>25930.05</v>
      </c>
      <c r="C341" s="1">
        <v>26047.15</v>
      </c>
      <c r="D341" s="1">
        <v>25904.75</v>
      </c>
      <c r="E341" s="1">
        <v>26027.3</v>
      </c>
      <c r="F341" s="1">
        <v>1.81557703E8</v>
      </c>
      <c r="G341" s="1">
        <v>17444.03</v>
      </c>
      <c r="H341" s="7">
        <v>-7.544069459188679E-4</v>
      </c>
    </row>
    <row r="342">
      <c r="A342" s="9">
        <v>46007.0</v>
      </c>
      <c r="B342" s="1">
        <v>25951.5</v>
      </c>
      <c r="C342" s="1">
        <v>25980.75</v>
      </c>
      <c r="D342" s="1">
        <v>25834.35</v>
      </c>
      <c r="E342" s="1">
        <v>25860.1</v>
      </c>
      <c r="F342" s="1">
        <v>2.64351195E8</v>
      </c>
      <c r="G342" s="1">
        <v>23554.69</v>
      </c>
      <c r="H342" s="7">
        <v>-0.006424024005563417</v>
      </c>
    </row>
    <row r="343">
      <c r="A343" s="9">
        <v>46008.0</v>
      </c>
      <c r="B343" s="1">
        <v>25902.4</v>
      </c>
      <c r="C343" s="1">
        <v>25929.15</v>
      </c>
      <c r="D343" s="1">
        <v>25770.35</v>
      </c>
      <c r="E343" s="1">
        <v>25818.55</v>
      </c>
      <c r="F343" s="1">
        <v>2.06521258E8</v>
      </c>
      <c r="G343" s="1">
        <v>19787.57</v>
      </c>
      <c r="H343" s="7">
        <v>-0.0016067223251263248</v>
      </c>
    </row>
    <row r="344">
      <c r="A344" s="9">
        <v>46009.0</v>
      </c>
      <c r="B344" s="1">
        <v>25764.7</v>
      </c>
      <c r="C344" s="1">
        <v>25902.35</v>
      </c>
      <c r="D344" s="1">
        <v>25726.3</v>
      </c>
      <c r="E344" s="1">
        <v>25815.55</v>
      </c>
      <c r="F344" s="1">
        <v>1.97553755E8</v>
      </c>
      <c r="G344" s="1">
        <v>20046.07</v>
      </c>
      <c r="H344" s="7">
        <v>-1.1619552608492731E-4</v>
      </c>
    </row>
    <row r="345">
      <c r="A345" s="9">
        <v>46010.0</v>
      </c>
      <c r="B345" s="1">
        <v>25911.5</v>
      </c>
      <c r="C345" s="1">
        <v>25993.35</v>
      </c>
      <c r="D345" s="1">
        <v>25880.45</v>
      </c>
      <c r="E345" s="1">
        <v>25966.4</v>
      </c>
      <c r="F345" s="1">
        <v>3.82927284E8</v>
      </c>
      <c r="G345" s="1">
        <v>36600.58</v>
      </c>
      <c r="H345" s="7">
        <v>0.005843377344275143</v>
      </c>
    </row>
    <row r="346">
      <c r="A346" s="9">
        <v>46013.0</v>
      </c>
      <c r="B346" s="1">
        <v>26055.85</v>
      </c>
      <c r="C346" s="1">
        <v>26180.7</v>
      </c>
      <c r="D346" s="1">
        <v>26047.8</v>
      </c>
      <c r="E346" s="1">
        <v>26172.4</v>
      </c>
      <c r="F346" s="1">
        <v>2.5299005E8</v>
      </c>
      <c r="G346" s="1">
        <v>25333.26</v>
      </c>
      <c r="H346" s="7">
        <v>0.007933329225460594</v>
      </c>
    </row>
    <row r="347">
      <c r="A347" s="9">
        <v>46014.0</v>
      </c>
      <c r="B347" s="1">
        <v>26205.2</v>
      </c>
      <c r="C347" s="1">
        <v>26233.55</v>
      </c>
      <c r="D347" s="1">
        <v>26119.05</v>
      </c>
      <c r="E347" s="1">
        <v>26177.15</v>
      </c>
      <c r="F347" s="1">
        <v>2.1655384E8</v>
      </c>
      <c r="G347" s="1">
        <v>19670.5</v>
      </c>
      <c r="H347" s="7">
        <v>1.8148889670034082E-4</v>
      </c>
    </row>
    <row r="348">
      <c r="A348" s="9">
        <v>46015.0</v>
      </c>
      <c r="B348" s="1">
        <v>26170.65</v>
      </c>
      <c r="C348" s="1">
        <v>26236.4</v>
      </c>
      <c r="D348" s="1">
        <v>26123.0</v>
      </c>
      <c r="E348" s="1">
        <v>26142.1</v>
      </c>
      <c r="F348" s="1">
        <v>1.88846828E8</v>
      </c>
      <c r="G348" s="1">
        <v>17474.44</v>
      </c>
      <c r="H348" s="7">
        <v>-0.0013389540114184665</v>
      </c>
    </row>
    <row r="349">
      <c r="A349" s="9">
        <v>46017.0</v>
      </c>
      <c r="B349" s="1">
        <v>26121.25</v>
      </c>
      <c r="C349" s="1">
        <v>26144.2</v>
      </c>
      <c r="D349" s="1">
        <v>26008.6</v>
      </c>
      <c r="E349" s="1">
        <v>26042.3</v>
      </c>
      <c r="F349" s="1">
        <v>1.42243763E8</v>
      </c>
      <c r="G349" s="1">
        <v>12263.06</v>
      </c>
      <c r="H349" s="7">
        <v>-0.003817596903079679</v>
      </c>
    </row>
    <row r="350">
      <c r="A350" s="9">
        <v>46020.0</v>
      </c>
      <c r="B350" s="1">
        <v>26063.35</v>
      </c>
      <c r="C350" s="1">
        <v>26106.8</v>
      </c>
      <c r="D350" s="1">
        <v>25920.3</v>
      </c>
      <c r="E350" s="1">
        <v>25942.1</v>
      </c>
      <c r="F350" s="1">
        <v>2.34312888E8</v>
      </c>
      <c r="G350" s="1">
        <v>18184.45</v>
      </c>
      <c r="H350" s="7">
        <v>-0.003847586426698131</v>
      </c>
    </row>
    <row r="351">
      <c r="A351" s="9">
        <v>46021.0</v>
      </c>
      <c r="B351" s="1">
        <v>25940.9</v>
      </c>
      <c r="C351" s="1">
        <v>25976.75</v>
      </c>
      <c r="D351" s="1">
        <v>25878.0</v>
      </c>
      <c r="E351" s="1">
        <v>25938.85</v>
      </c>
      <c r="F351" s="1">
        <v>3.96893959E8</v>
      </c>
      <c r="G351" s="1">
        <v>39492.31</v>
      </c>
      <c r="H351" s="7">
        <v>-1.252789866664611E-4</v>
      </c>
    </row>
    <row r="352">
      <c r="A352" s="9">
        <v>46022.0</v>
      </c>
      <c r="B352" s="1">
        <v>25971.05</v>
      </c>
      <c r="C352" s="1">
        <v>26187.95</v>
      </c>
      <c r="D352" s="1">
        <v>25969.0</v>
      </c>
      <c r="E352" s="1">
        <v>26129.6</v>
      </c>
      <c r="F352" s="1">
        <v>2.46314941E8</v>
      </c>
      <c r="G352" s="1">
        <v>20703.99</v>
      </c>
      <c r="H352" s="7">
        <v>0.007353834113694324</v>
      </c>
    </row>
    <row r="353">
      <c r="A353" s="3">
        <v>46023.0</v>
      </c>
      <c r="B353" s="1">
        <v>26173.3</v>
      </c>
      <c r="C353" s="1">
        <v>26197.55</v>
      </c>
      <c r="D353" s="1">
        <v>26113.4</v>
      </c>
      <c r="E353" s="1">
        <v>26146.55</v>
      </c>
      <c r="F353" s="1">
        <v>4.2563191E8</v>
      </c>
      <c r="G353" s="1">
        <v>23454.66</v>
      </c>
      <c r="H353" s="7">
        <v>6.486896087196409E-4</v>
      </c>
    </row>
    <row r="354">
      <c r="A354" s="3">
        <v>46024.0</v>
      </c>
      <c r="B354" s="1">
        <v>26155.1</v>
      </c>
      <c r="C354" s="1">
        <v>26340.0</v>
      </c>
      <c r="D354" s="1">
        <v>26118.4</v>
      </c>
      <c r="E354" s="1">
        <v>26328.55</v>
      </c>
      <c r="F354" s="1">
        <v>3.57547806E8</v>
      </c>
      <c r="G354" s="1">
        <v>23770.13</v>
      </c>
      <c r="H354" s="7">
        <v>0.006960765378223896</v>
      </c>
    </row>
    <row r="355">
      <c r="A355" s="3">
        <v>46027.0</v>
      </c>
      <c r="B355" s="1">
        <v>26333.7</v>
      </c>
      <c r="C355" s="1">
        <v>26373.2</v>
      </c>
      <c r="D355" s="1">
        <v>26210.05</v>
      </c>
      <c r="E355" s="1">
        <v>26250.3</v>
      </c>
      <c r="F355" s="1">
        <v>3.38777649E8</v>
      </c>
      <c r="G355" s="1">
        <v>25742.83</v>
      </c>
      <c r="H355" s="7">
        <v>-0.0029720588486642826</v>
      </c>
    </row>
    <row r="356">
      <c r="A356" s="3">
        <v>46028.0</v>
      </c>
      <c r="B356" s="1">
        <v>26189.7</v>
      </c>
      <c r="C356" s="1">
        <v>26273.95</v>
      </c>
      <c r="D356" s="1">
        <v>26124.75</v>
      </c>
      <c r="E356" s="1">
        <v>26178.7</v>
      </c>
      <c r="F356" s="1">
        <v>3.83040203E8</v>
      </c>
      <c r="G356" s="1">
        <v>34567.52</v>
      </c>
      <c r="H356" s="7">
        <v>-0.002727587875186133</v>
      </c>
    </row>
    <row r="357">
      <c r="A357" s="3">
        <v>46029.0</v>
      </c>
      <c r="B357" s="1">
        <v>26143.1</v>
      </c>
      <c r="C357" s="1">
        <v>26187.15</v>
      </c>
      <c r="D357" s="1">
        <v>26067.9</v>
      </c>
      <c r="E357" s="1">
        <v>26140.75</v>
      </c>
      <c r="F357" s="1">
        <v>3.3821674E8</v>
      </c>
      <c r="G357" s="1">
        <v>30232.63</v>
      </c>
      <c r="H357" s="7">
        <v>-0.0014496518161711898</v>
      </c>
    </row>
    <row r="358">
      <c r="A358" s="3">
        <v>46030.0</v>
      </c>
      <c r="B358" s="1">
        <v>26106.5</v>
      </c>
      <c r="C358" s="1">
        <v>26133.2</v>
      </c>
      <c r="D358" s="1">
        <v>25858.45</v>
      </c>
      <c r="E358" s="1">
        <v>25876.85</v>
      </c>
      <c r="F358" s="1">
        <v>3.2852095E8</v>
      </c>
      <c r="G358" s="1">
        <v>27556.32</v>
      </c>
      <c r="H358" s="7">
        <v>-0.01009534921530566</v>
      </c>
    </row>
    <row r="359">
      <c r="A359" s="3">
        <v>46031.0</v>
      </c>
      <c r="B359" s="1">
        <v>25840.4</v>
      </c>
      <c r="C359" s="1">
        <v>25940.6</v>
      </c>
      <c r="D359" s="1">
        <v>25623.0</v>
      </c>
      <c r="E359" s="1">
        <v>25683.3</v>
      </c>
      <c r="F359" s="1">
        <v>3.48757262E8</v>
      </c>
      <c r="G359" s="1">
        <v>27486.64</v>
      </c>
      <c r="H359" s="7">
        <v>-0.007479658459201923</v>
      </c>
    </row>
    <row r="360">
      <c r="A360" s="9">
        <v>46034.0</v>
      </c>
      <c r="B360" s="1">
        <v>25669.05</v>
      </c>
      <c r="C360" s="1">
        <v>25813.15</v>
      </c>
      <c r="D360" s="1">
        <v>25473.4</v>
      </c>
      <c r="E360" s="1">
        <v>25790.25</v>
      </c>
      <c r="F360" s="1">
        <v>2.75757268E8</v>
      </c>
      <c r="G360" s="1">
        <v>23874.45</v>
      </c>
      <c r="H360" s="7">
        <v>0.0041641845090000405</v>
      </c>
    </row>
    <row r="361">
      <c r="A361" s="9">
        <v>46035.0</v>
      </c>
      <c r="B361" s="1">
        <v>25897.35</v>
      </c>
      <c r="C361" s="1">
        <v>25899.8</v>
      </c>
      <c r="D361" s="1">
        <v>25603.3</v>
      </c>
      <c r="E361" s="1">
        <v>25732.3</v>
      </c>
      <c r="F361" s="1">
        <v>3.39536336E8</v>
      </c>
      <c r="G361" s="1">
        <v>31434.03</v>
      </c>
      <c r="H361" s="7">
        <v>-0.002246973177848246</v>
      </c>
    </row>
    <row r="362">
      <c r="A362" s="9">
        <v>46036.0</v>
      </c>
      <c r="B362" s="1">
        <v>25648.55</v>
      </c>
      <c r="C362" s="1">
        <v>25791.75</v>
      </c>
      <c r="D362" s="1">
        <v>25603.95</v>
      </c>
      <c r="E362" s="1">
        <v>25665.6</v>
      </c>
      <c r="F362" s="1">
        <v>3.93126596E8</v>
      </c>
      <c r="G362" s="1">
        <v>28944.88</v>
      </c>
      <c r="H362" s="7">
        <v>-0.002592072997749938</v>
      </c>
    </row>
    <row r="363">
      <c r="A363" s="9">
        <v>46038.0</v>
      </c>
      <c r="B363" s="1">
        <v>25696.05</v>
      </c>
      <c r="C363" s="1">
        <v>25873.5</v>
      </c>
      <c r="D363" s="1">
        <v>25662.4</v>
      </c>
      <c r="E363" s="1">
        <v>25694.35</v>
      </c>
      <c r="F363" s="1">
        <v>4.34041776E8</v>
      </c>
      <c r="G363" s="1">
        <v>37156.05</v>
      </c>
      <c r="H363" s="7">
        <v>0.0011201764229162772</v>
      </c>
    </row>
    <row r="364">
      <c r="A364" s="9">
        <v>46041.0</v>
      </c>
      <c r="B364" s="1">
        <v>25653.1</v>
      </c>
      <c r="C364" s="1">
        <v>25653.3</v>
      </c>
      <c r="D364" s="1">
        <v>25494.35</v>
      </c>
      <c r="E364" s="1">
        <v>25585.5</v>
      </c>
      <c r="F364" s="1">
        <v>4.43087953E8</v>
      </c>
      <c r="G364" s="1">
        <v>33632.38</v>
      </c>
      <c r="H364" s="7">
        <v>-0.004236339895735777</v>
      </c>
    </row>
    <row r="365">
      <c r="A365" s="9">
        <v>46042.0</v>
      </c>
      <c r="B365" s="1">
        <v>25580.3</v>
      </c>
      <c r="C365" s="1">
        <v>25585.0</v>
      </c>
      <c r="D365" s="1">
        <v>25171.35</v>
      </c>
      <c r="E365" s="1">
        <v>25232.5</v>
      </c>
      <c r="F365" s="1">
        <v>4.09772324E8</v>
      </c>
      <c r="G365" s="1">
        <v>31020.36</v>
      </c>
      <c r="H365" s="7">
        <v>-0.013796877137441129</v>
      </c>
    </row>
    <row r="366">
      <c r="A366" s="9">
        <v>46043.0</v>
      </c>
      <c r="B366" s="1">
        <v>25141.0</v>
      </c>
      <c r="C366" s="1">
        <v>25300.95</v>
      </c>
      <c r="D366" s="1">
        <v>24919.8</v>
      </c>
      <c r="E366" s="1">
        <v>25157.5</v>
      </c>
      <c r="F366" s="1">
        <v>3.95624981E8</v>
      </c>
      <c r="G366" s="1">
        <v>30984.61</v>
      </c>
      <c r="H366" s="7">
        <v>-0.002972357079163777</v>
      </c>
    </row>
    <row r="367">
      <c r="A367" s="9">
        <v>46044.0</v>
      </c>
      <c r="B367" s="1">
        <v>25344.15</v>
      </c>
      <c r="C367" s="1">
        <v>25435.75</v>
      </c>
      <c r="D367" s="1">
        <v>25168.5</v>
      </c>
      <c r="E367" s="1">
        <v>25289.9</v>
      </c>
      <c r="F367" s="1">
        <v>4.86395433E8</v>
      </c>
      <c r="G367" s="1">
        <v>34583.24</v>
      </c>
      <c r="H367" s="7">
        <v>0.005262844082281683</v>
      </c>
    </row>
    <row r="368">
      <c r="A368" s="9">
        <v>46045.0</v>
      </c>
      <c r="B368" s="1">
        <v>25344.6</v>
      </c>
      <c r="C368" s="1">
        <v>25347.95</v>
      </c>
      <c r="D368" s="1">
        <v>25025.3</v>
      </c>
      <c r="E368" s="1">
        <v>25048.65</v>
      </c>
      <c r="F368" s="1">
        <v>3.93944908E8</v>
      </c>
      <c r="G368" s="1">
        <v>31844.65</v>
      </c>
      <c r="H368" s="7">
        <v>-0.009539381334050351</v>
      </c>
    </row>
    <row r="369">
      <c r="A369" s="9">
        <v>46049.0</v>
      </c>
      <c r="B369" s="1">
        <v>25063.35</v>
      </c>
      <c r="C369" s="1">
        <v>25246.65</v>
      </c>
      <c r="D369" s="1">
        <v>24932.55</v>
      </c>
      <c r="E369" s="1">
        <v>25175.4</v>
      </c>
      <c r="F369" s="1">
        <v>6.1869608E8</v>
      </c>
      <c r="G369" s="1">
        <v>50989.25</v>
      </c>
      <c r="H369" s="7">
        <v>0.00506015294237414</v>
      </c>
    </row>
    <row r="370">
      <c r="A370" s="9">
        <v>46050.0</v>
      </c>
      <c r="B370" s="1">
        <v>25258.85</v>
      </c>
      <c r="C370" s="1">
        <v>25372.1</v>
      </c>
      <c r="D370" s="1">
        <v>25187.65</v>
      </c>
      <c r="E370" s="1">
        <v>25342.75</v>
      </c>
      <c r="F370" s="1">
        <v>5.74903942E8</v>
      </c>
      <c r="G370" s="1">
        <v>42364.52</v>
      </c>
      <c r="H370" s="7">
        <v>0.0066473621074540435</v>
      </c>
    </row>
    <row r="371">
      <c r="A371" s="9">
        <v>46051.0</v>
      </c>
      <c r="B371" s="1">
        <v>25345.0</v>
      </c>
      <c r="C371" s="1">
        <v>25458.15</v>
      </c>
      <c r="D371" s="1">
        <v>25159.8</v>
      </c>
      <c r="E371" s="1">
        <v>25418.9</v>
      </c>
      <c r="F371" s="1">
        <v>5.82389331E8</v>
      </c>
      <c r="G371" s="1">
        <v>44306.95</v>
      </c>
      <c r="H371" s="7">
        <v>0.003004804135305026</v>
      </c>
    </row>
    <row r="372">
      <c r="A372" s="9">
        <v>46052.0</v>
      </c>
      <c r="B372" s="1">
        <v>25247.55</v>
      </c>
      <c r="C372" s="1">
        <v>25370.7</v>
      </c>
      <c r="D372" s="1">
        <v>25213.65</v>
      </c>
      <c r="E372" s="1">
        <v>25320.65</v>
      </c>
      <c r="F372" s="1">
        <v>5.08388604E8</v>
      </c>
      <c r="G372" s="1">
        <v>40772.08</v>
      </c>
      <c r="H372" s="7">
        <v>-0.0038652341368037167</v>
      </c>
    </row>
    <row r="373">
      <c r="A373" s="3">
        <v>46054.0</v>
      </c>
      <c r="B373" s="1">
        <v>25333.75</v>
      </c>
      <c r="C373" s="1">
        <v>25440.9</v>
      </c>
      <c r="D373" s="1">
        <v>24571.75</v>
      </c>
      <c r="E373" s="1">
        <v>24825.45</v>
      </c>
      <c r="F373" s="1">
        <v>3.79370206E8</v>
      </c>
      <c r="G373" s="1">
        <v>25572.6</v>
      </c>
      <c r="H373" s="7">
        <v>-0.019557159867538972</v>
      </c>
    </row>
    <row r="374">
      <c r="A374" s="3">
        <v>46055.0</v>
      </c>
      <c r="B374" s="1">
        <v>24796.5</v>
      </c>
      <c r="C374" s="1">
        <v>25108.1</v>
      </c>
      <c r="D374" s="1">
        <v>24679.4</v>
      </c>
      <c r="E374" s="1">
        <v>25088.4</v>
      </c>
      <c r="F374" s="1">
        <v>4.49215604E8</v>
      </c>
      <c r="G374" s="1">
        <v>34038.26</v>
      </c>
      <c r="H374" s="7">
        <v>0.010591953015957443</v>
      </c>
    </row>
    <row r="375">
      <c r="A375" s="3">
        <v>46056.0</v>
      </c>
      <c r="B375" s="1">
        <v>26308.05</v>
      </c>
      <c r="C375" s="1">
        <v>26341.2</v>
      </c>
      <c r="D375" s="1">
        <v>25641.3</v>
      </c>
      <c r="E375" s="1">
        <v>25727.55</v>
      </c>
      <c r="F375" s="1">
        <v>6.37263148E8</v>
      </c>
      <c r="G375" s="1">
        <v>52338.39</v>
      </c>
      <c r="H375" s="7">
        <v>0.025475917156932995</v>
      </c>
    </row>
    <row r="376">
      <c r="A376" s="3">
        <v>46057.0</v>
      </c>
      <c r="B376" s="1">
        <v>25675.05</v>
      </c>
      <c r="C376" s="1">
        <v>25818.55</v>
      </c>
      <c r="D376" s="1">
        <v>25563.95</v>
      </c>
      <c r="E376" s="1">
        <v>25776.0</v>
      </c>
      <c r="F376" s="1">
        <v>4.29788986E8</v>
      </c>
      <c r="G376" s="1">
        <v>36899.12</v>
      </c>
      <c r="H376" s="7">
        <v>0.0018831952517826506</v>
      </c>
    </row>
    <row r="377">
      <c r="A377" s="3">
        <v>46058.0</v>
      </c>
      <c r="B377" s="1">
        <v>25755.9</v>
      </c>
      <c r="C377" s="1">
        <v>25757.65</v>
      </c>
      <c r="D377" s="1">
        <v>25579.5</v>
      </c>
      <c r="E377" s="1">
        <v>25642.8</v>
      </c>
      <c r="F377" s="1">
        <v>3.43812628E8</v>
      </c>
      <c r="G377" s="1">
        <v>28582.32</v>
      </c>
      <c r="H377" s="7">
        <v>-0.005167597765363157</v>
      </c>
    </row>
    <row r="378">
      <c r="A378" s="3">
        <v>46059.0</v>
      </c>
      <c r="B378" s="1">
        <v>25605.8</v>
      </c>
      <c r="C378" s="1">
        <v>25703.95</v>
      </c>
      <c r="D378" s="1">
        <v>25491.9</v>
      </c>
      <c r="E378" s="1">
        <v>25693.7</v>
      </c>
      <c r="F378" s="1">
        <v>3.75476124E8</v>
      </c>
      <c r="G378" s="1">
        <v>29777.45</v>
      </c>
      <c r="H378" s="7">
        <v>0.001984962640585328</v>
      </c>
    </row>
    <row r="379">
      <c r="A379" s="3">
        <v>46062.0</v>
      </c>
      <c r="B379" s="1">
        <v>25888.7</v>
      </c>
      <c r="C379" s="1">
        <v>25922.25</v>
      </c>
      <c r="D379" s="1">
        <v>25780.9</v>
      </c>
      <c r="E379" s="1">
        <v>25867.3</v>
      </c>
      <c r="F379" s="1">
        <v>3.59386006E8</v>
      </c>
      <c r="G379" s="1">
        <v>28449.55</v>
      </c>
      <c r="H379" s="7">
        <v>0.00675652008079796</v>
      </c>
    </row>
    <row r="380">
      <c r="A380" s="9">
        <v>46063.0</v>
      </c>
      <c r="B380" s="1">
        <v>25922.65</v>
      </c>
      <c r="C380" s="1">
        <v>25989.45</v>
      </c>
      <c r="D380" s="1">
        <v>25870.45</v>
      </c>
      <c r="E380" s="1">
        <v>25935.15</v>
      </c>
      <c r="F380" s="1">
        <v>4.60878237E8</v>
      </c>
      <c r="G380" s="1">
        <v>32795.1</v>
      </c>
      <c r="H380" s="7">
        <v>0.0026230027873029725</v>
      </c>
    </row>
    <row r="381">
      <c r="A381" s="9">
        <v>46064.0</v>
      </c>
      <c r="B381" s="1">
        <v>25997.45</v>
      </c>
      <c r="C381" s="1">
        <v>26009.4</v>
      </c>
      <c r="D381" s="1">
        <v>25899.8</v>
      </c>
      <c r="E381" s="1">
        <v>25953.85</v>
      </c>
      <c r="F381" s="1">
        <v>3.3138924E8</v>
      </c>
      <c r="G381" s="1">
        <v>31456.05</v>
      </c>
      <c r="H381" s="7">
        <v>7.210291824029199E-4</v>
      </c>
    </row>
    <row r="382">
      <c r="A382" s="9">
        <v>46065.0</v>
      </c>
      <c r="B382" s="1">
        <v>25906.7</v>
      </c>
      <c r="C382" s="1">
        <v>25906.7</v>
      </c>
      <c r="D382" s="1">
        <v>25752.4</v>
      </c>
      <c r="E382" s="1">
        <v>25807.2</v>
      </c>
      <c r="F382" s="1">
        <v>4.19388014E8</v>
      </c>
      <c r="G382" s="1">
        <v>38977.68</v>
      </c>
      <c r="H382" s="7">
        <v>-0.005650414100412764</v>
      </c>
    </row>
    <row r="383">
      <c r="A383" s="9">
        <v>46066.0</v>
      </c>
      <c r="B383" s="1">
        <v>25571.15</v>
      </c>
      <c r="C383" s="1">
        <v>25630.35</v>
      </c>
      <c r="D383" s="1">
        <v>25444.3</v>
      </c>
      <c r="E383" s="1">
        <v>25471.1</v>
      </c>
      <c r="F383" s="1">
        <v>4.53523192E8</v>
      </c>
      <c r="G383" s="1">
        <v>40137.15</v>
      </c>
      <c r="H383" s="7">
        <v>-0.013023497318577845</v>
      </c>
    </row>
    <row r="384">
      <c r="A384" s="9">
        <v>46069.0</v>
      </c>
      <c r="B384" s="1">
        <v>25423.6</v>
      </c>
      <c r="C384" s="1">
        <v>25697.0</v>
      </c>
      <c r="D384" s="1">
        <v>25372.7</v>
      </c>
      <c r="E384" s="1">
        <v>25682.75</v>
      </c>
      <c r="F384" s="1">
        <v>3.25487729E8</v>
      </c>
      <c r="G384" s="1">
        <v>22205.92</v>
      </c>
      <c r="H384" s="7">
        <v>0.008309417339651662</v>
      </c>
    </row>
    <row r="385">
      <c r="A385" s="9">
        <v>46070.0</v>
      </c>
      <c r="B385" s="1">
        <v>25637.95</v>
      </c>
      <c r="C385" s="1">
        <v>25764.4</v>
      </c>
      <c r="D385" s="1">
        <v>25570.3</v>
      </c>
      <c r="E385" s="1">
        <v>25725.4</v>
      </c>
      <c r="F385" s="1">
        <v>3.78436265E8</v>
      </c>
      <c r="G385" s="1">
        <v>27818.81</v>
      </c>
      <c r="H385" s="7">
        <v>0.0016606477110123119</v>
      </c>
    </row>
    <row r="386">
      <c r="A386" s="9">
        <v>46071.0</v>
      </c>
      <c r="B386" s="1">
        <v>25752.65</v>
      </c>
      <c r="C386" s="1">
        <v>25828.05</v>
      </c>
      <c r="D386" s="1">
        <v>25645.15</v>
      </c>
      <c r="E386" s="1">
        <v>25819.35</v>
      </c>
      <c r="F386" s="1">
        <v>4.00807585E8</v>
      </c>
      <c r="G386" s="1">
        <v>22228.22</v>
      </c>
      <c r="H386" s="7">
        <v>0.003652032621455724</v>
      </c>
    </row>
    <row r="387">
      <c r="A387" s="9">
        <v>46072.0</v>
      </c>
      <c r="B387" s="1">
        <v>25873.35</v>
      </c>
      <c r="C387" s="1">
        <v>25885.3</v>
      </c>
      <c r="D387" s="1">
        <v>25388.75</v>
      </c>
      <c r="E387" s="1">
        <v>25454.35</v>
      </c>
      <c r="F387" s="1">
        <v>3.33658812E8</v>
      </c>
      <c r="G387" s="1">
        <v>24756.87</v>
      </c>
      <c r="H387" s="7">
        <v>-0.014136684308474071</v>
      </c>
    </row>
    <row r="388">
      <c r="A388" s="9">
        <v>46073.0</v>
      </c>
      <c r="B388" s="1">
        <v>25406.55</v>
      </c>
      <c r="C388" s="1">
        <v>25663.55</v>
      </c>
      <c r="D388" s="1">
        <v>25379.75</v>
      </c>
      <c r="E388" s="1">
        <v>25571.25</v>
      </c>
      <c r="F388" s="1">
        <v>3.09373691E8</v>
      </c>
      <c r="G388" s="1">
        <v>24024.7</v>
      </c>
      <c r="H388" s="7">
        <v>0.004592535264110121</v>
      </c>
    </row>
    <row r="389">
      <c r="A389" s="9">
        <v>46076.0</v>
      </c>
      <c r="B389" s="1">
        <v>25678.4</v>
      </c>
      <c r="C389" s="1">
        <v>25771.45</v>
      </c>
      <c r="D389" s="1">
        <v>25609.35</v>
      </c>
      <c r="E389" s="1">
        <v>25713.0</v>
      </c>
      <c r="F389" s="1">
        <v>3.99135843E8</v>
      </c>
      <c r="G389" s="1">
        <v>25494.64</v>
      </c>
      <c r="H389" s="7">
        <v>0.005543334799824021</v>
      </c>
    </row>
    <row r="390">
      <c r="A390" s="9">
        <v>46077.0</v>
      </c>
      <c r="B390" s="1">
        <v>25641.8</v>
      </c>
      <c r="C390" s="1">
        <v>25641.8</v>
      </c>
      <c r="D390" s="1">
        <v>25327.6</v>
      </c>
      <c r="E390" s="1">
        <v>25424.65</v>
      </c>
      <c r="F390" s="1">
        <v>4.39068188E8</v>
      </c>
      <c r="G390" s="1">
        <v>36735.38</v>
      </c>
      <c r="H390" s="7">
        <v>-0.011214171819702039</v>
      </c>
    </row>
    <row r="391">
      <c r="A391" s="9">
        <v>46078.0</v>
      </c>
      <c r="B391" s="1">
        <v>25512.6</v>
      </c>
      <c r="C391" s="1">
        <v>25652.6</v>
      </c>
      <c r="D391" s="1">
        <v>25428.2</v>
      </c>
      <c r="E391" s="1">
        <v>25482.5</v>
      </c>
      <c r="F391" s="1">
        <v>4.14215742E8</v>
      </c>
      <c r="G391" s="1">
        <v>31084.17</v>
      </c>
      <c r="H391" s="7">
        <v>0.002275350889786036</v>
      </c>
    </row>
    <row r="392">
      <c r="A392" s="9">
        <v>46079.0</v>
      </c>
      <c r="B392" s="1">
        <v>25556.3</v>
      </c>
      <c r="C392" s="1">
        <v>25572.95</v>
      </c>
      <c r="D392" s="1">
        <v>25400.95</v>
      </c>
      <c r="E392" s="1">
        <v>25496.55</v>
      </c>
      <c r="F392" s="1">
        <v>4.05219244E8</v>
      </c>
      <c r="G392" s="1">
        <v>33155.5</v>
      </c>
      <c r="H392" s="7">
        <v>5.51358775630306E-4</v>
      </c>
    </row>
    <row r="393">
      <c r="A393" s="9">
        <v>46080.0</v>
      </c>
      <c r="B393" s="1">
        <v>25459.85</v>
      </c>
      <c r="C393" s="1">
        <v>25476.4</v>
      </c>
      <c r="D393" s="1">
        <v>25141.3</v>
      </c>
      <c r="E393" s="1">
        <v>25178.65</v>
      </c>
      <c r="F393" s="1">
        <v>4.38924282E8</v>
      </c>
      <c r="G393" s="1">
        <v>38634.68</v>
      </c>
      <c r="H393" s="7">
        <v>-0.012468353561560204</v>
      </c>
    </row>
    <row r="394">
      <c r="A394" s="3">
        <v>46083.0</v>
      </c>
      <c r="B394" s="1">
        <v>24659.25</v>
      </c>
      <c r="C394" s="1">
        <v>24989.35</v>
      </c>
      <c r="D394" s="1">
        <v>24603.5</v>
      </c>
      <c r="E394" s="1">
        <v>24865.7</v>
      </c>
      <c r="F394" s="1">
        <v>5.19228821E8</v>
      </c>
      <c r="G394" s="1">
        <v>41306.37</v>
      </c>
      <c r="H394" s="7">
        <v>-0.012429181072059094</v>
      </c>
    </row>
    <row r="395">
      <c r="A395" s="3">
        <v>46085.0</v>
      </c>
      <c r="B395" s="1">
        <v>24388.8</v>
      </c>
      <c r="C395" s="1">
        <v>24602.45</v>
      </c>
      <c r="D395" s="1">
        <v>24305.4</v>
      </c>
      <c r="E395" s="1">
        <v>24480.5</v>
      </c>
      <c r="F395" s="1">
        <v>5.98993881E8</v>
      </c>
      <c r="G395" s="1">
        <v>47700.19</v>
      </c>
      <c r="H395" s="7">
        <v>-0.015491218827541581</v>
      </c>
    </row>
    <row r="396">
      <c r="A396" s="3">
        <v>46086.0</v>
      </c>
      <c r="B396" s="1">
        <v>24615.95</v>
      </c>
      <c r="C396" s="1">
        <v>24854.2</v>
      </c>
      <c r="D396" s="1">
        <v>24529.4</v>
      </c>
      <c r="E396" s="1">
        <v>24765.9</v>
      </c>
      <c r="F396" s="1">
        <v>5.04339053E8</v>
      </c>
      <c r="G396" s="1">
        <v>40011.88</v>
      </c>
      <c r="H396" s="7">
        <v>0.011658258613998957</v>
      </c>
    </row>
    <row r="397">
      <c r="A397" s="3">
        <v>46087.0</v>
      </c>
      <c r="B397" s="1">
        <v>24656.4</v>
      </c>
      <c r="C397" s="1">
        <v>24700.8</v>
      </c>
      <c r="D397" s="1">
        <v>24415.75</v>
      </c>
      <c r="E397" s="1">
        <v>24450.45</v>
      </c>
      <c r="F397" s="1">
        <v>4.33408256E8</v>
      </c>
      <c r="G397" s="1">
        <v>35453.32</v>
      </c>
      <c r="H397" s="7">
        <v>-0.01273727181325939</v>
      </c>
    </row>
    <row r="398">
      <c r="A398" s="3">
        <v>46090.0</v>
      </c>
      <c r="B398" s="1">
        <v>23868.05</v>
      </c>
      <c r="C398" s="1">
        <v>24078.15</v>
      </c>
      <c r="D398" s="1">
        <v>23697.8</v>
      </c>
      <c r="E398" s="1">
        <v>24028.05</v>
      </c>
      <c r="F398" s="1">
        <v>5.26901605E8</v>
      </c>
      <c r="G398" s="1">
        <v>40569.31</v>
      </c>
      <c r="H398" s="7">
        <v>-0.017275755660938814</v>
      </c>
    </row>
    <row r="399">
      <c r="A399" s="9">
        <v>46091.0</v>
      </c>
      <c r="B399" s="1">
        <v>24280.8</v>
      </c>
      <c r="C399" s="1">
        <v>24303.8</v>
      </c>
      <c r="D399" s="1">
        <v>24079.95</v>
      </c>
      <c r="E399" s="1">
        <v>24261.6</v>
      </c>
      <c r="F399" s="1">
        <v>4.44283436E8</v>
      </c>
      <c r="G399" s="1">
        <v>36657.53</v>
      </c>
      <c r="H399" s="7">
        <v>0.009719889878704235</v>
      </c>
    </row>
    <row r="400">
      <c r="A400" s="9">
        <v>46092.0</v>
      </c>
      <c r="B400" s="1">
        <v>24231.85</v>
      </c>
      <c r="C400" s="1">
        <v>24299.0</v>
      </c>
      <c r="D400" s="1">
        <v>23834.3</v>
      </c>
      <c r="E400" s="1">
        <v>23866.85</v>
      </c>
      <c r="F400" s="1">
        <v>4.07400643E8</v>
      </c>
      <c r="G400" s="1">
        <v>32549.4</v>
      </c>
      <c r="H400" s="7">
        <v>-0.016270567481122433</v>
      </c>
    </row>
    <row r="401">
      <c r="A401" s="9">
        <v>46093.0</v>
      </c>
      <c r="B401" s="1">
        <v>23674.85</v>
      </c>
      <c r="C401" s="1">
        <v>23833.15</v>
      </c>
      <c r="D401" s="1">
        <v>23556.3</v>
      </c>
      <c r="E401" s="1">
        <v>23639.15</v>
      </c>
      <c r="F401" s="1">
        <v>5.01004098E8</v>
      </c>
      <c r="G401" s="1">
        <v>40147.62</v>
      </c>
      <c r="H401" s="7">
        <v>-0.00954042950787377</v>
      </c>
    </row>
    <row r="402">
      <c r="A402" s="9">
        <v>46094.0</v>
      </c>
      <c r="B402" s="1">
        <v>23462.5</v>
      </c>
      <c r="C402" s="1">
        <v>23492.4</v>
      </c>
      <c r="D402" s="1">
        <v>23112.0</v>
      </c>
      <c r="E402" s="1">
        <v>23151.1</v>
      </c>
      <c r="F402" s="1">
        <v>5.19776752E8</v>
      </c>
      <c r="G402" s="1">
        <v>40786.7</v>
      </c>
      <c r="H402" s="7">
        <v>-0.02064583540440341</v>
      </c>
    </row>
    <row r="403">
      <c r="A403" s="9">
        <v>46097.0</v>
      </c>
      <c r="B403" s="1">
        <v>23116.1</v>
      </c>
      <c r="C403" s="1">
        <v>23502.0</v>
      </c>
      <c r="D403" s="1">
        <v>22955.25</v>
      </c>
      <c r="E403" s="1">
        <v>23408.8</v>
      </c>
      <c r="F403" s="1">
        <v>5.4029323E8</v>
      </c>
      <c r="G403" s="1">
        <v>44710.21</v>
      </c>
      <c r="H403" s="7">
        <v>0.01113122054675591</v>
      </c>
    </row>
    <row r="404">
      <c r="A404" s="9">
        <v>46098.0</v>
      </c>
      <c r="B404" s="1">
        <v>23493.2</v>
      </c>
      <c r="C404" s="1">
        <v>23656.8</v>
      </c>
      <c r="D404" s="1">
        <v>23346.6</v>
      </c>
      <c r="E404" s="1">
        <v>23581.15</v>
      </c>
      <c r="F404" s="1">
        <v>4.58788167E8</v>
      </c>
      <c r="G404" s="1">
        <v>34495.73</v>
      </c>
      <c r="H404" s="7">
        <v>0.00736261576842906</v>
      </c>
    </row>
    <row r="405">
      <c r="A405" s="9">
        <v>46099.0</v>
      </c>
      <c r="B405" s="1">
        <v>23632.9</v>
      </c>
      <c r="C405" s="1">
        <v>23862.25</v>
      </c>
      <c r="D405" s="1">
        <v>23618.45</v>
      </c>
      <c r="E405" s="1">
        <v>23777.8</v>
      </c>
      <c r="F405" s="1">
        <v>3.82876401E8</v>
      </c>
      <c r="G405" s="1">
        <v>28805.6</v>
      </c>
      <c r="H405" s="7">
        <v>0.00833928794821278</v>
      </c>
    </row>
    <row r="406">
      <c r="A406" s="9">
        <v>46100.0</v>
      </c>
      <c r="B406" s="1">
        <v>23197.75</v>
      </c>
      <c r="C406" s="1">
        <v>23378.7</v>
      </c>
      <c r="D406" s="1">
        <v>22930.35</v>
      </c>
      <c r="E406" s="1">
        <v>23002.15</v>
      </c>
      <c r="F406" s="1">
        <v>5.50147401E8</v>
      </c>
      <c r="G406" s="1">
        <v>42000.27</v>
      </c>
      <c r="H406" s="7">
        <v>-0.032620763905828035</v>
      </c>
    </row>
    <row r="407">
      <c r="A407" s="9">
        <v>46101.0</v>
      </c>
      <c r="B407" s="1">
        <v>23110.15</v>
      </c>
      <c r="C407" s="1">
        <v>23345.15</v>
      </c>
      <c r="D407" s="1">
        <v>23067.6</v>
      </c>
      <c r="E407" s="1">
        <v>23114.5</v>
      </c>
      <c r="F407" s="1">
        <v>6.6328939E8</v>
      </c>
      <c r="G407" s="1">
        <v>50308.33</v>
      </c>
      <c r="H407" s="7">
        <v>0.004884326030392748</v>
      </c>
    </row>
    <row r="408">
      <c r="A408" s="9">
        <v>46104.0</v>
      </c>
      <c r="B408" s="1">
        <v>22824.35</v>
      </c>
      <c r="C408" s="1">
        <v>22851.7</v>
      </c>
      <c r="D408" s="1">
        <v>22471.25</v>
      </c>
      <c r="E408" s="1">
        <v>22512.65</v>
      </c>
      <c r="F408" s="1">
        <v>5.50275334E8</v>
      </c>
      <c r="G408" s="1">
        <v>41002.59</v>
      </c>
      <c r="H408" s="7">
        <v>-0.02603776850029196</v>
      </c>
    </row>
    <row r="409">
      <c r="A409" s="9">
        <v>46105.0</v>
      </c>
      <c r="B409" s="1">
        <v>22878.45</v>
      </c>
      <c r="C409" s="1">
        <v>23057.3</v>
      </c>
      <c r="D409" s="1">
        <v>22624.2</v>
      </c>
      <c r="E409" s="1">
        <v>22912.4</v>
      </c>
      <c r="F409" s="1">
        <v>5.38098322E8</v>
      </c>
      <c r="G409" s="1">
        <v>43385.04</v>
      </c>
      <c r="H409" s="7">
        <v>0.017756683464629885</v>
      </c>
    </row>
    <row r="410">
      <c r="A410" s="9">
        <v>46106.0</v>
      </c>
      <c r="B410" s="1">
        <v>23064.4</v>
      </c>
      <c r="C410" s="1">
        <v>23465.35</v>
      </c>
      <c r="D410" s="1">
        <v>23063.2</v>
      </c>
      <c r="E410" s="1">
        <v>23306.45</v>
      </c>
      <c r="F410" s="1">
        <v>5.05418973E8</v>
      </c>
      <c r="G410" s="1">
        <v>40733.98</v>
      </c>
      <c r="H410" s="7">
        <v>0.017198111066496713</v>
      </c>
    </row>
    <row r="411">
      <c r="A411" s="9">
        <v>46108.0</v>
      </c>
      <c r="B411" s="1">
        <v>23173.55</v>
      </c>
      <c r="C411" s="1">
        <v>23186.1</v>
      </c>
      <c r="D411" s="1">
        <v>22804.55</v>
      </c>
      <c r="E411" s="1">
        <v>22819.6</v>
      </c>
      <c r="F411" s="1">
        <v>6.12556883E8</v>
      </c>
      <c r="G411" s="1">
        <v>47239.2</v>
      </c>
      <c r="H411" s="7">
        <v>-0.020889067189554914</v>
      </c>
    </row>
    <row r="412">
      <c r="A412" s="9">
        <v>46111.0</v>
      </c>
      <c r="B412" s="1">
        <v>22549.65</v>
      </c>
      <c r="C412" s="1">
        <v>22714.1</v>
      </c>
      <c r="D412" s="1">
        <v>22283.85</v>
      </c>
      <c r="E412" s="1">
        <v>22331.4</v>
      </c>
      <c r="F412" s="1">
        <v>6.98599891E8</v>
      </c>
      <c r="G412" s="1">
        <v>53093.7</v>
      </c>
      <c r="H412" s="7">
        <v>-0.02139388946344358</v>
      </c>
    </row>
    <row r="413">
      <c r="A413" s="3">
        <v>46113.0</v>
      </c>
      <c r="B413" s="1">
        <v>22899.0</v>
      </c>
      <c r="C413" s="1">
        <v>22941.3</v>
      </c>
      <c r="D413" s="1">
        <v>22618.6</v>
      </c>
      <c r="E413" s="1">
        <v>22679.4</v>
      </c>
      <c r="F413" s="1">
        <v>5.17954448E8</v>
      </c>
      <c r="G413" s="1">
        <v>41192.2</v>
      </c>
      <c r="H413" s="7">
        <v>0.015583438566323651</v>
      </c>
    </row>
    <row r="414">
      <c r="A414" s="3">
        <v>46114.0</v>
      </c>
      <c r="B414" s="1">
        <v>22383.4</v>
      </c>
      <c r="C414" s="1">
        <v>22782.3</v>
      </c>
      <c r="D414" s="1">
        <v>22182.55</v>
      </c>
      <c r="E414" s="1">
        <v>22713.1</v>
      </c>
      <c r="F414" s="1">
        <v>4.95121035E8</v>
      </c>
      <c r="G414" s="1">
        <v>38669.56</v>
      </c>
      <c r="H414" s="7">
        <v>0.001485929962873669</v>
      </c>
    </row>
    <row r="415">
      <c r="A415" s="3">
        <v>46118.0</v>
      </c>
      <c r="B415" s="1">
        <v>22780.3</v>
      </c>
      <c r="C415" s="1">
        <v>22998.35</v>
      </c>
      <c r="D415" s="1">
        <v>22542.95</v>
      </c>
      <c r="E415" s="1">
        <v>22968.25</v>
      </c>
      <c r="F415" s="1">
        <v>4.26416812E8</v>
      </c>
      <c r="G415" s="1">
        <v>35893.16</v>
      </c>
      <c r="H415" s="7">
        <v>0.011233605276250334</v>
      </c>
    </row>
    <row r="416">
      <c r="A416" s="3">
        <v>46119.0</v>
      </c>
      <c r="B416" s="1">
        <v>22838.7</v>
      </c>
      <c r="C416" s="1">
        <v>23153.85</v>
      </c>
      <c r="D416" s="1">
        <v>22719.3</v>
      </c>
      <c r="E416" s="1">
        <v>23123.65</v>
      </c>
      <c r="F416" s="1">
        <v>4.76981883E8</v>
      </c>
      <c r="G416" s="1">
        <v>38940.47</v>
      </c>
      <c r="H416" s="7">
        <v>0.0067658615697757316</v>
      </c>
    </row>
    <row r="417">
      <c r="A417" s="3">
        <v>46120.0</v>
      </c>
      <c r="B417" s="1">
        <v>23855.15</v>
      </c>
      <c r="C417" s="1">
        <v>24025.15</v>
      </c>
      <c r="D417" s="1">
        <v>23828.5</v>
      </c>
      <c r="E417" s="1">
        <v>23997.35</v>
      </c>
      <c r="F417" s="1">
        <v>6.39257993E8</v>
      </c>
      <c r="G417" s="1">
        <v>56557.11</v>
      </c>
      <c r="H417" s="7">
        <v>0.037783827380192876</v>
      </c>
    </row>
    <row r="418">
      <c r="A418" s="3">
        <v>46121.0</v>
      </c>
      <c r="B418" s="1">
        <v>23909.05</v>
      </c>
      <c r="C418" s="1">
        <v>23990.75</v>
      </c>
      <c r="D418" s="1">
        <v>23682.8</v>
      </c>
      <c r="E418" s="1">
        <v>23775.1</v>
      </c>
      <c r="F418" s="1">
        <v>4.66587329E8</v>
      </c>
      <c r="G418" s="1">
        <v>40443.59</v>
      </c>
      <c r="H418" s="7">
        <v>-0.009261439283920933</v>
      </c>
    </row>
    <row r="419">
      <c r="A419" s="9">
        <v>46122.0</v>
      </c>
      <c r="B419" s="1">
        <v>23880.55</v>
      </c>
      <c r="C419" s="1">
        <v>24074.05</v>
      </c>
      <c r="D419" s="1">
        <v>23856.35</v>
      </c>
      <c r="E419" s="1">
        <v>24050.6</v>
      </c>
      <c r="F419" s="1">
        <v>4.81302436E8</v>
      </c>
      <c r="G419" s="1">
        <v>40109.22</v>
      </c>
      <c r="H419" s="7">
        <v>0.01158775357411746</v>
      </c>
    </row>
    <row r="420">
      <c r="A420" s="9">
        <v>46125.0</v>
      </c>
      <c r="B420" s="1">
        <v>23589.6</v>
      </c>
      <c r="C420" s="1">
        <v>23907.4</v>
      </c>
      <c r="D420" s="1">
        <v>23555.6</v>
      </c>
      <c r="E420" s="1">
        <v>23842.65</v>
      </c>
      <c r="F420" s="1">
        <v>4.88844789E8</v>
      </c>
      <c r="G420" s="1">
        <v>41931.51</v>
      </c>
      <c r="H420" s="7">
        <v>-0.008646353937115794</v>
      </c>
    </row>
    <row r="421">
      <c r="A421" s="9">
        <v>46127.0</v>
      </c>
      <c r="B421" s="1">
        <v>24163.8</v>
      </c>
      <c r="C421" s="1">
        <v>24280.9</v>
      </c>
      <c r="D421" s="1">
        <v>24145.8</v>
      </c>
      <c r="E421" s="1">
        <v>24231.3</v>
      </c>
      <c r="F421" s="1">
        <v>4.60334041E8</v>
      </c>
      <c r="G421" s="1">
        <v>38376.84</v>
      </c>
      <c r="H421" s="7">
        <v>0.01630062094607763</v>
      </c>
    </row>
    <row r="422">
      <c r="A422" s="9">
        <v>46128.0</v>
      </c>
      <c r="B422" s="1">
        <v>24385.2</v>
      </c>
      <c r="C422" s="1">
        <v>24400.95</v>
      </c>
      <c r="D422" s="1">
        <v>24102.8</v>
      </c>
      <c r="E422" s="1">
        <v>24196.75</v>
      </c>
      <c r="F422" s="1">
        <v>5.08017772E8</v>
      </c>
      <c r="G422" s="1">
        <v>44634.35</v>
      </c>
      <c r="H422" s="7">
        <v>-0.0014258417831482123</v>
      </c>
    </row>
    <row r="423">
      <c r="A423" s="9">
        <v>46129.0</v>
      </c>
      <c r="B423" s="1">
        <v>24165.9</v>
      </c>
      <c r="C423" s="1">
        <v>24371.9</v>
      </c>
      <c r="D423" s="1">
        <v>24096.05</v>
      </c>
      <c r="E423" s="1">
        <v>24353.55</v>
      </c>
      <c r="F423" s="1">
        <v>4.98625189E8</v>
      </c>
      <c r="G423" s="1">
        <v>35373.29</v>
      </c>
      <c r="H423" s="7">
        <v>0.006480209118993223</v>
      </c>
    </row>
    <row r="424">
      <c r="A424" s="9">
        <v>46132.0</v>
      </c>
      <c r="B424" s="1">
        <v>24391.5</v>
      </c>
      <c r="C424" s="1">
        <v>24480.65</v>
      </c>
      <c r="D424" s="1">
        <v>24241.25</v>
      </c>
      <c r="E424" s="1">
        <v>24364.85</v>
      </c>
      <c r="F424" s="1">
        <v>4.15942883E8</v>
      </c>
      <c r="G424" s="1">
        <v>35042.31</v>
      </c>
      <c r="H424" s="7">
        <v>4.639980618841718E-4</v>
      </c>
    </row>
    <row r="425">
      <c r="A425" s="9">
        <v>46133.0</v>
      </c>
      <c r="B425" s="1">
        <v>24374.55</v>
      </c>
      <c r="C425" s="1">
        <v>24601.7</v>
      </c>
      <c r="D425" s="1">
        <v>24354.9</v>
      </c>
      <c r="E425" s="1">
        <v>24576.6</v>
      </c>
      <c r="F425" s="1">
        <v>4.25826834E8</v>
      </c>
      <c r="G425" s="1">
        <v>37315.7</v>
      </c>
      <c r="H425" s="7">
        <v>0.00869079842477996</v>
      </c>
    </row>
    <row r="426">
      <c r="A426" s="9">
        <v>46134.0</v>
      </c>
      <c r="B426" s="1">
        <v>24470.85</v>
      </c>
      <c r="C426" s="1">
        <v>24515.95</v>
      </c>
      <c r="D426" s="1">
        <v>24352.9</v>
      </c>
      <c r="E426" s="1">
        <v>24378.1</v>
      </c>
      <c r="F426" s="1">
        <v>4.40524292E8</v>
      </c>
      <c r="G426" s="1">
        <v>38980.03</v>
      </c>
      <c r="H426" s="7">
        <v>-0.008076788489864343</v>
      </c>
    </row>
    <row r="427">
      <c r="A427" s="9">
        <v>46135.0</v>
      </c>
      <c r="B427" s="1">
        <v>24202.35</v>
      </c>
      <c r="C427" s="1">
        <v>24310.2</v>
      </c>
      <c r="D427" s="1">
        <v>24134.8</v>
      </c>
      <c r="E427" s="1">
        <v>24173.05</v>
      </c>
      <c r="F427" s="1">
        <v>4.6754986E8</v>
      </c>
      <c r="G427" s="1">
        <v>39616.97</v>
      </c>
      <c r="H427" s="7">
        <v>-0.008411237955377954</v>
      </c>
    </row>
    <row r="428">
      <c r="A428" s="9">
        <v>46136.0</v>
      </c>
      <c r="B428" s="1">
        <v>24100.55</v>
      </c>
      <c r="C428" s="1">
        <v>24206.0</v>
      </c>
      <c r="D428" s="1">
        <v>23813.65</v>
      </c>
      <c r="E428" s="1">
        <v>23897.95</v>
      </c>
      <c r="F428" s="1">
        <v>4.38433486E8</v>
      </c>
      <c r="G428" s="1">
        <v>36898.39</v>
      </c>
      <c r="H428" s="7">
        <v>-0.011380442269386715</v>
      </c>
    </row>
    <row r="429">
      <c r="A429" s="9">
        <v>46139.0</v>
      </c>
      <c r="B429" s="1">
        <v>23945.45</v>
      </c>
      <c r="C429" s="1">
        <v>24130.7</v>
      </c>
      <c r="D429" s="1">
        <v>23936.2</v>
      </c>
      <c r="E429" s="1">
        <v>24092.7</v>
      </c>
      <c r="F429" s="1">
        <v>4.30297937E8</v>
      </c>
      <c r="G429" s="1">
        <v>36685.28</v>
      </c>
      <c r="H429" s="7">
        <v>0.008149234557775876</v>
      </c>
    </row>
    <row r="430">
      <c r="A430" s="9">
        <v>46140.0</v>
      </c>
      <c r="B430" s="1">
        <v>24049.9</v>
      </c>
      <c r="C430" s="1">
        <v>24181.8</v>
      </c>
      <c r="D430" s="1">
        <v>23957.05</v>
      </c>
      <c r="E430" s="1">
        <v>23995.7</v>
      </c>
      <c r="F430" s="1">
        <v>5.54134344E8</v>
      </c>
      <c r="G430" s="1">
        <v>43390.29</v>
      </c>
      <c r="H430" s="7">
        <v>-0.004026115794410755</v>
      </c>
    </row>
    <row r="431">
      <c r="A431" s="9">
        <v>46141.0</v>
      </c>
      <c r="B431" s="1">
        <v>24096.9</v>
      </c>
      <c r="C431" s="1">
        <v>24334.7</v>
      </c>
      <c r="D431" s="1">
        <v>24059.95</v>
      </c>
      <c r="E431" s="1">
        <v>24177.65</v>
      </c>
      <c r="F431" s="1">
        <v>5.31122966E8</v>
      </c>
      <c r="G431" s="1">
        <v>38035.47</v>
      </c>
      <c r="H431" s="7">
        <v>0.007582608550698697</v>
      </c>
    </row>
    <row r="432">
      <c r="A432" s="9">
        <v>46142.0</v>
      </c>
      <c r="B432" s="1">
        <v>23996.95</v>
      </c>
      <c r="C432" s="1">
        <v>24087.45</v>
      </c>
      <c r="D432" s="1">
        <v>23796.85</v>
      </c>
      <c r="E432" s="1">
        <v>23997.55</v>
      </c>
      <c r="F432" s="1">
        <v>5.05520648E8</v>
      </c>
      <c r="G432" s="1">
        <v>44420.83</v>
      </c>
      <c r="H432" s="7">
        <v>-0.00744902833815537</v>
      </c>
    </row>
    <row r="433">
      <c r="A433" s="12">
        <v>46146.0</v>
      </c>
      <c r="B433" s="1">
        <v>24063.55</v>
      </c>
      <c r="C433" s="1">
        <v>24290.2</v>
      </c>
      <c r="D433" s="1">
        <v>24004.75</v>
      </c>
      <c r="E433" s="1">
        <v>24119.3</v>
      </c>
      <c r="F433" s="1">
        <v>4.19069793E8</v>
      </c>
      <c r="G433" s="1">
        <v>35790.21</v>
      </c>
      <c r="H433" s="7">
        <v>0.005073434579780019</v>
      </c>
    </row>
    <row r="434">
      <c r="A434" s="12">
        <v>46147.0</v>
      </c>
      <c r="B434" s="1">
        <v>24052.6</v>
      </c>
      <c r="C434" s="1">
        <v>24081.7</v>
      </c>
      <c r="D434" s="1">
        <v>23882.05</v>
      </c>
      <c r="E434" s="1">
        <v>24032.8</v>
      </c>
      <c r="F434" s="1">
        <v>3.63297728E8</v>
      </c>
      <c r="G434" s="1">
        <v>33650.36</v>
      </c>
      <c r="H434" s="7">
        <v>-0.0035863395703855418</v>
      </c>
    </row>
    <row r="435">
      <c r="A435" s="12">
        <v>46148.0</v>
      </c>
      <c r="B435" s="1">
        <v>24171.0</v>
      </c>
      <c r="C435" s="1">
        <v>24356.5</v>
      </c>
      <c r="D435" s="1">
        <v>23997.9</v>
      </c>
      <c r="E435" s="1">
        <v>24330.95</v>
      </c>
      <c r="F435" s="1">
        <v>4.29190144E8</v>
      </c>
      <c r="G435" s="1">
        <v>38826.87</v>
      </c>
      <c r="H435" s="7">
        <v>0.012405961852135475</v>
      </c>
    </row>
    <row r="436">
      <c r="A436" s="12">
        <v>46149.0</v>
      </c>
      <c r="B436" s="1">
        <v>24398.5</v>
      </c>
      <c r="C436" s="1">
        <v>24482.1</v>
      </c>
      <c r="D436" s="1">
        <v>24284.0</v>
      </c>
      <c r="E436" s="1">
        <v>24326.65</v>
      </c>
      <c r="F436" s="1">
        <v>4.40621691E8</v>
      </c>
      <c r="G436" s="1">
        <v>39529.1</v>
      </c>
      <c r="H436" s="7">
        <v>-1.7672963858785917E-4</v>
      </c>
    </row>
    <row r="437">
      <c r="A437" s="12">
        <v>46150.0</v>
      </c>
      <c r="B437" s="1">
        <v>24233.65</v>
      </c>
      <c r="C437" s="1">
        <v>24253.8</v>
      </c>
      <c r="D437" s="1">
        <v>24126.65</v>
      </c>
      <c r="E437" s="1">
        <v>24176.15</v>
      </c>
      <c r="F437" s="1">
        <v>3.35887188E8</v>
      </c>
      <c r="G437" s="1">
        <v>31217.1</v>
      </c>
      <c r="H437" s="7">
        <v>-0.006186630711585853</v>
      </c>
    </row>
    <row r="438">
      <c r="A438" s="13">
        <v>46153.0</v>
      </c>
      <c r="B438" s="1">
        <v>23970.1</v>
      </c>
      <c r="C438" s="1">
        <v>23997.45</v>
      </c>
      <c r="D438" s="1">
        <v>23799.1</v>
      </c>
      <c r="E438" s="1">
        <v>23815.85</v>
      </c>
      <c r="F438" s="1">
        <v>3.90108343E8</v>
      </c>
      <c r="G438" s="1">
        <v>37404.28</v>
      </c>
      <c r="H438" s="7">
        <v>-0.01490311732844158</v>
      </c>
    </row>
    <row r="439">
      <c r="A439" s="13">
        <v>46154.0</v>
      </c>
      <c r="B439" s="1">
        <v>23722.6</v>
      </c>
      <c r="C439" s="1">
        <v>23757.55</v>
      </c>
      <c r="D439" s="1">
        <v>23348.4</v>
      </c>
      <c r="E439" s="1">
        <v>23379.55</v>
      </c>
      <c r="F439" s="1">
        <v>4.47518189E8</v>
      </c>
      <c r="G439" s="1">
        <v>36200.59</v>
      </c>
      <c r="H439" s="7">
        <v>-0.018319732447088777</v>
      </c>
    </row>
    <row r="440">
      <c r="A440" s="13">
        <v>46155.0</v>
      </c>
      <c r="B440" s="1">
        <v>23362.45</v>
      </c>
      <c r="C440" s="1">
        <v>23582.95</v>
      </c>
      <c r="D440" s="1">
        <v>23262.55</v>
      </c>
      <c r="E440" s="1">
        <v>23412.6</v>
      </c>
      <c r="F440" s="1">
        <v>4.15359044E8</v>
      </c>
      <c r="G440" s="1">
        <v>33693.48</v>
      </c>
      <c r="H440" s="7">
        <v>0.0014136285771111624</v>
      </c>
    </row>
    <row r="441">
      <c r="A441" s="13">
        <v>46156.0</v>
      </c>
      <c r="B441" s="1">
        <v>23530.25</v>
      </c>
      <c r="C441" s="1">
        <v>23777.2</v>
      </c>
      <c r="D441" s="1">
        <v>23426.55</v>
      </c>
      <c r="E441" s="1">
        <v>23689.6</v>
      </c>
      <c r="F441" s="1">
        <v>4.28735424E8</v>
      </c>
      <c r="G441" s="1">
        <v>38828.33</v>
      </c>
      <c r="H441" s="7">
        <v>0.011831236171975774</v>
      </c>
    </row>
    <row r="442">
      <c r="A442" s="13">
        <v>46157.0</v>
      </c>
      <c r="B442" s="1">
        <v>23731.4</v>
      </c>
      <c r="C442" s="1">
        <v>23839.3</v>
      </c>
      <c r="D442" s="1">
        <v>23610.3</v>
      </c>
      <c r="E442" s="1">
        <v>23643.5</v>
      </c>
      <c r="F442" s="1">
        <v>4.08864566E8</v>
      </c>
      <c r="G442" s="1">
        <v>35052.32</v>
      </c>
      <c r="H442" s="7">
        <v>-0.0019460016209644126</v>
      </c>
    </row>
    <row r="443">
      <c r="A443" s="13">
        <v>46160.0</v>
      </c>
      <c r="B443" s="1">
        <v>23482.2</v>
      </c>
      <c r="C443" s="1">
        <v>23695.65</v>
      </c>
      <c r="D443" s="1">
        <v>23317.1</v>
      </c>
      <c r="E443" s="1">
        <v>23649.95</v>
      </c>
      <c r="F443" s="1">
        <v>3.91968426E8</v>
      </c>
      <c r="G443" s="1">
        <v>30029.02</v>
      </c>
      <c r="H443" s="7">
        <v>2.728022500899075E-4</v>
      </c>
    </row>
    <row r="444">
      <c r="A444" s="13">
        <v>46161.0</v>
      </c>
      <c r="B444" s="1">
        <v>23675.3</v>
      </c>
      <c r="C444" s="1">
        <v>23782.3</v>
      </c>
      <c r="D444" s="1">
        <v>23587.2</v>
      </c>
      <c r="E444" s="1">
        <v>23618.0</v>
      </c>
      <c r="F444" s="1">
        <v>4.41953184E8</v>
      </c>
      <c r="G444" s="1">
        <v>39325.73</v>
      </c>
      <c r="H444" s="7">
        <v>-0.0013509542303472408</v>
      </c>
    </row>
    <row r="445">
      <c r="A445" s="13">
        <v>46162.0</v>
      </c>
      <c r="B445" s="1">
        <v>23457.25</v>
      </c>
      <c r="C445" s="1">
        <v>23690.9</v>
      </c>
      <c r="D445" s="1">
        <v>23397.3</v>
      </c>
      <c r="E445" s="1">
        <v>23659.0</v>
      </c>
      <c r="F445" s="1">
        <v>3.44050591E8</v>
      </c>
      <c r="G445" s="1">
        <v>26163.78</v>
      </c>
      <c r="H445" s="7">
        <v>0.0017359640951816412</v>
      </c>
    </row>
    <row r="446">
      <c r="A446" s="13">
        <v>46163.0</v>
      </c>
      <c r="B446" s="1">
        <v>23830.05</v>
      </c>
      <c r="C446" s="1">
        <v>23859.9</v>
      </c>
      <c r="D446" s="1">
        <v>23596.6</v>
      </c>
      <c r="E446" s="1">
        <v>23654.7</v>
      </c>
      <c r="F446" s="1">
        <v>3.48183907E8</v>
      </c>
      <c r="G446" s="1">
        <v>29930.79</v>
      </c>
      <c r="H446" s="7">
        <v>-1.817490172872595E-4</v>
      </c>
    </row>
    <row r="447">
      <c r="A447" s="13">
        <v>46164.0</v>
      </c>
      <c r="B447" s="1">
        <v>23671.2</v>
      </c>
      <c r="C447" s="1">
        <v>23835.65</v>
      </c>
      <c r="D447" s="1">
        <v>23671.0</v>
      </c>
      <c r="E447" s="1">
        <v>23719.3</v>
      </c>
      <c r="F447" s="1">
        <v>3.36108649E8</v>
      </c>
      <c r="G447" s="1">
        <v>24993.16</v>
      </c>
      <c r="H447" s="7">
        <v>0.0027309583296342183</v>
      </c>
    </row>
    <row r="448">
      <c r="A448" s="13">
        <v>46167.0</v>
      </c>
      <c r="B448" s="1">
        <v>23940.25</v>
      </c>
      <c r="C448" s="1">
        <v>24054.45</v>
      </c>
      <c r="D448" s="1">
        <v>23922.85</v>
      </c>
      <c r="E448" s="1">
        <v>24031.7</v>
      </c>
      <c r="F448" s="1">
        <v>3.51224048E8</v>
      </c>
      <c r="G448" s="1">
        <v>27301.94</v>
      </c>
      <c r="H448" s="7">
        <v>0.013170709085006786</v>
      </c>
    </row>
    <row r="449">
      <c r="A449" s="13">
        <v>46168.0</v>
      </c>
      <c r="B449" s="1">
        <v>24004.1</v>
      </c>
      <c r="C449" s="1">
        <v>24089.8</v>
      </c>
      <c r="D449" s="1">
        <v>23885.45</v>
      </c>
      <c r="E449" s="1">
        <v>23913.7</v>
      </c>
      <c r="F449" s="1">
        <v>3.8793294E8</v>
      </c>
      <c r="G449" s="1">
        <v>29835.11</v>
      </c>
      <c r="H449" s="7">
        <v>-0.004910181135749863</v>
      </c>
    </row>
    <row r="450">
      <c r="A450" s="13">
        <v>46169.0</v>
      </c>
      <c r="B450" s="1">
        <v>23880.35</v>
      </c>
      <c r="C450" s="1">
        <v>23983.2</v>
      </c>
      <c r="D450" s="1">
        <v>23858.25</v>
      </c>
      <c r="E450" s="1">
        <v>23907.15</v>
      </c>
      <c r="F450" s="1">
        <v>5.3157265E8</v>
      </c>
      <c r="G450" s="1">
        <v>34903.35</v>
      </c>
      <c r="H450" s="7">
        <v>-2.7390157106592757E-4</v>
      </c>
    </row>
    <row r="451">
      <c r="A451" s="13">
        <v>46171.0</v>
      </c>
      <c r="B451" s="1">
        <v>23902.15</v>
      </c>
      <c r="C451" s="1">
        <v>24002.8</v>
      </c>
      <c r="D451" s="1">
        <v>23484.75</v>
      </c>
      <c r="E451" s="1">
        <v>23547.75</v>
      </c>
      <c r="F451" s="1">
        <v>1.198023438E9</v>
      </c>
      <c r="G451" s="1">
        <v>101439.0</v>
      </c>
      <c r="H451" s="7">
        <v>-0.015033159535954785</v>
      </c>
    </row>
    <row r="452">
      <c r="A452" s="3">
        <v>46174.0</v>
      </c>
      <c r="B452" s="1">
        <v>23654.5</v>
      </c>
      <c r="C452" s="1">
        <v>23733.7</v>
      </c>
      <c r="D452" s="1">
        <v>23357.95</v>
      </c>
      <c r="E452" s="1">
        <v>23382.6</v>
      </c>
      <c r="F452" s="1">
        <v>4.21691204E8</v>
      </c>
      <c r="G452" s="1">
        <v>33843.74</v>
      </c>
      <c r="H452" s="7">
        <v>-0.007013408924419593</v>
      </c>
    </row>
    <row r="453">
      <c r="A453" s="3">
        <v>46175.0</v>
      </c>
      <c r="B453" s="1">
        <v>23229.15</v>
      </c>
      <c r="C453" s="1">
        <v>23556.95</v>
      </c>
      <c r="D453" s="1">
        <v>23229.15</v>
      </c>
      <c r="E453" s="1">
        <v>23483.55</v>
      </c>
      <c r="F453" s="1">
        <v>5.11852817E8</v>
      </c>
      <c r="G453" s="1">
        <v>43063.5</v>
      </c>
      <c r="H453" s="7">
        <v>0.0043173128736753285</v>
      </c>
    </row>
    <row r="454">
      <c r="A454" s="3">
        <v>46176.0</v>
      </c>
      <c r="B454" s="1">
        <v>23415.95</v>
      </c>
      <c r="C454" s="1">
        <v>23459.65</v>
      </c>
      <c r="D454" s="1">
        <v>23151.5</v>
      </c>
      <c r="E454" s="1">
        <v>23405.6</v>
      </c>
      <c r="F454" s="1">
        <v>4.50089851E8</v>
      </c>
      <c r="G454" s="1">
        <v>36726.56</v>
      </c>
      <c r="H454" s="7">
        <v>-0.0033193448179683538</v>
      </c>
    </row>
    <row r="455">
      <c r="A455" s="3">
        <v>46177.0</v>
      </c>
      <c r="B455" s="1">
        <v>23282.45</v>
      </c>
      <c r="C455" s="1">
        <v>23465.3</v>
      </c>
      <c r="D455" s="1">
        <v>23247.3</v>
      </c>
      <c r="E455" s="1">
        <v>23416.55</v>
      </c>
      <c r="F455" s="1">
        <v>4.12505524E8</v>
      </c>
      <c r="G455" s="1">
        <v>32848.46</v>
      </c>
      <c r="H455" s="7">
        <v>4.678367570154462E-4</v>
      </c>
    </row>
    <row r="456">
      <c r="A456" s="3">
        <v>46178.0</v>
      </c>
      <c r="B456" s="1">
        <v>23478.95</v>
      </c>
      <c r="C456" s="1">
        <v>23516.35</v>
      </c>
      <c r="D456" s="1">
        <v>23282.65</v>
      </c>
      <c r="E456" s="1">
        <v>23366.7</v>
      </c>
      <c r="F456" s="1">
        <v>3.66208223E8</v>
      </c>
      <c r="G456" s="1">
        <v>28432.83</v>
      </c>
      <c r="H456" s="7">
        <v>-0.0021288362290772357</v>
      </c>
    </row>
    <row r="457">
      <c r="A457" s="3">
        <v>46181.0</v>
      </c>
      <c r="B457" s="1">
        <v>23080.7</v>
      </c>
      <c r="C457" s="1">
        <v>23267.3</v>
      </c>
      <c r="D457" s="1">
        <v>23070.15</v>
      </c>
      <c r="E457" s="1">
        <v>23123.0</v>
      </c>
      <c r="F457" s="1">
        <v>3.75730763E8</v>
      </c>
      <c r="G457" s="1">
        <v>26550.42</v>
      </c>
      <c r="H457" s="7">
        <v>-0.010429371712736533</v>
      </c>
    </row>
    <row r="458">
      <c r="A458" s="3">
        <v>46182.0</v>
      </c>
      <c r="B458" s="1">
        <v>23259.05</v>
      </c>
      <c r="C458" s="1">
        <v>23279.4</v>
      </c>
      <c r="D458" s="1">
        <v>23104.45</v>
      </c>
      <c r="E458" s="1">
        <v>23242.1</v>
      </c>
      <c r="F458" s="1">
        <v>4.02552937E8</v>
      </c>
      <c r="G458" s="1">
        <v>32911.17</v>
      </c>
      <c r="H458" s="7">
        <v>0.005150715737577241</v>
      </c>
    </row>
    <row r="459">
      <c r="A459" s="9">
        <v>46183.0</v>
      </c>
      <c r="B459" s="1">
        <v>23233.95</v>
      </c>
      <c r="C459" s="1">
        <v>23425.35</v>
      </c>
      <c r="D459" s="1">
        <v>23184.6</v>
      </c>
      <c r="E459" s="1">
        <v>23214.95</v>
      </c>
      <c r="F459" s="1">
        <v>3.80030627E8</v>
      </c>
      <c r="G459" s="1">
        <v>31906.68</v>
      </c>
      <c r="H459" s="7">
        <v>-0.0011681388514806243</v>
      </c>
    </row>
    <row r="460">
      <c r="A460" s="9">
        <v>46184.0</v>
      </c>
      <c r="B460" s="1">
        <v>23104.4</v>
      </c>
      <c r="C460" s="1">
        <v>23327.45</v>
      </c>
      <c r="D460" s="1">
        <v>23072.05</v>
      </c>
      <c r="E460" s="1">
        <v>23161.6</v>
      </c>
      <c r="F460" s="1">
        <v>3.62996956E8</v>
      </c>
      <c r="G460" s="1">
        <v>28529.75</v>
      </c>
      <c r="H460" s="7">
        <v>-0.002298088085479494</v>
      </c>
    </row>
    <row r="461">
      <c r="A461" s="9">
        <v>46185.0</v>
      </c>
      <c r="B461" s="1">
        <v>23412.55</v>
      </c>
      <c r="C461" s="1">
        <v>23645.35</v>
      </c>
      <c r="D461" s="1">
        <v>23313.9</v>
      </c>
      <c r="E461" s="1">
        <v>23622.9</v>
      </c>
      <c r="F461" s="1">
        <v>3.51944432E8</v>
      </c>
      <c r="G461" s="1">
        <v>29593.12</v>
      </c>
      <c r="H461" s="7">
        <v>0.019916586073501094</v>
      </c>
    </row>
    <row r="462">
      <c r="A462" s="9">
        <v>46188.0</v>
      </c>
      <c r="B462" s="1">
        <v>23984.85</v>
      </c>
      <c r="C462" s="1">
        <v>24011.4</v>
      </c>
      <c r="D462" s="1">
        <v>23817.8</v>
      </c>
      <c r="E462" s="1">
        <v>23853.9</v>
      </c>
      <c r="F462" s="1">
        <v>3.98913735E8</v>
      </c>
      <c r="G462" s="1">
        <v>34783.09</v>
      </c>
      <c r="H462" s="7">
        <v>0.00977864699084363</v>
      </c>
    </row>
    <row r="463">
      <c r="A463" s="9">
        <v>46189.0</v>
      </c>
      <c r="B463" s="1">
        <v>23923.9</v>
      </c>
      <c r="C463" s="1">
        <v>24002.6</v>
      </c>
      <c r="D463" s="1">
        <v>23888.2</v>
      </c>
      <c r="E463" s="1">
        <v>23989.15</v>
      </c>
      <c r="F463" s="1">
        <v>3.27307262E8</v>
      </c>
      <c r="G463" s="1">
        <v>27953.23</v>
      </c>
      <c r="H463" s="7">
        <v>0.005669932380030099</v>
      </c>
    </row>
    <row r="464">
      <c r="A464" s="9">
        <v>46190.0</v>
      </c>
      <c r="B464" s="1">
        <v>24044.5</v>
      </c>
      <c r="C464" s="1">
        <v>24108.2</v>
      </c>
      <c r="D464" s="1">
        <v>23969.7</v>
      </c>
      <c r="E464" s="1">
        <v>24085.7</v>
      </c>
      <c r="F464" s="1">
        <v>3.52665809E8</v>
      </c>
      <c r="G464" s="1">
        <v>26947.5</v>
      </c>
      <c r="H464" s="7">
        <v>0.004024736182815951</v>
      </c>
    </row>
    <row r="465">
      <c r="A465" s="9">
        <v>46191.0</v>
      </c>
      <c r="B465" s="1">
        <v>24073.8</v>
      </c>
      <c r="C465" s="1">
        <v>24189.25</v>
      </c>
      <c r="D465" s="1">
        <v>24036.95</v>
      </c>
      <c r="E465" s="1">
        <v>24168.0</v>
      </c>
      <c r="F465" s="1">
        <v>3.39988612E8</v>
      </c>
      <c r="G465" s="1">
        <v>28654.85</v>
      </c>
      <c r="H465" s="7">
        <v>0.0034169652532415194</v>
      </c>
    </row>
    <row r="466">
      <c r="A466" s="9">
        <v>46192.0</v>
      </c>
      <c r="B466" s="1">
        <v>23991.2</v>
      </c>
      <c r="C466" s="1">
        <v>24047.2</v>
      </c>
      <c r="D466" s="1">
        <v>23901.9</v>
      </c>
      <c r="E466" s="1">
        <v>24013.1</v>
      </c>
      <c r="F466" s="1">
        <v>4.47858148E8</v>
      </c>
      <c r="G466" s="1">
        <v>40191.19</v>
      </c>
      <c r="H466" s="7">
        <v>-0.006409301555776293</v>
      </c>
    </row>
    <row r="467">
      <c r="A467" s="9">
        <v>46195.0</v>
      </c>
      <c r="B467" s="1">
        <v>24106.6</v>
      </c>
      <c r="C467" s="1">
        <v>24168.05</v>
      </c>
      <c r="D467" s="1">
        <v>24073.15</v>
      </c>
      <c r="E467" s="1">
        <v>24102.9</v>
      </c>
      <c r="F467" s="1">
        <v>2.52821156E8</v>
      </c>
      <c r="G467" s="1">
        <v>21763.92</v>
      </c>
      <c r="H467" s="7">
        <v>0.003739625454439573</v>
      </c>
    </row>
    <row r="468">
      <c r="A468" s="9">
        <v>46196.0</v>
      </c>
      <c r="B468" s="1">
        <v>24071.3</v>
      </c>
      <c r="C468" s="1">
        <v>24135.5</v>
      </c>
      <c r="D468" s="1">
        <v>23784.95</v>
      </c>
      <c r="E468" s="1">
        <v>23824.1</v>
      </c>
      <c r="F468" s="1">
        <v>3.40090069E8</v>
      </c>
      <c r="G468" s="1">
        <v>28997.57</v>
      </c>
      <c r="H468" s="7">
        <v>-0.011567072841857325</v>
      </c>
    </row>
    <row r="469">
      <c r="A469" s="9">
        <v>46197.0</v>
      </c>
      <c r="B469" s="1">
        <v>23795.8</v>
      </c>
      <c r="C469" s="1">
        <v>24090.05</v>
      </c>
      <c r="D469" s="1">
        <v>23789.25</v>
      </c>
      <c r="E469" s="1">
        <v>24021.65</v>
      </c>
      <c r="F469" s="1">
        <v>3.95578738E8</v>
      </c>
      <c r="G469" s="1">
        <v>31302.8</v>
      </c>
      <c r="H469" s="7">
        <v>0.008292023623138038</v>
      </c>
    </row>
    <row r="470">
      <c r="A470" s="9">
        <v>46198.0</v>
      </c>
      <c r="B470" s="1">
        <v>24125.85</v>
      </c>
      <c r="C470" s="1">
        <v>24261.6</v>
      </c>
      <c r="D470" s="1">
        <v>24039.0</v>
      </c>
      <c r="E470" s="1">
        <v>24056.0</v>
      </c>
      <c r="F470" s="1">
        <v>4.48752143E8</v>
      </c>
      <c r="G470" s="1">
        <v>40015.4</v>
      </c>
      <c r="H470" s="7">
        <v>0.0014299600568653088</v>
      </c>
    </row>
    <row r="471">
      <c r="A471" s="9">
        <v>46202.0</v>
      </c>
      <c r="B471" s="1">
        <v>24061.75</v>
      </c>
      <c r="C471" s="1">
        <v>24120.0</v>
      </c>
      <c r="D471" s="1">
        <v>23924.55</v>
      </c>
      <c r="E471" s="1">
        <v>23946.25</v>
      </c>
      <c r="F471" s="1">
        <v>5.88498045E8</v>
      </c>
      <c r="G471" s="1">
        <v>47361.14</v>
      </c>
      <c r="H471" s="7">
        <v>-0.004562271366810775</v>
      </c>
    </row>
    <row r="472">
      <c r="A472" s="9">
        <v>46203.0</v>
      </c>
      <c r="B472" s="1">
        <v>24032.05</v>
      </c>
      <c r="C472" s="1">
        <v>24035.55</v>
      </c>
      <c r="D472" s="1">
        <v>23829.2</v>
      </c>
      <c r="E472" s="1">
        <v>23865.75</v>
      </c>
      <c r="F472" s="1">
        <v>4.49044753E8</v>
      </c>
      <c r="G472" s="1">
        <v>39507.02</v>
      </c>
      <c r="H472" s="7">
        <v>-0.0033616954637991333</v>
      </c>
    </row>
    <row r="473">
      <c r="A473" s="3">
        <v>46204.0</v>
      </c>
      <c r="B473" s="1">
        <v>23897.65</v>
      </c>
      <c r="C473" s="1">
        <v>24049.9</v>
      </c>
      <c r="D473" s="1">
        <v>23895.1</v>
      </c>
      <c r="E473" s="1">
        <v>24005.85</v>
      </c>
      <c r="F473" s="1">
        <v>3.52148975E8</v>
      </c>
      <c r="G473" s="1">
        <v>27760.09</v>
      </c>
      <c r="H473" s="7">
        <v>0.005870337198705196</v>
      </c>
    </row>
    <row r="474">
      <c r="A474" s="3">
        <v>46205.0</v>
      </c>
      <c r="B474" s="1">
        <v>24062.2</v>
      </c>
      <c r="C474" s="1">
        <v>24194.55</v>
      </c>
      <c r="D474" s="1">
        <v>24058.8</v>
      </c>
      <c r="E474" s="1">
        <v>24175.7</v>
      </c>
      <c r="F474" s="1">
        <v>3.72941283E8</v>
      </c>
      <c r="G474" s="1">
        <v>30789.57</v>
      </c>
      <c r="H474" s="7">
        <v>0.007075358714646729</v>
      </c>
    </row>
    <row r="475">
      <c r="A475" s="3">
        <v>46206.0</v>
      </c>
      <c r="B475" s="1">
        <v>24375.65</v>
      </c>
      <c r="C475" s="1">
        <v>24378.15</v>
      </c>
      <c r="D475" s="1">
        <v>24252.35</v>
      </c>
      <c r="E475" s="1">
        <v>24270.85</v>
      </c>
      <c r="F475" s="1">
        <v>3.26634751E8</v>
      </c>
      <c r="G475" s="1">
        <v>25955.73</v>
      </c>
      <c r="H475" s="7">
        <v>0.003935770215546926</v>
      </c>
    </row>
    <row r="476">
      <c r="A476" s="3">
        <v>46209.0</v>
      </c>
      <c r="B476" s="1">
        <v>24306.85</v>
      </c>
      <c r="C476" s="1">
        <v>24458.65</v>
      </c>
      <c r="D476" s="1">
        <v>24287.1</v>
      </c>
      <c r="E476" s="1">
        <v>24430.35</v>
      </c>
      <c r="F476" s="1">
        <v>3.29356507E8</v>
      </c>
      <c r="G476" s="1">
        <v>24862.07</v>
      </c>
      <c r="H476" s="7">
        <v>0.0065716693070082014</v>
      </c>
    </row>
    <row r="477">
      <c r="A477" s="3">
        <v>46210.0</v>
      </c>
      <c r="B477" s="1">
        <v>24464.45</v>
      </c>
      <c r="C477" s="1">
        <v>24530.9</v>
      </c>
      <c r="D477" s="1">
        <v>24348.95</v>
      </c>
      <c r="E477" s="1">
        <v>24398.7</v>
      </c>
      <c r="F477" s="1">
        <v>4.12624457E8</v>
      </c>
      <c r="G477" s="1">
        <v>36436.58</v>
      </c>
      <c r="H477" s="7">
        <v>-0.0012955197121612182</v>
      </c>
    </row>
    <row r="478">
      <c r="A478" s="3">
        <v>46211.0</v>
      </c>
      <c r="B478" s="1">
        <v>24259.55</v>
      </c>
      <c r="C478" s="1">
        <v>24300.0</v>
      </c>
      <c r="D478" s="1">
        <v>23805.2</v>
      </c>
      <c r="E478" s="1">
        <v>23882.05</v>
      </c>
      <c r="F478" s="1">
        <v>4.20531527E8</v>
      </c>
      <c r="G478" s="1">
        <v>32939.28</v>
      </c>
      <c r="H478" s="7">
        <v>-0.02117530852053599</v>
      </c>
    </row>
    <row r="479">
      <c r="A479" s="3">
        <v>46212.0</v>
      </c>
      <c r="B479" s="1">
        <v>23928.95</v>
      </c>
      <c r="C479" s="1">
        <v>24134.7</v>
      </c>
      <c r="D479" s="1">
        <v>23925.7</v>
      </c>
      <c r="E479" s="1">
        <v>23962.8</v>
      </c>
      <c r="F479" s="1">
        <v>3.84795241E8</v>
      </c>
      <c r="G479" s="1">
        <v>33799.64</v>
      </c>
      <c r="H479" s="7">
        <v>0.0033812005250805524</v>
      </c>
    </row>
    <row r="480">
      <c r="A480" s="9">
        <v>46213.0</v>
      </c>
      <c r="B480" s="1">
        <v>24124.7</v>
      </c>
      <c r="C480" s="1">
        <v>24228.45</v>
      </c>
      <c r="D480" s="1">
        <v>24120.35</v>
      </c>
      <c r="E480" s="1">
        <v>24206.9</v>
      </c>
      <c r="F480" s="1">
        <v>3.13072212E8</v>
      </c>
      <c r="G480" s="1">
        <v>24577.43</v>
      </c>
      <c r="H480" s="7">
        <v>0.010186622598360884</v>
      </c>
    </row>
    <row r="481">
      <c r="A481" s="9">
        <v>46216.0</v>
      </c>
      <c r="B481" s="1">
        <v>24039.4</v>
      </c>
      <c r="C481" s="1">
        <v>24259.8</v>
      </c>
      <c r="D481" s="1">
        <v>24000.2</v>
      </c>
      <c r="E481" s="1">
        <v>24211.0</v>
      </c>
      <c r="F481" s="1">
        <v>3.22678968E8</v>
      </c>
      <c r="G481" s="1">
        <v>27998.31</v>
      </c>
      <c r="H481" s="7">
        <v>1.6937319524592347E-4</v>
      </c>
    </row>
    <row r="482">
      <c r="A482" s="9">
        <v>46217.0</v>
      </c>
      <c r="B482" s="1">
        <v>24068.0</v>
      </c>
      <c r="C482" s="1">
        <v>24157.1</v>
      </c>
      <c r="D482" s="1">
        <v>24023.7</v>
      </c>
      <c r="E482" s="1">
        <v>24052.05</v>
      </c>
      <c r="F482" s="1">
        <v>3.55829008E8</v>
      </c>
      <c r="G482" s="1">
        <v>31700.08</v>
      </c>
      <c r="H482" s="7">
        <v>-0.0065651976374375585</v>
      </c>
    </row>
    <row r="483">
      <c r="A483" s="9">
        <v>46218.0</v>
      </c>
      <c r="B483" s="1">
        <v>24085.85</v>
      </c>
      <c r="C483" s="1">
        <v>24220.35</v>
      </c>
      <c r="D483" s="1">
        <v>24010.55</v>
      </c>
      <c r="E483" s="1">
        <v>24078.5</v>
      </c>
      <c r="F483" s="1">
        <v>3.06924577E8</v>
      </c>
      <c r="G483" s="1">
        <v>26842.0</v>
      </c>
      <c r="H483" s="7">
        <v>0.0010996983625096708</v>
      </c>
    </row>
    <row r="484">
      <c r="A484" s="9">
        <v>46219.0</v>
      </c>
      <c r="B484" s="1">
        <v>24142.1</v>
      </c>
      <c r="C484" s="1">
        <v>24186.5</v>
      </c>
      <c r="D484" s="1">
        <v>24050.0</v>
      </c>
      <c r="E484" s="1">
        <v>24072.75</v>
      </c>
      <c r="F484" s="1">
        <v>2.64271962E8</v>
      </c>
      <c r="G484" s="1">
        <v>24244.17</v>
      </c>
      <c r="H484" s="7">
        <v>-2.3880225097078306E-4</v>
      </c>
    </row>
    <row r="485">
      <c r="A485" s="9">
        <v>46220.0</v>
      </c>
      <c r="B485" s="1">
        <v>24127.6</v>
      </c>
      <c r="C485" s="1">
        <v>24367.3</v>
      </c>
      <c r="D485" s="1">
        <v>24099.05</v>
      </c>
      <c r="E485" s="1">
        <v>24334.3</v>
      </c>
      <c r="F485" s="1">
        <v>3.87772135E8</v>
      </c>
      <c r="G485" s="1">
        <v>28825.71</v>
      </c>
      <c r="H485" s="7">
        <v>0.010864982189405003</v>
      </c>
    </row>
    <row r="486">
      <c r="A486" s="9">
        <v>46223.0</v>
      </c>
      <c r="B486" s="1">
        <v>24190.05</v>
      </c>
      <c r="C486" s="1">
        <v>24266.1</v>
      </c>
      <c r="D486" s="1">
        <v>24135.85</v>
      </c>
      <c r="E486" s="1">
        <v>24238.5</v>
      </c>
      <c r="F486" s="1">
        <v>3.53095939E8</v>
      </c>
      <c r="G486" s="1">
        <v>31370.66</v>
      </c>
      <c r="H486" s="7">
        <v>-0.003936829906757099</v>
      </c>
    </row>
    <row r="487">
      <c r="A487" s="9">
        <v>46224.0</v>
      </c>
      <c r="B487" s="1">
        <v>24216.05</v>
      </c>
      <c r="C487" s="1">
        <v>24262.2</v>
      </c>
      <c r="D487" s="1">
        <v>24135.65</v>
      </c>
      <c r="E487" s="1">
        <v>24187.7</v>
      </c>
      <c r="F487" s="1">
        <v>3.15560285E8</v>
      </c>
      <c r="G487" s="1">
        <v>28361.57</v>
      </c>
      <c r="H487" s="7">
        <v>-0.0020958392639808267</v>
      </c>
    </row>
    <row r="488">
      <c r="A488" s="9">
        <v>46225.0</v>
      </c>
      <c r="B488" s="1">
        <v>24150.45</v>
      </c>
      <c r="C488" s="1">
        <v>24166.3</v>
      </c>
      <c r="D488" s="1">
        <v>23961.4</v>
      </c>
      <c r="E488" s="1">
        <v>23996.25</v>
      </c>
      <c r="F488" s="1">
        <v>3.04745142E8</v>
      </c>
      <c r="G488" s="1">
        <v>25211.83</v>
      </c>
      <c r="H488" s="7">
        <v>-0.007915180029519166</v>
      </c>
    </row>
    <row r="489">
      <c r="A489" s="9">
        <v>46226.0</v>
      </c>
      <c r="B489" s="1">
        <v>23904.8</v>
      </c>
      <c r="C489" s="1">
        <v>23990.75</v>
      </c>
      <c r="D489" s="1">
        <v>23807.2</v>
      </c>
      <c r="E489" s="1">
        <v>23869.6</v>
      </c>
      <c r="F489" s="1">
        <v>3.44042832E8</v>
      </c>
      <c r="G489" s="1">
        <v>28259.45</v>
      </c>
      <c r="H489" s="7">
        <v>-0.005277908006459403</v>
      </c>
    </row>
    <row r="490">
      <c r="A490" s="9">
        <v>46227.0</v>
      </c>
      <c r="B490" s="1">
        <v>23666.35</v>
      </c>
      <c r="C490" s="1">
        <v>23823.6</v>
      </c>
      <c r="D490" s="1">
        <v>23606.3</v>
      </c>
      <c r="E490" s="1">
        <v>23767.45</v>
      </c>
      <c r="F490" s="1">
        <v>3.33870912E8</v>
      </c>
      <c r="G490" s="1">
        <v>28825.72</v>
      </c>
      <c r="H490" s="7">
        <v>-0.00427950196065279</v>
      </c>
    </row>
    <row r="491">
      <c r="A491" s="9">
        <v>46230.0</v>
      </c>
      <c r="B491" s="1">
        <v>23928.4</v>
      </c>
      <c r="C491" s="1">
        <v>24011.6</v>
      </c>
      <c r="D491" s="1">
        <v>23891.55</v>
      </c>
      <c r="E491" s="1">
        <v>23995.95</v>
      </c>
      <c r="F491" s="1">
        <v>3.19367545E8</v>
      </c>
      <c r="G491" s="1">
        <v>25340.46</v>
      </c>
      <c r="H491" s="7">
        <v>0.009613988879749406</v>
      </c>
    </row>
    <row r="492">
      <c r="A492" s="9">
        <v>46231.0</v>
      </c>
      <c r="B492" s="1">
        <v>23971.25</v>
      </c>
      <c r="C492" s="1">
        <v>24041.15</v>
      </c>
      <c r="D492" s="1">
        <v>23954.6</v>
      </c>
      <c r="E492" s="1">
        <v>23985.35</v>
      </c>
      <c r="F492" s="1">
        <v>4.3782732E8</v>
      </c>
      <c r="G492" s="1">
        <v>35846.87</v>
      </c>
      <c r="H492" s="7">
        <v>-4.417412104960288E-4</v>
      </c>
    </row>
    <row r="493">
      <c r="A493" s="9">
        <v>46232.0</v>
      </c>
      <c r="B493" s="1">
        <v>24176.65</v>
      </c>
      <c r="C493" s="1">
        <v>24283.55</v>
      </c>
      <c r="D493" s="1">
        <v>24136.75</v>
      </c>
      <c r="E493" s="1">
        <v>24250.2</v>
      </c>
      <c r="F493" s="1">
        <v>4.24150311E8</v>
      </c>
      <c r="G493" s="1">
        <v>34189.33</v>
      </c>
      <c r="H493" s="7">
        <v>0.01104215698332533</v>
      </c>
    </row>
    <row r="494">
      <c r="A494" s="9">
        <v>46233.0</v>
      </c>
      <c r="B494" s="1">
        <v>24249.55</v>
      </c>
      <c r="C494" s="1">
        <v>24342.95</v>
      </c>
      <c r="D494" s="1">
        <v>24187.1</v>
      </c>
      <c r="E494" s="1">
        <v>24317.15</v>
      </c>
      <c r="F494" s="1">
        <v>4.0063626E8</v>
      </c>
      <c r="G494" s="1">
        <v>33566.22</v>
      </c>
      <c r="H494" s="7">
        <v>0.002760801972767265</v>
      </c>
    </row>
    <row r="495">
      <c r="A495" s="9">
        <v>46234.0</v>
      </c>
      <c r="B495" s="1">
        <v>24361.45</v>
      </c>
      <c r="C495" s="1">
        <v>24429.4</v>
      </c>
      <c r="D495" s="1">
        <v>24299.7</v>
      </c>
      <c r="E495" s="1">
        <v>24383.6</v>
      </c>
      <c r="F495" s="1">
        <v>4.11693361E8</v>
      </c>
      <c r="G495" s="1">
        <v>34459.53</v>
      </c>
      <c r="H495" s="7">
        <v>0.002732639310116403</v>
      </c>
    </row>
    <row r="496">
      <c r="A496" s="3">
        <v>46237.0</v>
      </c>
      <c r="B496" s="1">
        <v>24572.7</v>
      </c>
      <c r="C496" s="1">
        <v>24774.3</v>
      </c>
      <c r="D496" s="1">
        <v>24515.15</v>
      </c>
      <c r="E496" s="1">
        <v>24774.3</v>
      </c>
      <c r="F496" s="1">
        <v>3.42283085E8</v>
      </c>
      <c r="G496" s="1">
        <v>27052.25</v>
      </c>
      <c r="H496" s="7">
        <v>0.01602306468281963</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0.5"/>
  </cols>
  <sheetData>
    <row r="1">
      <c r="A1" s="14" t="s">
        <v>6867</v>
      </c>
      <c r="B1" s="16" t="s">
        <v>6869</v>
      </c>
      <c r="C1" s="14" t="s">
        <v>6875</v>
      </c>
      <c r="D1" s="14" t="s">
        <v>6876</v>
      </c>
      <c r="E1" s="17"/>
      <c r="F1" s="17"/>
      <c r="G1" s="17"/>
      <c r="H1" s="17"/>
      <c r="I1" s="17"/>
      <c r="J1" s="17"/>
      <c r="K1" s="17"/>
      <c r="L1" s="17"/>
      <c r="M1" s="17"/>
      <c r="N1" s="17"/>
      <c r="O1" s="17"/>
      <c r="P1" s="17"/>
      <c r="Q1" s="17"/>
      <c r="R1" s="17"/>
      <c r="S1" s="17"/>
      <c r="T1" s="17"/>
      <c r="U1" s="17"/>
      <c r="V1" s="17"/>
      <c r="W1" s="17"/>
      <c r="X1" s="17"/>
      <c r="Y1" s="17"/>
      <c r="Z1" s="17"/>
    </row>
    <row r="2">
      <c r="A2" s="14" t="s">
        <v>6883</v>
      </c>
      <c r="B2" s="7">
        <f>AVERAGE(Reliance!K3:K496)</f>
        <v>-0.0001116263366</v>
      </c>
      <c r="C2" s="7">
        <f>STDEV(Reliance!K3:K496)</f>
        <v>0.01317530453</v>
      </c>
      <c r="D2" s="18">
        <f>_xlfn.COVARIANCE.P(Reliance!K3:K496,Reliance!L3:L496)/VARP(Reliance!L3:L496)</f>
        <v>1.057125811</v>
      </c>
    </row>
    <row r="3">
      <c r="A3" s="14" t="s">
        <v>6901</v>
      </c>
      <c r="B3" s="7">
        <f>AVERAGE(TCS!K3:K496)</f>
        <v>-0.0009325060559</v>
      </c>
      <c r="C3" s="7">
        <f>_xlfn.STDEV.S(TCS!K3:K496)</f>
        <v>0.01527366373</v>
      </c>
      <c r="D3" s="18">
        <f>_xlfn.COVARIANCE.P(TCS!K3:K496,TCS!L3:L496)/VARP(TCS!L3:L496)</f>
        <v>0.8278398462</v>
      </c>
      <c r="I3" s="7"/>
    </row>
    <row r="4">
      <c r="A4" s="14" t="s">
        <v>6914</v>
      </c>
      <c r="B4" s="6">
        <f>AVERAGE(INFY!K3:K496)</f>
        <v>-0.000646646827</v>
      </c>
      <c r="C4" s="7">
        <f>_xlfn.STDEV.S(INFY!K3:K496)</f>
        <v>0.01749842631</v>
      </c>
      <c r="D4" s="18">
        <f>_xlfn.COVARIANCE.P(INFY!K3:K496,INFY!L3:L496)/VARP(INFY!L3:L496)</f>
        <v>0.9030650067</v>
      </c>
    </row>
    <row r="5">
      <c r="A5" s="14" t="s">
        <v>6930</v>
      </c>
      <c r="B5" s="6">
        <f>AVERAGE(HDFCBANK!K3:K496)</f>
        <v>-0.001068550676</v>
      </c>
      <c r="C5" s="7">
        <f>_xlfn.STDEV.S(HDFCBANK!K3:K496)</f>
        <v>0.02586529645</v>
      </c>
      <c r="D5" s="18">
        <f>_xlfn.COVARIANCE.P(HDFCBANK!K3:K496,HDFCBANK!L3:L496)/VARP(HDFCBANK!L3:L496)</f>
        <v>1.225598378</v>
      </c>
    </row>
    <row r="6">
      <c r="A6" s="14" t="s">
        <v>6943</v>
      </c>
      <c r="B6" s="6">
        <f>AVERAGE(ICICIBANK!K3:K496)</f>
        <v>0.0005124415116</v>
      </c>
      <c r="C6" s="7">
        <f>_xlfn.STDEV.S(ICICIBANK!K3:K496)</f>
        <v>0.01173978664</v>
      </c>
      <c r="D6" s="18">
        <f>_xlfn.COVARIANCE.P(ICICIBANK!K3:K496,ICICIBANK!L3:L496)/VARP(ICICIBANK!L3:L496)</f>
        <v>0.9296986591</v>
      </c>
    </row>
    <row r="7">
      <c r="A7" s="14" t="s">
        <v>6956</v>
      </c>
      <c r="B7" s="6">
        <f>AVERAGE(ITC!K3:K496)</f>
        <v>-0.0009908457614</v>
      </c>
      <c r="C7" s="7">
        <f>_xlfn.STDEV.S(ITC!K3:K496)</f>
        <v>0.01216596648</v>
      </c>
      <c r="D7" s="18">
        <f>_xlfn.COVARIANCE.P(ITC!K3:K496,ITC!L3:L496)/VARP(ITC!L3:L496)</f>
        <v>0.6455313227</v>
      </c>
    </row>
    <row r="8">
      <c r="A8" s="19"/>
      <c r="B8" s="4"/>
      <c r="C8" s="7"/>
      <c r="D8" s="7"/>
    </row>
    <row r="9">
      <c r="A9" s="19"/>
      <c r="B9" s="4"/>
      <c r="C9" s="7"/>
      <c r="D9" s="7"/>
    </row>
    <row r="10">
      <c r="A10" s="19"/>
      <c r="B10" s="20" t="s">
        <v>6974</v>
      </c>
      <c r="C10" s="7"/>
      <c r="D10" s="7"/>
    </row>
    <row r="11">
      <c r="A11" s="19"/>
      <c r="B11" s="21" t="s">
        <v>6977</v>
      </c>
      <c r="C11" s="7"/>
      <c r="D11" s="7"/>
    </row>
    <row r="12">
      <c r="A12" s="19"/>
      <c r="B12" s="21" t="s">
        <v>6982</v>
      </c>
      <c r="C12" s="7"/>
      <c r="D12" s="7"/>
    </row>
    <row r="13">
      <c r="A13" s="19"/>
      <c r="B13" s="21" t="s">
        <v>6983</v>
      </c>
      <c r="C13" s="7"/>
      <c r="D13" s="7"/>
    </row>
    <row r="14">
      <c r="A14" s="19"/>
      <c r="B14" s="21" t="s">
        <v>6986</v>
      </c>
      <c r="C14" s="7"/>
      <c r="D14" s="7"/>
    </row>
    <row r="15">
      <c r="A15" s="19"/>
      <c r="B15" s="21" t="s">
        <v>6990</v>
      </c>
      <c r="C15" s="7"/>
      <c r="D15" s="7"/>
    </row>
    <row r="16">
      <c r="A16" s="19"/>
      <c r="B16" s="21" t="s">
        <v>6992</v>
      </c>
      <c r="C16" s="7"/>
      <c r="D16" s="7"/>
    </row>
    <row r="17">
      <c r="A17" s="19"/>
      <c r="B17" s="4"/>
      <c r="C17" s="7"/>
      <c r="D17" s="7"/>
    </row>
    <row r="18">
      <c r="A18" s="19"/>
      <c r="B18" s="4"/>
      <c r="C18" s="7"/>
      <c r="D18" s="7"/>
    </row>
    <row r="19">
      <c r="A19" s="19"/>
      <c r="B19" s="4"/>
      <c r="C19" s="7"/>
      <c r="D19" s="7"/>
    </row>
    <row r="20">
      <c r="A20" s="22"/>
      <c r="B20" s="4"/>
      <c r="C20" s="7"/>
      <c r="D20" s="7"/>
    </row>
    <row r="21">
      <c r="A21" s="22"/>
      <c r="B21" s="4"/>
      <c r="C21" s="7"/>
      <c r="D21" s="7"/>
    </row>
    <row r="22">
      <c r="A22" s="22"/>
      <c r="B22" s="4"/>
      <c r="C22" s="7"/>
      <c r="D22" s="7"/>
    </row>
    <row r="23">
      <c r="A23" s="22"/>
      <c r="B23" s="4"/>
      <c r="C23" s="7"/>
      <c r="D23" s="7"/>
    </row>
    <row r="24">
      <c r="A24" s="22"/>
      <c r="B24" s="4"/>
      <c r="C24" s="7"/>
      <c r="D24" s="7"/>
    </row>
    <row r="25">
      <c r="A25" s="22"/>
      <c r="B25" s="4"/>
      <c r="C25" s="7"/>
      <c r="D25" s="7"/>
    </row>
    <row r="26">
      <c r="A26" s="19"/>
      <c r="B26" s="4"/>
      <c r="C26" s="7"/>
      <c r="D26" s="7"/>
    </row>
    <row r="27">
      <c r="A27" s="19"/>
      <c r="B27" s="4"/>
      <c r="C27" s="7"/>
      <c r="D27" s="7"/>
    </row>
    <row r="28">
      <c r="A28" s="19"/>
      <c r="B28" s="4"/>
      <c r="C28" s="7"/>
      <c r="D28" s="7"/>
    </row>
    <row r="29">
      <c r="A29" s="19"/>
      <c r="B29" s="4"/>
      <c r="C29" s="7"/>
      <c r="D29" s="7"/>
    </row>
    <row r="30">
      <c r="A30" s="19"/>
      <c r="B30" s="4"/>
      <c r="C30" s="7"/>
      <c r="D30" s="7"/>
    </row>
    <row r="31">
      <c r="A31" s="19"/>
      <c r="B31" s="4"/>
      <c r="C31" s="7"/>
      <c r="D31" s="7"/>
    </row>
    <row r="32">
      <c r="A32" s="19"/>
      <c r="B32" s="4"/>
      <c r="C32" s="7"/>
      <c r="D32" s="7"/>
    </row>
    <row r="33">
      <c r="A33" s="19"/>
      <c r="B33" s="4"/>
      <c r="C33" s="7"/>
      <c r="D33" s="7"/>
    </row>
    <row r="34">
      <c r="A34" s="19"/>
      <c r="B34" s="4"/>
      <c r="C34" s="7"/>
      <c r="D34" s="7"/>
    </row>
    <row r="35">
      <c r="A35" s="19"/>
      <c r="B35" s="4"/>
      <c r="C35" s="7"/>
      <c r="D35" s="7"/>
    </row>
    <row r="36">
      <c r="A36" s="19"/>
      <c r="B36" s="4"/>
      <c r="C36" s="7"/>
      <c r="D36" s="7"/>
    </row>
    <row r="37">
      <c r="A37" s="19"/>
      <c r="B37" s="4"/>
      <c r="C37" s="7"/>
      <c r="D37" s="7"/>
    </row>
    <row r="38">
      <c r="A38" s="19"/>
      <c r="B38" s="4"/>
      <c r="C38" s="7"/>
      <c r="D38" s="7"/>
    </row>
    <row r="39">
      <c r="A39" s="19"/>
      <c r="B39" s="4"/>
      <c r="C39" s="7"/>
      <c r="D39" s="7"/>
    </row>
    <row r="40">
      <c r="A40" s="19"/>
      <c r="B40" s="4"/>
      <c r="C40" s="7"/>
      <c r="D40" s="7"/>
    </row>
    <row r="41">
      <c r="A41" s="22"/>
      <c r="B41" s="4"/>
      <c r="C41" s="7"/>
      <c r="D41" s="7"/>
    </row>
    <row r="42">
      <c r="A42" s="22"/>
      <c r="B42" s="4"/>
      <c r="C42" s="7"/>
      <c r="D42" s="7"/>
    </row>
    <row r="43">
      <c r="A43" s="22"/>
      <c r="B43" s="4"/>
      <c r="C43" s="7"/>
      <c r="D43" s="7"/>
    </row>
    <row r="44">
      <c r="A44" s="22"/>
      <c r="B44" s="4"/>
      <c r="C44" s="7"/>
      <c r="D44" s="7"/>
    </row>
    <row r="45">
      <c r="A45" s="22"/>
      <c r="B45" s="4"/>
      <c r="C45" s="7"/>
      <c r="D45" s="7"/>
    </row>
    <row r="46">
      <c r="A46" s="22"/>
      <c r="B46" s="4"/>
      <c r="C46" s="7"/>
      <c r="D46" s="7"/>
    </row>
    <row r="47">
      <c r="A47" s="19"/>
      <c r="B47" s="4"/>
      <c r="C47" s="7"/>
      <c r="D47" s="7"/>
    </row>
    <row r="48">
      <c r="A48" s="19"/>
      <c r="B48" s="4"/>
      <c r="C48" s="7"/>
      <c r="D48" s="7"/>
    </row>
    <row r="49">
      <c r="A49" s="19"/>
      <c r="B49" s="4"/>
      <c r="C49" s="7"/>
      <c r="D49" s="7"/>
    </row>
    <row r="50">
      <c r="A50" s="19"/>
      <c r="B50" s="4"/>
      <c r="C50" s="7"/>
      <c r="D50" s="7"/>
    </row>
    <row r="51">
      <c r="A51" s="19"/>
      <c r="B51" s="4"/>
      <c r="C51" s="7"/>
      <c r="D51" s="7"/>
    </row>
    <row r="52">
      <c r="A52" s="19"/>
      <c r="B52" s="4"/>
      <c r="C52" s="7"/>
      <c r="D52" s="7"/>
    </row>
    <row r="53">
      <c r="A53" s="19"/>
      <c r="B53" s="4"/>
      <c r="C53" s="7"/>
      <c r="D53" s="7"/>
    </row>
    <row r="54">
      <c r="A54" s="19"/>
      <c r="B54" s="4"/>
      <c r="C54" s="7"/>
      <c r="D54" s="7"/>
    </row>
    <row r="55">
      <c r="A55" s="19"/>
      <c r="B55" s="4"/>
      <c r="C55" s="7"/>
      <c r="D55" s="7"/>
    </row>
    <row r="56">
      <c r="A56" s="19"/>
      <c r="B56" s="4"/>
      <c r="C56" s="7"/>
      <c r="D56" s="7"/>
    </row>
    <row r="57">
      <c r="A57" s="19"/>
      <c r="B57" s="4"/>
      <c r="C57" s="7"/>
      <c r="D57" s="7"/>
    </row>
    <row r="58">
      <c r="A58" s="19"/>
      <c r="B58" s="4"/>
      <c r="C58" s="7"/>
      <c r="D58" s="7"/>
    </row>
    <row r="59">
      <c r="A59" s="19"/>
      <c r="B59" s="4"/>
      <c r="C59" s="7"/>
      <c r="D59" s="7"/>
    </row>
    <row r="60">
      <c r="A60" s="19"/>
      <c r="B60" s="4"/>
      <c r="C60" s="7"/>
      <c r="D60" s="7"/>
    </row>
    <row r="61">
      <c r="A61" s="19"/>
      <c r="B61" s="4"/>
      <c r="C61" s="7"/>
      <c r="D61" s="7"/>
    </row>
    <row r="62">
      <c r="A62" s="19"/>
      <c r="B62" s="4"/>
      <c r="C62" s="7"/>
      <c r="D62" s="7"/>
    </row>
    <row r="63">
      <c r="A63" s="22"/>
      <c r="B63" s="4"/>
      <c r="C63" s="7"/>
      <c r="D63" s="7"/>
    </row>
    <row r="64">
      <c r="A64" s="22"/>
      <c r="B64" s="4"/>
      <c r="C64" s="7"/>
      <c r="D64" s="7"/>
    </row>
    <row r="65">
      <c r="A65" s="22"/>
      <c r="B65" s="4"/>
      <c r="C65" s="7"/>
      <c r="D65" s="7"/>
    </row>
    <row r="66">
      <c r="A66" s="22"/>
      <c r="B66" s="4"/>
      <c r="C66" s="7"/>
      <c r="D66" s="7"/>
    </row>
    <row r="67">
      <c r="A67" s="22"/>
      <c r="B67" s="4"/>
      <c r="C67" s="7"/>
      <c r="D67" s="7"/>
    </row>
    <row r="68">
      <c r="A68" s="22"/>
      <c r="B68" s="4"/>
      <c r="C68" s="7"/>
      <c r="D68" s="7"/>
    </row>
    <row r="69">
      <c r="A69" s="19"/>
      <c r="B69" s="4"/>
      <c r="C69" s="7"/>
      <c r="D69" s="7"/>
    </row>
    <row r="70">
      <c r="A70" s="19"/>
      <c r="B70" s="4"/>
      <c r="C70" s="7"/>
      <c r="D70" s="7"/>
    </row>
    <row r="71">
      <c r="A71" s="19"/>
      <c r="B71" s="4"/>
      <c r="C71" s="7"/>
      <c r="D71" s="7"/>
    </row>
    <row r="72">
      <c r="A72" s="19"/>
      <c r="B72" s="4"/>
      <c r="C72" s="7"/>
      <c r="D72" s="7"/>
    </row>
    <row r="73">
      <c r="A73" s="19"/>
      <c r="B73" s="4"/>
      <c r="C73" s="7"/>
      <c r="D73" s="7"/>
    </row>
    <row r="74">
      <c r="A74" s="19"/>
      <c r="B74" s="4"/>
      <c r="C74" s="7"/>
      <c r="D74" s="7"/>
    </row>
    <row r="75">
      <c r="A75" s="19"/>
      <c r="B75" s="4"/>
      <c r="C75" s="7"/>
      <c r="D75" s="7"/>
    </row>
    <row r="76">
      <c r="A76" s="19"/>
      <c r="B76" s="4"/>
      <c r="C76" s="7"/>
      <c r="D76" s="7"/>
    </row>
    <row r="77">
      <c r="A77" s="19"/>
      <c r="B77" s="4"/>
      <c r="C77" s="7"/>
      <c r="D77" s="7"/>
    </row>
    <row r="78">
      <c r="A78" s="19"/>
      <c r="B78" s="4"/>
      <c r="C78" s="7"/>
      <c r="D78" s="7"/>
    </row>
    <row r="79">
      <c r="A79" s="19"/>
      <c r="B79" s="4"/>
      <c r="C79" s="7"/>
      <c r="D79" s="7"/>
    </row>
    <row r="80">
      <c r="A80" s="19"/>
      <c r="B80" s="4"/>
      <c r="C80" s="7"/>
      <c r="D80" s="7"/>
    </row>
    <row r="81">
      <c r="A81" s="19"/>
      <c r="B81" s="4"/>
      <c r="C81" s="7"/>
      <c r="D81" s="7"/>
    </row>
    <row r="82">
      <c r="A82" s="22"/>
      <c r="B82" s="4"/>
      <c r="C82" s="7"/>
      <c r="D82" s="7"/>
    </row>
    <row r="83">
      <c r="A83" s="22"/>
      <c r="B83" s="4"/>
      <c r="C83" s="7"/>
      <c r="D83" s="7"/>
    </row>
    <row r="84">
      <c r="A84" s="22"/>
      <c r="B84" s="4"/>
      <c r="C84" s="7"/>
      <c r="D84" s="7"/>
    </row>
    <row r="85">
      <c r="A85" s="22"/>
      <c r="B85" s="4"/>
      <c r="C85" s="7"/>
      <c r="D85" s="7"/>
    </row>
    <row r="86">
      <c r="A86" s="22"/>
      <c r="B86" s="4"/>
      <c r="C86" s="7"/>
      <c r="D86" s="7"/>
    </row>
    <row r="87">
      <c r="A87" s="22"/>
      <c r="B87" s="4"/>
      <c r="C87" s="7"/>
      <c r="D87" s="7"/>
    </row>
    <row r="88">
      <c r="A88" s="19"/>
      <c r="B88" s="4"/>
      <c r="C88" s="7"/>
      <c r="D88" s="7"/>
    </row>
    <row r="89">
      <c r="A89" s="19"/>
      <c r="B89" s="4"/>
      <c r="C89" s="7"/>
      <c r="D89" s="7"/>
    </row>
    <row r="90">
      <c r="A90" s="19"/>
      <c r="B90" s="4"/>
      <c r="C90" s="7"/>
      <c r="D90" s="7"/>
    </row>
    <row r="91">
      <c r="A91" s="19"/>
      <c r="B91" s="4"/>
      <c r="C91" s="7"/>
      <c r="D91" s="7"/>
    </row>
    <row r="92">
      <c r="A92" s="19"/>
      <c r="B92" s="4"/>
      <c r="C92" s="7"/>
      <c r="D92" s="7"/>
    </row>
    <row r="93">
      <c r="A93" s="19"/>
      <c r="B93" s="4"/>
      <c r="C93" s="7"/>
      <c r="D93" s="7"/>
    </row>
    <row r="94">
      <c r="A94" s="19"/>
      <c r="B94" s="4"/>
      <c r="C94" s="7"/>
      <c r="D94" s="7"/>
    </row>
    <row r="95">
      <c r="A95" s="19"/>
      <c r="B95" s="4"/>
      <c r="C95" s="7"/>
      <c r="D95" s="7"/>
    </row>
    <row r="96">
      <c r="A96" s="19"/>
      <c r="B96" s="4"/>
      <c r="C96" s="7"/>
      <c r="D96" s="7"/>
    </row>
    <row r="97">
      <c r="A97" s="19"/>
      <c r="B97" s="4"/>
      <c r="C97" s="7"/>
      <c r="D97" s="7"/>
    </row>
    <row r="98">
      <c r="A98" s="19"/>
      <c r="B98" s="4"/>
      <c r="C98" s="7"/>
      <c r="D98" s="7"/>
    </row>
    <row r="99">
      <c r="A99" s="19"/>
      <c r="B99" s="4"/>
      <c r="C99" s="7"/>
      <c r="D99" s="7"/>
    </row>
    <row r="100">
      <c r="A100" s="19"/>
      <c r="B100" s="4"/>
      <c r="C100" s="7"/>
      <c r="D100" s="7"/>
    </row>
    <row r="101">
      <c r="A101" s="19"/>
      <c r="B101" s="4"/>
      <c r="C101" s="7"/>
      <c r="D101" s="7"/>
    </row>
    <row r="102">
      <c r="A102" s="19"/>
      <c r="B102" s="4"/>
      <c r="C102" s="7"/>
      <c r="D102" s="7"/>
    </row>
    <row r="103">
      <c r="A103" s="22"/>
      <c r="B103" s="4"/>
      <c r="C103" s="7"/>
      <c r="D103" s="7"/>
    </row>
    <row r="104">
      <c r="A104" s="22"/>
      <c r="B104" s="4"/>
      <c r="C104" s="7"/>
      <c r="D104" s="7"/>
    </row>
    <row r="105">
      <c r="A105" s="22"/>
      <c r="B105" s="4"/>
      <c r="C105" s="7"/>
      <c r="D105" s="7"/>
    </row>
    <row r="106">
      <c r="A106" s="22"/>
      <c r="B106" s="4"/>
      <c r="C106" s="7"/>
      <c r="D106" s="7"/>
    </row>
    <row r="107">
      <c r="A107" s="22"/>
      <c r="B107" s="4"/>
      <c r="C107" s="7"/>
      <c r="D107" s="7"/>
    </row>
    <row r="108">
      <c r="A108" s="22"/>
      <c r="B108" s="4"/>
      <c r="C108" s="7"/>
      <c r="D108" s="7"/>
    </row>
    <row r="109">
      <c r="A109" s="22"/>
      <c r="B109" s="4"/>
      <c r="C109" s="7"/>
      <c r="D109" s="7"/>
    </row>
    <row r="110">
      <c r="A110" s="19"/>
      <c r="B110" s="4"/>
      <c r="C110" s="7"/>
      <c r="D110" s="7"/>
    </row>
    <row r="111">
      <c r="A111" s="19"/>
      <c r="B111" s="4"/>
      <c r="C111" s="7"/>
      <c r="D111" s="7"/>
    </row>
    <row r="112">
      <c r="A112" s="19"/>
      <c r="B112" s="4"/>
      <c r="C112" s="7"/>
      <c r="D112" s="7"/>
    </row>
    <row r="113">
      <c r="A113" s="19"/>
      <c r="B113" s="4"/>
      <c r="C113" s="7"/>
      <c r="D113" s="7"/>
    </row>
    <row r="114">
      <c r="A114" s="19"/>
      <c r="B114" s="4"/>
      <c r="C114" s="7"/>
      <c r="D114" s="7"/>
    </row>
    <row r="115">
      <c r="A115" s="19"/>
      <c r="B115" s="4"/>
      <c r="C115" s="7"/>
      <c r="D115" s="7"/>
    </row>
    <row r="116">
      <c r="A116" s="19"/>
      <c r="B116" s="4"/>
      <c r="C116" s="7"/>
      <c r="D116" s="7"/>
    </row>
    <row r="117">
      <c r="A117" s="19"/>
      <c r="B117" s="4"/>
      <c r="C117" s="7"/>
      <c r="D117" s="7"/>
    </row>
    <row r="118">
      <c r="A118" s="19"/>
      <c r="B118" s="4"/>
      <c r="C118" s="7"/>
      <c r="D118" s="7"/>
    </row>
    <row r="119">
      <c r="A119" s="19"/>
      <c r="B119" s="4"/>
      <c r="C119" s="7"/>
      <c r="D119" s="7"/>
    </row>
    <row r="120">
      <c r="A120" s="19"/>
      <c r="B120" s="4"/>
      <c r="C120" s="7"/>
      <c r="D120" s="7"/>
    </row>
    <row r="121">
      <c r="A121" s="19"/>
      <c r="B121" s="4"/>
      <c r="C121" s="7"/>
      <c r="D121" s="7"/>
    </row>
    <row r="122">
      <c r="A122" s="19"/>
      <c r="B122" s="4"/>
      <c r="C122" s="7"/>
      <c r="D122" s="7"/>
    </row>
    <row r="123">
      <c r="A123" s="19"/>
      <c r="B123" s="4"/>
      <c r="C123" s="7"/>
      <c r="D123" s="7"/>
    </row>
    <row r="124">
      <c r="A124" s="19"/>
      <c r="B124" s="4"/>
      <c r="C124" s="7"/>
      <c r="D124" s="7"/>
    </row>
    <row r="125">
      <c r="A125" s="19"/>
      <c r="B125" s="4"/>
      <c r="C125" s="7"/>
      <c r="D125" s="7"/>
    </row>
    <row r="126">
      <c r="A126" s="22"/>
      <c r="B126" s="4"/>
      <c r="C126" s="7"/>
      <c r="D126" s="7"/>
    </row>
    <row r="127">
      <c r="A127" s="22"/>
      <c r="B127" s="4"/>
      <c r="C127" s="7"/>
      <c r="D127" s="7"/>
    </row>
    <row r="128">
      <c r="A128" s="22"/>
      <c r="B128" s="4"/>
      <c r="C128" s="7"/>
      <c r="D128" s="7"/>
    </row>
    <row r="129">
      <c r="A129" s="22"/>
      <c r="B129" s="4"/>
      <c r="C129" s="7"/>
      <c r="D129" s="7"/>
    </row>
    <row r="130">
      <c r="A130" s="22"/>
      <c r="B130" s="4"/>
      <c r="C130" s="7"/>
      <c r="D130" s="7"/>
    </row>
    <row r="131">
      <c r="A131" s="22"/>
      <c r="B131" s="4"/>
      <c r="C131" s="7"/>
      <c r="D131" s="7"/>
    </row>
    <row r="132">
      <c r="A132" s="19"/>
      <c r="B132" s="4"/>
      <c r="C132" s="7"/>
      <c r="D132" s="7"/>
    </row>
    <row r="133">
      <c r="A133" s="19"/>
      <c r="B133" s="4"/>
      <c r="C133" s="7"/>
      <c r="D133" s="7"/>
    </row>
    <row r="134">
      <c r="A134" s="19"/>
      <c r="B134" s="4"/>
      <c r="C134" s="7"/>
      <c r="D134" s="7"/>
    </row>
    <row r="135">
      <c r="A135" s="19"/>
      <c r="B135" s="4"/>
      <c r="C135" s="7"/>
      <c r="D135" s="7"/>
    </row>
    <row r="136">
      <c r="A136" s="19"/>
      <c r="B136" s="4"/>
      <c r="C136" s="7"/>
      <c r="D136" s="7"/>
    </row>
    <row r="137">
      <c r="A137" s="19"/>
      <c r="B137" s="4"/>
      <c r="C137" s="7"/>
      <c r="D137" s="7"/>
    </row>
    <row r="138">
      <c r="A138" s="19"/>
      <c r="B138" s="4"/>
      <c r="C138" s="7"/>
      <c r="D138" s="7"/>
    </row>
    <row r="139">
      <c r="A139" s="19"/>
      <c r="B139" s="4"/>
      <c r="C139" s="7"/>
      <c r="D139" s="7"/>
    </row>
    <row r="140">
      <c r="A140" s="19"/>
      <c r="B140" s="4"/>
      <c r="C140" s="7"/>
      <c r="D140" s="7"/>
    </row>
    <row r="141">
      <c r="A141" s="19"/>
      <c r="B141" s="4"/>
      <c r="C141" s="7"/>
      <c r="D141" s="7"/>
    </row>
    <row r="142">
      <c r="A142" s="19"/>
      <c r="B142" s="4"/>
      <c r="C142" s="7"/>
      <c r="D142" s="7"/>
    </row>
    <row r="143">
      <c r="A143" s="19"/>
      <c r="B143" s="4"/>
      <c r="C143" s="7"/>
      <c r="D143" s="7"/>
    </row>
    <row r="144">
      <c r="A144" s="19"/>
      <c r="B144" s="4"/>
      <c r="C144" s="7"/>
      <c r="D144" s="7"/>
    </row>
    <row r="145">
      <c r="A145" s="19"/>
      <c r="B145" s="4"/>
      <c r="C145" s="7"/>
      <c r="D145" s="7"/>
    </row>
    <row r="146">
      <c r="A146" s="22"/>
      <c r="B146" s="4"/>
      <c r="C146" s="7"/>
      <c r="D146" s="7"/>
    </row>
    <row r="147">
      <c r="A147" s="22"/>
      <c r="B147" s="4"/>
      <c r="C147" s="7"/>
      <c r="D147" s="7"/>
    </row>
    <row r="148">
      <c r="A148" s="22"/>
      <c r="B148" s="4"/>
      <c r="C148" s="7"/>
      <c r="D148" s="7"/>
    </row>
    <row r="149">
      <c r="A149" s="22"/>
      <c r="B149" s="4"/>
      <c r="C149" s="7"/>
      <c r="D149" s="7"/>
    </row>
    <row r="150">
      <c r="A150" s="22"/>
      <c r="B150" s="4"/>
      <c r="C150" s="7"/>
      <c r="D150" s="7"/>
    </row>
    <row r="151">
      <c r="A151" s="19"/>
      <c r="B151" s="4"/>
      <c r="C151" s="7"/>
      <c r="D151" s="7"/>
    </row>
    <row r="152">
      <c r="A152" s="19"/>
      <c r="B152" s="4"/>
      <c r="C152" s="7"/>
      <c r="D152" s="7"/>
    </row>
    <row r="153">
      <c r="A153" s="19"/>
      <c r="B153" s="4"/>
      <c r="C153" s="7"/>
      <c r="D153" s="7"/>
    </row>
    <row r="154">
      <c r="A154" s="19"/>
      <c r="B154" s="4"/>
      <c r="C154" s="7"/>
      <c r="D154" s="7"/>
    </row>
    <row r="155">
      <c r="A155" s="19"/>
      <c r="B155" s="4"/>
      <c r="C155" s="7"/>
      <c r="D155" s="7"/>
    </row>
    <row r="156">
      <c r="A156" s="19"/>
      <c r="B156" s="4"/>
      <c r="C156" s="7"/>
      <c r="D156" s="7"/>
    </row>
    <row r="157">
      <c r="A157" s="19"/>
      <c r="B157" s="4"/>
      <c r="C157" s="7"/>
      <c r="D157" s="7"/>
    </row>
    <row r="158">
      <c r="A158" s="19"/>
      <c r="B158" s="4"/>
      <c r="C158" s="7"/>
      <c r="D158" s="7"/>
    </row>
    <row r="159">
      <c r="A159" s="19"/>
      <c r="B159" s="4"/>
      <c r="C159" s="7"/>
      <c r="D159" s="7"/>
    </row>
    <row r="160">
      <c r="A160" s="19"/>
      <c r="B160" s="4"/>
      <c r="C160" s="7"/>
      <c r="D160" s="7"/>
    </row>
    <row r="161">
      <c r="A161" s="19"/>
      <c r="B161" s="4"/>
      <c r="C161" s="7"/>
      <c r="D161" s="7"/>
    </row>
    <row r="162">
      <c r="A162" s="19"/>
      <c r="B162" s="4"/>
      <c r="C162" s="7"/>
      <c r="D162" s="7"/>
    </row>
    <row r="163">
      <c r="A163" s="19"/>
      <c r="B163" s="4"/>
      <c r="C163" s="7"/>
      <c r="D163" s="7"/>
    </row>
    <row r="164">
      <c r="A164" s="19"/>
      <c r="B164" s="4"/>
      <c r="C164" s="7"/>
      <c r="D164" s="7"/>
    </row>
    <row r="165">
      <c r="A165" s="22"/>
      <c r="B165" s="4"/>
      <c r="C165" s="7"/>
      <c r="D165" s="7"/>
    </row>
    <row r="166">
      <c r="A166" s="22"/>
      <c r="B166" s="4"/>
      <c r="C166" s="7"/>
      <c r="D166" s="7"/>
    </row>
    <row r="167">
      <c r="A167" s="22"/>
      <c r="B167" s="4"/>
      <c r="C167" s="7"/>
      <c r="D167" s="7"/>
    </row>
    <row r="168">
      <c r="A168" s="22"/>
      <c r="B168" s="4"/>
      <c r="C168" s="7"/>
      <c r="D168" s="7"/>
    </row>
    <row r="169">
      <c r="A169" s="22"/>
      <c r="B169" s="4"/>
      <c r="C169" s="7"/>
      <c r="D169" s="7"/>
    </row>
    <row r="170">
      <c r="A170" s="22"/>
      <c r="B170" s="4"/>
      <c r="C170" s="7"/>
      <c r="D170" s="7"/>
    </row>
    <row r="171">
      <c r="A171" s="22"/>
      <c r="B171" s="4"/>
      <c r="C171" s="7"/>
      <c r="D171" s="7"/>
    </row>
    <row r="172">
      <c r="A172" s="19"/>
      <c r="B172" s="4"/>
      <c r="C172" s="7"/>
      <c r="D172" s="7"/>
    </row>
    <row r="173">
      <c r="A173" s="19"/>
      <c r="B173" s="4"/>
      <c r="C173" s="7"/>
      <c r="D173" s="7"/>
    </row>
    <row r="174">
      <c r="A174" s="19"/>
      <c r="B174" s="4"/>
      <c r="C174" s="7"/>
      <c r="D174" s="7"/>
    </row>
    <row r="175">
      <c r="A175" s="19"/>
      <c r="B175" s="4"/>
      <c r="C175" s="7"/>
      <c r="D175" s="7"/>
    </row>
    <row r="176">
      <c r="A176" s="19"/>
      <c r="B176" s="4"/>
      <c r="C176" s="7"/>
      <c r="D176" s="7"/>
    </row>
    <row r="177">
      <c r="A177" s="19"/>
      <c r="B177" s="4"/>
      <c r="C177" s="7"/>
      <c r="D177" s="7"/>
    </row>
    <row r="178">
      <c r="A178" s="19"/>
      <c r="B178" s="4"/>
      <c r="C178" s="7"/>
      <c r="D178" s="7"/>
    </row>
    <row r="179">
      <c r="A179" s="19"/>
      <c r="B179" s="4"/>
      <c r="C179" s="7"/>
      <c r="D179" s="7"/>
    </row>
    <row r="180">
      <c r="A180" s="19"/>
      <c r="B180" s="4"/>
      <c r="C180" s="7"/>
      <c r="D180" s="7"/>
    </row>
    <row r="181">
      <c r="A181" s="19"/>
      <c r="B181" s="4"/>
      <c r="C181" s="7"/>
      <c r="D181" s="7"/>
    </row>
    <row r="182">
      <c r="A182" s="19"/>
      <c r="B182" s="4"/>
      <c r="C182" s="7"/>
      <c r="D182" s="7"/>
    </row>
    <row r="183">
      <c r="A183" s="19"/>
      <c r="B183" s="4"/>
      <c r="C183" s="7"/>
      <c r="D183" s="7"/>
    </row>
    <row r="184">
      <c r="A184" s="23"/>
      <c r="B184" s="4"/>
      <c r="C184" s="7"/>
      <c r="D184" s="7"/>
    </row>
    <row r="185">
      <c r="A185" s="23"/>
      <c r="B185" s="4"/>
      <c r="C185" s="7"/>
      <c r="D185" s="7"/>
    </row>
    <row r="186">
      <c r="A186" s="23"/>
      <c r="B186" s="4"/>
      <c r="C186" s="7"/>
      <c r="D186" s="7"/>
    </row>
    <row r="187">
      <c r="A187" s="23"/>
      <c r="B187" s="4"/>
      <c r="C187" s="7"/>
      <c r="D187" s="7"/>
    </row>
    <row r="188">
      <c r="A188" s="23"/>
      <c r="B188" s="4"/>
      <c r="C188" s="7"/>
      <c r="D188" s="7"/>
    </row>
    <row r="189">
      <c r="A189" s="23"/>
      <c r="B189" s="4"/>
      <c r="C189" s="7"/>
      <c r="D189" s="7"/>
    </row>
    <row r="190">
      <c r="A190" s="24"/>
      <c r="B190" s="4"/>
      <c r="C190" s="7"/>
      <c r="D190" s="7"/>
    </row>
    <row r="191">
      <c r="A191" s="24"/>
      <c r="B191" s="4"/>
      <c r="C191" s="7"/>
      <c r="D191" s="7"/>
    </row>
    <row r="192">
      <c r="A192" s="24"/>
      <c r="B192" s="4"/>
      <c r="C192" s="7"/>
      <c r="D192" s="7"/>
    </row>
    <row r="193">
      <c r="A193" s="24"/>
      <c r="B193" s="4"/>
      <c r="C193" s="7"/>
      <c r="D193" s="7"/>
    </row>
    <row r="194">
      <c r="A194" s="24"/>
      <c r="B194" s="4"/>
      <c r="C194" s="7"/>
      <c r="D194" s="7"/>
    </row>
    <row r="195">
      <c r="A195" s="24"/>
      <c r="B195" s="4"/>
      <c r="C195" s="7"/>
      <c r="D195" s="7"/>
    </row>
    <row r="196">
      <c r="A196" s="24"/>
      <c r="B196" s="4"/>
      <c r="C196" s="7"/>
      <c r="D196" s="7"/>
    </row>
    <row r="197">
      <c r="A197" s="24"/>
      <c r="B197" s="4"/>
      <c r="C197" s="7"/>
      <c r="D197" s="7"/>
    </row>
    <row r="198">
      <c r="A198" s="24"/>
      <c r="B198" s="4"/>
      <c r="C198" s="7"/>
      <c r="D198" s="7"/>
    </row>
    <row r="199">
      <c r="A199" s="24"/>
      <c r="B199" s="4"/>
      <c r="C199" s="7"/>
      <c r="D199" s="7"/>
    </row>
    <row r="200">
      <c r="A200" s="24"/>
      <c r="B200" s="4"/>
      <c r="C200" s="7"/>
      <c r="D200" s="7"/>
    </row>
    <row r="201">
      <c r="A201" s="24"/>
      <c r="B201" s="4"/>
      <c r="C201" s="7"/>
      <c r="D201" s="7"/>
    </row>
    <row r="202">
      <c r="A202" s="24"/>
      <c r="B202" s="4"/>
      <c r="C202" s="7"/>
      <c r="D202" s="7"/>
    </row>
    <row r="203">
      <c r="A203" s="24"/>
      <c r="B203" s="4"/>
      <c r="C203" s="7"/>
      <c r="D203" s="7"/>
    </row>
    <row r="204">
      <c r="A204" s="24"/>
      <c r="B204" s="4"/>
      <c r="C204" s="7"/>
      <c r="D204" s="7"/>
    </row>
    <row r="205">
      <c r="A205" s="22"/>
      <c r="B205" s="4"/>
      <c r="C205" s="7"/>
      <c r="D205" s="7"/>
    </row>
    <row r="206">
      <c r="A206" s="22"/>
      <c r="B206" s="4"/>
      <c r="C206" s="7"/>
      <c r="D206" s="7"/>
    </row>
    <row r="207">
      <c r="A207" s="22"/>
      <c r="B207" s="4"/>
      <c r="C207" s="7"/>
      <c r="D207" s="7"/>
    </row>
    <row r="208">
      <c r="A208" s="22"/>
      <c r="B208" s="4"/>
      <c r="C208" s="7"/>
      <c r="D208" s="7"/>
    </row>
    <row r="209">
      <c r="A209" s="22"/>
      <c r="B209" s="4"/>
      <c r="C209" s="7"/>
      <c r="D209" s="7"/>
    </row>
    <row r="210">
      <c r="A210" s="22"/>
      <c r="B210" s="4"/>
      <c r="C210" s="7"/>
      <c r="D210" s="7"/>
    </row>
    <row r="211">
      <c r="A211" s="19"/>
      <c r="B211" s="4"/>
      <c r="C211" s="7"/>
      <c r="D211" s="7"/>
    </row>
    <row r="212">
      <c r="A212" s="19"/>
      <c r="B212" s="4"/>
      <c r="C212" s="7"/>
      <c r="D212" s="7"/>
    </row>
    <row r="213">
      <c r="A213" s="19"/>
      <c r="B213" s="4"/>
      <c r="C213" s="7"/>
      <c r="D213" s="7"/>
    </row>
    <row r="214">
      <c r="A214" s="19"/>
      <c r="B214" s="4"/>
      <c r="C214" s="7"/>
      <c r="D214" s="7"/>
    </row>
    <row r="215">
      <c r="A215" s="19"/>
      <c r="B215" s="4"/>
      <c r="C215" s="7"/>
      <c r="D215" s="7"/>
    </row>
    <row r="216">
      <c r="A216" s="19"/>
      <c r="B216" s="4"/>
      <c r="C216" s="7"/>
      <c r="D216" s="7"/>
    </row>
    <row r="217">
      <c r="A217" s="19"/>
      <c r="B217" s="4"/>
      <c r="C217" s="7"/>
      <c r="D217" s="7"/>
    </row>
    <row r="218">
      <c r="A218" s="19"/>
      <c r="B218" s="4"/>
      <c r="C218" s="7"/>
      <c r="D218" s="7"/>
    </row>
    <row r="219">
      <c r="A219" s="19"/>
      <c r="B219" s="4"/>
      <c r="C219" s="7"/>
      <c r="D219" s="7"/>
    </row>
    <row r="220">
      <c r="A220" s="19"/>
      <c r="B220" s="4"/>
      <c r="C220" s="7"/>
      <c r="D220" s="7"/>
    </row>
    <row r="221">
      <c r="A221" s="19"/>
      <c r="B221" s="4"/>
      <c r="C221" s="7"/>
      <c r="D221" s="7"/>
    </row>
    <row r="222">
      <c r="A222" s="19"/>
      <c r="B222" s="4"/>
      <c r="C222" s="7"/>
      <c r="D222" s="7"/>
    </row>
    <row r="223">
      <c r="A223" s="19"/>
      <c r="B223" s="4"/>
      <c r="C223" s="7"/>
      <c r="D223" s="7"/>
    </row>
    <row r="224">
      <c r="A224" s="19"/>
      <c r="B224" s="4"/>
      <c r="C224" s="7"/>
      <c r="D224" s="7"/>
    </row>
    <row r="225">
      <c r="A225" s="19"/>
      <c r="B225" s="4"/>
      <c r="C225" s="7"/>
      <c r="D225" s="7"/>
    </row>
    <row r="226">
      <c r="A226" s="22"/>
      <c r="B226" s="4"/>
      <c r="C226" s="7"/>
      <c r="D226" s="7"/>
    </row>
    <row r="227">
      <c r="A227" s="22"/>
      <c r="B227" s="4"/>
      <c r="C227" s="7"/>
      <c r="D227" s="7"/>
    </row>
    <row r="228">
      <c r="A228" s="22"/>
      <c r="B228" s="4"/>
      <c r="C228" s="7"/>
      <c r="D228" s="7"/>
    </row>
    <row r="229">
      <c r="A229" s="22"/>
      <c r="B229" s="4"/>
      <c r="C229" s="7"/>
      <c r="D229" s="7"/>
    </row>
    <row r="230">
      <c r="A230" s="22"/>
      <c r="B230" s="4"/>
      <c r="C230" s="7"/>
      <c r="D230" s="7"/>
    </row>
    <row r="231">
      <c r="A231" s="22"/>
      <c r="B231" s="4"/>
      <c r="C231" s="7"/>
      <c r="D231" s="7"/>
    </row>
    <row r="232">
      <c r="A232" s="22"/>
      <c r="B232" s="4"/>
      <c r="C232" s="7"/>
      <c r="D232" s="7"/>
    </row>
    <row r="233">
      <c r="A233" s="19"/>
      <c r="B233" s="4"/>
      <c r="C233" s="7"/>
      <c r="D233" s="7"/>
    </row>
    <row r="234">
      <c r="A234" s="19"/>
      <c r="B234" s="4"/>
      <c r="C234" s="7"/>
      <c r="D234" s="7"/>
    </row>
    <row r="235">
      <c r="A235" s="19"/>
      <c r="B235" s="4"/>
      <c r="C235" s="7"/>
      <c r="D235" s="7"/>
    </row>
    <row r="236">
      <c r="A236" s="19"/>
      <c r="B236" s="4"/>
      <c r="C236" s="7"/>
      <c r="D236" s="7"/>
    </row>
    <row r="237">
      <c r="A237" s="19"/>
      <c r="B237" s="4"/>
      <c r="C237" s="7"/>
      <c r="D237" s="7"/>
    </row>
    <row r="238">
      <c r="A238" s="19"/>
      <c r="B238" s="4"/>
      <c r="C238" s="7"/>
      <c r="D238" s="7"/>
    </row>
    <row r="239">
      <c r="A239" s="19"/>
      <c r="B239" s="4"/>
      <c r="C239" s="7"/>
      <c r="D239" s="7"/>
    </row>
    <row r="240">
      <c r="A240" s="19"/>
      <c r="B240" s="4"/>
      <c r="C240" s="7"/>
      <c r="D240" s="7"/>
    </row>
    <row r="241">
      <c r="A241" s="19"/>
      <c r="B241" s="4"/>
      <c r="C241" s="7"/>
      <c r="D241" s="7"/>
    </row>
    <row r="242">
      <c r="A242" s="19"/>
      <c r="B242" s="4"/>
      <c r="C242" s="7"/>
      <c r="D242" s="7"/>
    </row>
    <row r="243">
      <c r="A243" s="19"/>
      <c r="B243" s="4"/>
      <c r="C243" s="7"/>
      <c r="D243" s="7"/>
    </row>
    <row r="244">
      <c r="A244" s="19"/>
      <c r="B244" s="4"/>
      <c r="C244" s="7"/>
      <c r="D244" s="7"/>
    </row>
    <row r="245">
      <c r="A245" s="19"/>
      <c r="B245" s="4"/>
      <c r="C245" s="7"/>
      <c r="D245" s="7"/>
    </row>
    <row r="246">
      <c r="A246" s="19"/>
      <c r="B246" s="4"/>
      <c r="C246" s="7"/>
      <c r="D246" s="7"/>
    </row>
    <row r="247">
      <c r="A247" s="19"/>
      <c r="B247" s="4"/>
      <c r="C247" s="7"/>
      <c r="D247" s="7"/>
    </row>
    <row r="248">
      <c r="A248" s="19"/>
      <c r="B248" s="4"/>
      <c r="C248" s="7"/>
      <c r="D248" s="7"/>
    </row>
    <row r="249">
      <c r="A249" s="22"/>
      <c r="B249" s="4"/>
      <c r="C249" s="7"/>
      <c r="D249" s="7"/>
    </row>
    <row r="250">
      <c r="A250" s="22"/>
      <c r="B250" s="4"/>
      <c r="C250" s="7"/>
      <c r="D250" s="7"/>
    </row>
    <row r="251">
      <c r="A251" s="22"/>
      <c r="B251" s="4"/>
      <c r="C251" s="7"/>
      <c r="D251" s="7"/>
    </row>
    <row r="252">
      <c r="A252" s="22"/>
      <c r="B252" s="4"/>
      <c r="C252" s="7"/>
      <c r="D252" s="7"/>
    </row>
    <row r="253">
      <c r="A253" s="22"/>
      <c r="B253" s="4"/>
      <c r="C253" s="7"/>
      <c r="D253" s="7"/>
    </row>
    <row r="254">
      <c r="A254" s="22"/>
      <c r="B254" s="4"/>
      <c r="C254" s="7"/>
      <c r="D254" s="7"/>
    </row>
    <row r="255">
      <c r="A255" s="19"/>
      <c r="B255" s="4"/>
      <c r="C255" s="7"/>
      <c r="D255" s="7"/>
    </row>
    <row r="256">
      <c r="A256" s="19"/>
      <c r="B256" s="4"/>
      <c r="C256" s="7"/>
      <c r="D256" s="7"/>
    </row>
    <row r="257">
      <c r="A257" s="19"/>
      <c r="B257" s="4"/>
      <c r="C257" s="7"/>
      <c r="D257" s="7"/>
    </row>
    <row r="258">
      <c r="A258" s="19"/>
      <c r="B258" s="4"/>
      <c r="C258" s="7"/>
      <c r="D258" s="7"/>
    </row>
    <row r="259">
      <c r="A259" s="19"/>
      <c r="B259" s="4"/>
      <c r="C259" s="7"/>
      <c r="D259" s="7"/>
    </row>
    <row r="260">
      <c r="A260" s="19"/>
      <c r="B260" s="4"/>
      <c r="C260" s="7"/>
      <c r="D260" s="7"/>
    </row>
    <row r="261">
      <c r="A261" s="19"/>
      <c r="B261" s="4"/>
      <c r="C261" s="7"/>
      <c r="D261" s="7"/>
    </row>
    <row r="262">
      <c r="A262" s="19"/>
      <c r="B262" s="4"/>
      <c r="C262" s="7"/>
      <c r="D262" s="7"/>
    </row>
    <row r="263">
      <c r="A263" s="19"/>
      <c r="B263" s="4"/>
      <c r="C263" s="7"/>
      <c r="D263" s="7"/>
    </row>
    <row r="264">
      <c r="A264" s="19"/>
      <c r="B264" s="4"/>
      <c r="C264" s="7"/>
      <c r="D264" s="7"/>
    </row>
    <row r="265">
      <c r="A265" s="19"/>
      <c r="B265" s="4"/>
      <c r="C265" s="7"/>
      <c r="D265" s="7"/>
    </row>
    <row r="266">
      <c r="A266" s="19"/>
      <c r="B266" s="4"/>
      <c r="C266" s="7"/>
      <c r="D266" s="7"/>
    </row>
    <row r="267">
      <c r="A267" s="19"/>
      <c r="B267" s="4"/>
      <c r="C267" s="7"/>
      <c r="D267" s="7"/>
    </row>
    <row r="268">
      <c r="A268" s="22"/>
      <c r="B268" s="4"/>
      <c r="C268" s="7"/>
      <c r="D268" s="7"/>
    </row>
    <row r="269">
      <c r="A269" s="22"/>
      <c r="B269" s="4"/>
      <c r="C269" s="7"/>
      <c r="D269" s="7"/>
    </row>
    <row r="270">
      <c r="A270" s="22"/>
      <c r="B270" s="4"/>
      <c r="C270" s="7"/>
      <c r="D270" s="7"/>
    </row>
    <row r="271">
      <c r="A271" s="22"/>
      <c r="B271" s="4"/>
      <c r="C271" s="7"/>
      <c r="D271" s="7"/>
    </row>
    <row r="272">
      <c r="A272" s="22"/>
      <c r="B272" s="4"/>
      <c r="C272" s="7"/>
      <c r="D272" s="7"/>
    </row>
    <row r="273">
      <c r="A273" s="22"/>
      <c r="B273" s="4"/>
      <c r="C273" s="7"/>
      <c r="D273" s="7"/>
    </row>
    <row r="274">
      <c r="A274" s="22"/>
      <c r="B274" s="4"/>
      <c r="C274" s="7"/>
      <c r="D274" s="7"/>
    </row>
    <row r="275">
      <c r="A275" s="19"/>
      <c r="B275" s="4"/>
      <c r="C275" s="7"/>
      <c r="D275" s="7"/>
    </row>
    <row r="276">
      <c r="A276" s="19"/>
      <c r="B276" s="4"/>
      <c r="C276" s="7"/>
      <c r="D276" s="7"/>
    </row>
    <row r="277">
      <c r="A277" s="19"/>
      <c r="B277" s="4"/>
      <c r="C277" s="7"/>
      <c r="D277" s="7"/>
    </row>
    <row r="278">
      <c r="A278" s="19"/>
      <c r="B278" s="4"/>
      <c r="C278" s="7"/>
      <c r="D278" s="7"/>
    </row>
    <row r="279">
      <c r="A279" s="19"/>
      <c r="B279" s="4"/>
      <c r="C279" s="7"/>
      <c r="D279" s="7"/>
    </row>
    <row r="280">
      <c r="A280" s="19"/>
      <c r="B280" s="4"/>
      <c r="C280" s="7"/>
      <c r="D280" s="7"/>
    </row>
    <row r="281">
      <c r="A281" s="19"/>
      <c r="B281" s="4"/>
      <c r="C281" s="7"/>
      <c r="D281" s="7"/>
    </row>
    <row r="282">
      <c r="A282" s="19"/>
      <c r="B282" s="4"/>
      <c r="C282" s="7"/>
      <c r="D282" s="7"/>
    </row>
    <row r="283">
      <c r="A283" s="19"/>
      <c r="B283" s="4"/>
      <c r="C283" s="7"/>
      <c r="D283" s="7"/>
    </row>
    <row r="284">
      <c r="A284" s="19"/>
      <c r="B284" s="4"/>
      <c r="C284" s="7"/>
      <c r="D284" s="7"/>
    </row>
    <row r="285">
      <c r="A285" s="19"/>
      <c r="B285" s="4"/>
      <c r="C285" s="7"/>
      <c r="D285" s="7"/>
    </row>
    <row r="286">
      <c r="A286" s="19"/>
      <c r="B286" s="4"/>
      <c r="C286" s="7"/>
      <c r="D286" s="7"/>
    </row>
    <row r="287">
      <c r="A287" s="19"/>
      <c r="B287" s="4"/>
      <c r="C287" s="7"/>
      <c r="D287" s="7"/>
    </row>
    <row r="288">
      <c r="A288" s="19"/>
      <c r="B288" s="4"/>
      <c r="C288" s="7"/>
      <c r="D288" s="7"/>
    </row>
    <row r="289">
      <c r="A289" s="19"/>
      <c r="B289" s="4"/>
      <c r="C289" s="7"/>
      <c r="D289" s="7"/>
    </row>
    <row r="290">
      <c r="A290" s="22"/>
      <c r="B290" s="4"/>
      <c r="C290" s="7"/>
      <c r="D290" s="7"/>
    </row>
    <row r="291">
      <c r="A291" s="22"/>
      <c r="B291" s="4"/>
      <c r="C291" s="7"/>
      <c r="D291" s="7"/>
    </row>
    <row r="292">
      <c r="A292" s="22"/>
      <c r="B292" s="4"/>
      <c r="C292" s="7"/>
      <c r="D292" s="7"/>
    </row>
    <row r="293">
      <c r="A293" s="22"/>
      <c r="B293" s="4"/>
      <c r="C293" s="7"/>
      <c r="D293" s="7"/>
    </row>
    <row r="294">
      <c r="A294" s="22"/>
      <c r="B294" s="4"/>
      <c r="C294" s="7"/>
      <c r="D294" s="7"/>
    </row>
    <row r="295">
      <c r="A295" s="22"/>
      <c r="B295" s="4"/>
      <c r="C295" s="7"/>
      <c r="D295" s="7"/>
    </row>
    <row r="296">
      <c r="A296" s="19"/>
      <c r="B296" s="4"/>
      <c r="C296" s="7"/>
      <c r="D296" s="7"/>
    </row>
    <row r="297">
      <c r="A297" s="19"/>
      <c r="B297" s="4"/>
      <c r="C297" s="7"/>
      <c r="D297" s="7"/>
    </row>
    <row r="298">
      <c r="A298" s="19"/>
      <c r="B298" s="4"/>
      <c r="C298" s="7"/>
      <c r="D298" s="7"/>
    </row>
    <row r="299">
      <c r="A299" s="19"/>
      <c r="B299" s="4"/>
      <c r="C299" s="7"/>
      <c r="D299" s="7"/>
    </row>
    <row r="300">
      <c r="A300" s="19"/>
      <c r="B300" s="4"/>
      <c r="C300" s="7"/>
      <c r="D300" s="7"/>
    </row>
    <row r="301">
      <c r="A301" s="19"/>
      <c r="B301" s="4"/>
      <c r="C301" s="7"/>
      <c r="D301" s="7"/>
    </row>
    <row r="302">
      <c r="A302" s="19"/>
      <c r="B302" s="4"/>
      <c r="C302" s="7"/>
      <c r="D302" s="7"/>
    </row>
    <row r="303">
      <c r="A303" s="19"/>
      <c r="B303" s="4"/>
      <c r="C303" s="7"/>
      <c r="D303" s="7"/>
    </row>
    <row r="304">
      <c r="A304" s="19"/>
      <c r="B304" s="4"/>
      <c r="C304" s="7"/>
      <c r="D304" s="7"/>
    </row>
    <row r="305">
      <c r="A305" s="19"/>
      <c r="B305" s="4"/>
      <c r="C305" s="7"/>
      <c r="D305" s="7"/>
    </row>
    <row r="306">
      <c r="A306" s="19"/>
      <c r="B306" s="4"/>
      <c r="C306" s="7"/>
      <c r="D306" s="7"/>
    </row>
    <row r="307">
      <c r="A307" s="19"/>
      <c r="B307" s="4"/>
      <c r="C307" s="7"/>
      <c r="D307" s="7"/>
    </row>
    <row r="308">
      <c r="A308" s="19"/>
      <c r="B308" s="4"/>
      <c r="C308" s="7"/>
      <c r="D308" s="7"/>
    </row>
    <row r="309">
      <c r="A309" s="19"/>
      <c r="B309" s="4"/>
      <c r="C309" s="7"/>
      <c r="D309" s="7"/>
    </row>
    <row r="310">
      <c r="A310" s="19"/>
      <c r="B310" s="4"/>
      <c r="C310" s="7"/>
      <c r="D310" s="7"/>
    </row>
    <row r="311">
      <c r="A311" s="22"/>
      <c r="B311" s="4"/>
      <c r="C311" s="7"/>
      <c r="D311" s="7"/>
    </row>
    <row r="312">
      <c r="A312" s="22"/>
      <c r="B312" s="4"/>
      <c r="C312" s="7"/>
      <c r="D312" s="7"/>
    </row>
    <row r="313">
      <c r="A313" s="22"/>
      <c r="B313" s="4"/>
      <c r="C313" s="7"/>
      <c r="D313" s="7"/>
    </row>
    <row r="314">
      <c r="A314" s="22"/>
      <c r="B314" s="4"/>
      <c r="C314" s="7"/>
      <c r="D314" s="7"/>
    </row>
    <row r="315">
      <c r="A315" s="19"/>
      <c r="B315" s="4"/>
      <c r="C315" s="7"/>
      <c r="D315" s="7"/>
    </row>
    <row r="316">
      <c r="A316" s="19"/>
      <c r="B316" s="4"/>
      <c r="C316" s="7"/>
      <c r="D316" s="7"/>
    </row>
    <row r="317">
      <c r="A317" s="19"/>
      <c r="B317" s="4"/>
      <c r="C317" s="7"/>
      <c r="D317" s="7"/>
    </row>
    <row r="318">
      <c r="A318" s="19"/>
      <c r="B318" s="4"/>
      <c r="C318" s="7"/>
      <c r="D318" s="7"/>
    </row>
    <row r="319">
      <c r="A319" s="19"/>
      <c r="B319" s="4"/>
      <c r="C319" s="7"/>
      <c r="D319" s="7"/>
    </row>
    <row r="320">
      <c r="A320" s="19"/>
      <c r="B320" s="4"/>
      <c r="C320" s="7"/>
      <c r="D320" s="7"/>
    </row>
    <row r="321">
      <c r="A321" s="19"/>
      <c r="B321" s="4"/>
      <c r="C321" s="7"/>
      <c r="D321" s="7"/>
    </row>
    <row r="322">
      <c r="A322" s="19"/>
      <c r="B322" s="4"/>
      <c r="C322" s="7"/>
      <c r="D322" s="7"/>
    </row>
    <row r="323">
      <c r="A323" s="19"/>
      <c r="B323" s="4"/>
      <c r="C323" s="7"/>
      <c r="D323" s="7"/>
    </row>
    <row r="324">
      <c r="A324" s="19"/>
      <c r="B324" s="4"/>
      <c r="C324" s="7"/>
      <c r="D324" s="7"/>
    </row>
    <row r="325">
      <c r="A325" s="19"/>
      <c r="B325" s="4"/>
      <c r="C325" s="7"/>
      <c r="D325" s="7"/>
    </row>
    <row r="326">
      <c r="A326" s="19"/>
      <c r="B326" s="4"/>
      <c r="C326" s="7"/>
      <c r="D326" s="7"/>
    </row>
    <row r="327">
      <c r="A327" s="19"/>
      <c r="B327" s="4"/>
      <c r="C327" s="7"/>
      <c r="D327" s="7"/>
    </row>
    <row r="328">
      <c r="A328" s="19"/>
      <c r="B328" s="4"/>
      <c r="C328" s="7"/>
      <c r="D328" s="7"/>
    </row>
    <row r="329">
      <c r="A329" s="19"/>
      <c r="B329" s="4"/>
      <c r="C329" s="7"/>
      <c r="D329" s="7"/>
    </row>
    <row r="330">
      <c r="A330" s="22"/>
      <c r="B330" s="4"/>
      <c r="C330" s="7"/>
      <c r="D330" s="7"/>
    </row>
    <row r="331">
      <c r="A331" s="22"/>
      <c r="B331" s="4"/>
      <c r="C331" s="7"/>
      <c r="D331" s="7"/>
    </row>
    <row r="332">
      <c r="A332" s="22"/>
      <c r="B332" s="4"/>
      <c r="C332" s="7"/>
      <c r="D332" s="7"/>
    </row>
    <row r="333">
      <c r="A333" s="22"/>
      <c r="B333" s="4"/>
      <c r="C333" s="7"/>
      <c r="D333" s="7"/>
    </row>
    <row r="334">
      <c r="A334" s="22"/>
      <c r="B334" s="4"/>
      <c r="C334" s="7"/>
      <c r="D334" s="7"/>
    </row>
    <row r="335">
      <c r="A335" s="22"/>
      <c r="B335" s="4"/>
      <c r="C335" s="7"/>
      <c r="D335" s="7"/>
    </row>
    <row r="336">
      <c r="A336" s="22"/>
      <c r="B336" s="4"/>
      <c r="C336" s="7"/>
      <c r="D336" s="7"/>
    </row>
    <row r="337">
      <c r="A337" s="19"/>
      <c r="B337" s="4"/>
      <c r="C337" s="7"/>
      <c r="D337" s="7"/>
    </row>
    <row r="338">
      <c r="A338" s="19"/>
      <c r="B338" s="4"/>
      <c r="C338" s="7"/>
      <c r="D338" s="7"/>
    </row>
    <row r="339">
      <c r="A339" s="19"/>
      <c r="B339" s="4"/>
      <c r="C339" s="7"/>
      <c r="D339" s="7"/>
    </row>
    <row r="340">
      <c r="A340" s="19"/>
      <c r="B340" s="4"/>
      <c r="C340" s="7"/>
      <c r="D340" s="7"/>
    </row>
    <row r="341">
      <c r="A341" s="19"/>
      <c r="B341" s="4"/>
      <c r="C341" s="7"/>
      <c r="D341" s="7"/>
    </row>
    <row r="342">
      <c r="A342" s="19"/>
      <c r="B342" s="4"/>
      <c r="C342" s="7"/>
      <c r="D342" s="7"/>
    </row>
    <row r="343">
      <c r="A343" s="19"/>
      <c r="B343" s="4"/>
      <c r="C343" s="7"/>
      <c r="D343" s="7"/>
    </row>
    <row r="344">
      <c r="A344" s="19"/>
      <c r="B344" s="4"/>
      <c r="C344" s="7"/>
      <c r="D344" s="7"/>
    </row>
    <row r="345">
      <c r="A345" s="19"/>
      <c r="B345" s="4"/>
      <c r="C345" s="7"/>
      <c r="D345" s="7"/>
    </row>
    <row r="346">
      <c r="A346" s="19"/>
      <c r="B346" s="4"/>
      <c r="C346" s="7"/>
      <c r="D346" s="7"/>
    </row>
    <row r="347">
      <c r="A347" s="19"/>
      <c r="B347" s="4"/>
      <c r="C347" s="7"/>
      <c r="D347" s="7"/>
    </row>
    <row r="348">
      <c r="A348" s="19"/>
      <c r="B348" s="4"/>
      <c r="C348" s="7"/>
      <c r="D348" s="7"/>
    </row>
    <row r="349">
      <c r="A349" s="19"/>
      <c r="B349" s="4"/>
      <c r="C349" s="7"/>
      <c r="D349" s="7"/>
    </row>
    <row r="350">
      <c r="A350" s="19"/>
      <c r="B350" s="4"/>
      <c r="C350" s="7"/>
      <c r="D350" s="7"/>
    </row>
    <row r="351">
      <c r="A351" s="19"/>
      <c r="B351" s="4"/>
      <c r="C351" s="7"/>
      <c r="D351" s="7"/>
    </row>
    <row r="352">
      <c r="A352" s="22"/>
      <c r="B352" s="4"/>
      <c r="C352" s="7"/>
      <c r="D352" s="7"/>
    </row>
    <row r="353">
      <c r="A353" s="22"/>
      <c r="B353" s="4"/>
      <c r="C353" s="7"/>
      <c r="D353" s="7"/>
    </row>
    <row r="354">
      <c r="A354" s="22"/>
      <c r="B354" s="4"/>
      <c r="C354" s="7"/>
      <c r="D354" s="7"/>
    </row>
    <row r="355">
      <c r="A355" s="22"/>
      <c r="B355" s="4"/>
      <c r="C355" s="7"/>
      <c r="D355" s="7"/>
    </row>
    <row r="356">
      <c r="A356" s="22"/>
      <c r="B356" s="4"/>
      <c r="C356" s="7"/>
      <c r="D356" s="7"/>
    </row>
    <row r="357">
      <c r="A357" s="22"/>
      <c r="B357" s="4"/>
      <c r="C357" s="7"/>
      <c r="D357" s="7"/>
    </row>
    <row r="358">
      <c r="A358" s="22"/>
      <c r="B358" s="4"/>
      <c r="C358" s="7"/>
      <c r="D358" s="7"/>
    </row>
    <row r="359">
      <c r="A359" s="19"/>
      <c r="B359" s="4"/>
      <c r="C359" s="7"/>
      <c r="D359" s="7"/>
    </row>
    <row r="360">
      <c r="A360" s="19"/>
      <c r="B360" s="4"/>
      <c r="C360" s="7"/>
      <c r="D360" s="7"/>
    </row>
    <row r="361">
      <c r="A361" s="19"/>
      <c r="B361" s="4"/>
      <c r="C361" s="7"/>
      <c r="D361" s="7"/>
    </row>
    <row r="362">
      <c r="A362" s="19"/>
      <c r="B362" s="4"/>
      <c r="C362" s="7"/>
      <c r="D362" s="7"/>
    </row>
    <row r="363">
      <c r="A363" s="19"/>
      <c r="B363" s="4"/>
      <c r="C363" s="7"/>
      <c r="D363" s="7"/>
    </row>
    <row r="364">
      <c r="A364" s="19"/>
      <c r="B364" s="4"/>
      <c r="C364" s="7"/>
      <c r="D364" s="7"/>
    </row>
    <row r="365">
      <c r="A365" s="19"/>
      <c r="B365" s="4"/>
      <c r="C365" s="7"/>
      <c r="D365" s="7"/>
    </row>
    <row r="366">
      <c r="A366" s="19"/>
      <c r="B366" s="4"/>
      <c r="C366" s="7"/>
      <c r="D366" s="7"/>
    </row>
    <row r="367">
      <c r="A367" s="19"/>
      <c r="B367" s="4"/>
      <c r="C367" s="7"/>
      <c r="D367" s="7"/>
    </row>
    <row r="368">
      <c r="A368" s="19"/>
      <c r="B368" s="4"/>
      <c r="C368" s="7"/>
      <c r="D368" s="7"/>
    </row>
    <row r="369">
      <c r="A369" s="19"/>
      <c r="B369" s="4"/>
      <c r="C369" s="7"/>
      <c r="D369" s="7"/>
    </row>
    <row r="370">
      <c r="A370" s="19"/>
      <c r="B370" s="4"/>
      <c r="C370" s="7"/>
      <c r="D370" s="7"/>
    </row>
    <row r="371">
      <c r="A371" s="19"/>
      <c r="B371" s="4"/>
      <c r="C371" s="7"/>
      <c r="D371" s="7"/>
    </row>
    <row r="372">
      <c r="A372" s="22"/>
      <c r="B372" s="4"/>
      <c r="C372" s="7"/>
      <c r="D372" s="7"/>
    </row>
    <row r="373">
      <c r="A373" s="22"/>
      <c r="B373" s="4"/>
      <c r="C373" s="7"/>
      <c r="D373" s="7"/>
    </row>
    <row r="374">
      <c r="A374" s="22"/>
      <c r="B374" s="4"/>
      <c r="C374" s="7"/>
      <c r="D374" s="7"/>
    </row>
    <row r="375">
      <c r="A375" s="22"/>
      <c r="B375" s="4"/>
      <c r="C375" s="7"/>
      <c r="D375" s="7"/>
    </row>
    <row r="376">
      <c r="A376" s="22"/>
      <c r="B376" s="4"/>
      <c r="C376" s="7"/>
      <c r="D376" s="7"/>
    </row>
    <row r="377">
      <c r="A377" s="22"/>
      <c r="B377" s="4"/>
      <c r="C377" s="7"/>
      <c r="D377" s="7"/>
    </row>
    <row r="378">
      <c r="A378" s="22"/>
      <c r="B378" s="4"/>
      <c r="C378" s="7"/>
      <c r="D378" s="7"/>
    </row>
    <row r="379">
      <c r="A379" s="19"/>
      <c r="B379" s="4"/>
      <c r="C379" s="7"/>
      <c r="D379" s="7"/>
    </row>
    <row r="380">
      <c r="A380" s="19"/>
      <c r="B380" s="4"/>
      <c r="C380" s="7"/>
      <c r="D380" s="7"/>
    </row>
    <row r="381">
      <c r="A381" s="19"/>
      <c r="B381" s="4"/>
      <c r="C381" s="7"/>
      <c r="D381" s="7"/>
    </row>
    <row r="382">
      <c r="A382" s="19"/>
      <c r="B382" s="4"/>
      <c r="C382" s="7"/>
      <c r="D382" s="7"/>
    </row>
    <row r="383">
      <c r="A383" s="19"/>
      <c r="B383" s="4"/>
      <c r="C383" s="7"/>
      <c r="D383" s="7"/>
    </row>
    <row r="384">
      <c r="A384" s="19"/>
      <c r="B384" s="4"/>
      <c r="C384" s="7"/>
      <c r="D384" s="7"/>
    </row>
    <row r="385">
      <c r="A385" s="19"/>
      <c r="B385" s="4"/>
      <c r="C385" s="7"/>
      <c r="D385" s="7"/>
    </row>
    <row r="386">
      <c r="A386" s="19"/>
      <c r="B386" s="4"/>
      <c r="C386" s="7"/>
      <c r="D386" s="7"/>
    </row>
    <row r="387">
      <c r="A387" s="19"/>
      <c r="B387" s="4"/>
      <c r="C387" s="7"/>
      <c r="D387" s="7"/>
    </row>
    <row r="388">
      <c r="A388" s="19"/>
      <c r="B388" s="4"/>
      <c r="C388" s="7"/>
      <c r="D388" s="7"/>
    </row>
    <row r="389">
      <c r="A389" s="19"/>
      <c r="B389" s="4"/>
      <c r="C389" s="7"/>
      <c r="D389" s="7"/>
    </row>
    <row r="390">
      <c r="A390" s="19"/>
      <c r="B390" s="4"/>
      <c r="C390" s="7"/>
      <c r="D390" s="7"/>
    </row>
    <row r="391">
      <c r="A391" s="19"/>
      <c r="B391" s="4"/>
      <c r="C391" s="7"/>
      <c r="D391" s="7"/>
    </row>
    <row r="392">
      <c r="A392" s="19"/>
      <c r="B392" s="4"/>
      <c r="C392" s="7"/>
      <c r="D392" s="7"/>
    </row>
    <row r="393">
      <c r="A393" s="22"/>
      <c r="B393" s="4"/>
      <c r="C393" s="7"/>
      <c r="D393" s="7"/>
    </row>
    <row r="394">
      <c r="A394" s="22"/>
      <c r="B394" s="4"/>
      <c r="C394" s="7"/>
      <c r="D394" s="7"/>
    </row>
    <row r="395">
      <c r="A395" s="22"/>
      <c r="B395" s="4"/>
      <c r="C395" s="7"/>
      <c r="D395" s="7"/>
    </row>
    <row r="396">
      <c r="A396" s="22"/>
      <c r="B396" s="4"/>
      <c r="C396" s="7"/>
      <c r="D396" s="7"/>
    </row>
    <row r="397">
      <c r="A397" s="22"/>
      <c r="B397" s="4"/>
      <c r="C397" s="7"/>
      <c r="D397" s="7"/>
    </row>
    <row r="398">
      <c r="A398" s="19"/>
      <c r="B398" s="4"/>
      <c r="C398" s="7"/>
      <c r="D398" s="7"/>
    </row>
    <row r="399">
      <c r="A399" s="19"/>
      <c r="B399" s="4"/>
      <c r="C399" s="7"/>
      <c r="D399" s="7"/>
    </row>
    <row r="400">
      <c r="A400" s="19"/>
      <c r="B400" s="4"/>
      <c r="C400" s="7"/>
      <c r="D400" s="7"/>
    </row>
    <row r="401">
      <c r="A401" s="19"/>
      <c r="B401" s="4"/>
      <c r="C401" s="7"/>
      <c r="D401" s="7"/>
    </row>
    <row r="402">
      <c r="A402" s="19"/>
      <c r="B402" s="4"/>
      <c r="C402" s="7"/>
      <c r="D402" s="7"/>
    </row>
    <row r="403">
      <c r="A403" s="19"/>
      <c r="B403" s="4"/>
      <c r="C403" s="7"/>
      <c r="D403" s="7"/>
    </row>
    <row r="404">
      <c r="A404" s="19"/>
      <c r="B404" s="4"/>
      <c r="C404" s="7"/>
      <c r="D404" s="7"/>
    </row>
    <row r="405">
      <c r="A405" s="19"/>
      <c r="B405" s="4"/>
      <c r="C405" s="7"/>
      <c r="D405" s="7"/>
    </row>
    <row r="406">
      <c r="A406" s="19"/>
      <c r="B406" s="4"/>
      <c r="C406" s="7"/>
      <c r="D406" s="7"/>
    </row>
    <row r="407">
      <c r="A407" s="19"/>
      <c r="B407" s="4"/>
      <c r="C407" s="7"/>
      <c r="D407" s="7"/>
    </row>
    <row r="408">
      <c r="A408" s="19"/>
      <c r="B408" s="4"/>
      <c r="C408" s="7"/>
      <c r="D408" s="7"/>
    </row>
    <row r="409">
      <c r="A409" s="19"/>
      <c r="B409" s="4"/>
      <c r="C409" s="7"/>
      <c r="D409" s="7"/>
    </row>
    <row r="410">
      <c r="A410" s="19"/>
      <c r="B410" s="4"/>
      <c r="C410" s="7"/>
      <c r="D410" s="7"/>
    </row>
    <row r="411">
      <c r="A411" s="19"/>
      <c r="B411" s="4"/>
      <c r="C411" s="7"/>
      <c r="D411" s="7"/>
    </row>
    <row r="412">
      <c r="A412" s="22"/>
      <c r="B412" s="4"/>
      <c r="C412" s="7"/>
      <c r="D412" s="7"/>
    </row>
    <row r="413">
      <c r="A413" s="22"/>
      <c r="B413" s="4"/>
      <c r="C413" s="7"/>
      <c r="D413" s="7"/>
    </row>
    <row r="414">
      <c r="A414" s="22"/>
      <c r="B414" s="4"/>
      <c r="C414" s="7"/>
      <c r="D414" s="7"/>
    </row>
    <row r="415">
      <c r="A415" s="22"/>
      <c r="B415" s="4"/>
      <c r="C415" s="7"/>
      <c r="D415" s="7"/>
    </row>
    <row r="416">
      <c r="A416" s="22"/>
      <c r="B416" s="4"/>
      <c r="C416" s="7"/>
      <c r="D416" s="7"/>
    </row>
    <row r="417">
      <c r="A417" s="22"/>
      <c r="B417" s="4"/>
      <c r="C417" s="7"/>
      <c r="D417" s="7"/>
    </row>
    <row r="418">
      <c r="A418" s="19"/>
      <c r="B418" s="4"/>
      <c r="C418" s="7"/>
      <c r="D418" s="7"/>
    </row>
    <row r="419">
      <c r="A419" s="19"/>
      <c r="B419" s="4"/>
      <c r="C419" s="7"/>
      <c r="D419" s="7"/>
    </row>
    <row r="420">
      <c r="A420" s="19"/>
      <c r="B420" s="4"/>
      <c r="C420" s="7"/>
      <c r="D420" s="7"/>
    </row>
    <row r="421">
      <c r="A421" s="19"/>
      <c r="B421" s="4"/>
      <c r="C421" s="7"/>
      <c r="D421" s="7"/>
    </row>
    <row r="422">
      <c r="A422" s="19"/>
      <c r="B422" s="4"/>
      <c r="C422" s="7"/>
      <c r="D422" s="7"/>
    </row>
    <row r="423">
      <c r="A423" s="19"/>
      <c r="B423" s="4"/>
      <c r="C423" s="7"/>
      <c r="D423" s="7"/>
    </row>
    <row r="424">
      <c r="A424" s="19"/>
      <c r="B424" s="4"/>
      <c r="C424" s="7"/>
      <c r="D424" s="7"/>
    </row>
    <row r="425">
      <c r="A425" s="19"/>
      <c r="B425" s="4"/>
      <c r="C425" s="7"/>
      <c r="D425" s="7"/>
    </row>
    <row r="426">
      <c r="A426" s="19"/>
      <c r="B426" s="4"/>
      <c r="C426" s="7"/>
      <c r="D426" s="7"/>
    </row>
    <row r="427">
      <c r="A427" s="19"/>
      <c r="B427" s="4"/>
      <c r="C427" s="7"/>
      <c r="D427" s="7"/>
    </row>
    <row r="428">
      <c r="A428" s="19"/>
      <c r="B428" s="4"/>
      <c r="C428" s="7"/>
      <c r="D428" s="7"/>
    </row>
    <row r="429">
      <c r="A429" s="19"/>
      <c r="B429" s="4"/>
      <c r="C429" s="7"/>
      <c r="D429" s="7"/>
    </row>
    <row r="430">
      <c r="A430" s="19"/>
      <c r="B430" s="4"/>
      <c r="C430" s="7"/>
      <c r="D430" s="7"/>
    </row>
    <row r="431">
      <c r="A431" s="19"/>
      <c r="B431" s="4"/>
      <c r="C431" s="7"/>
      <c r="D431" s="7"/>
    </row>
    <row r="432">
      <c r="A432" s="23"/>
      <c r="B432" s="4"/>
      <c r="C432" s="7"/>
      <c r="D432" s="7"/>
    </row>
    <row r="433">
      <c r="A433" s="23"/>
      <c r="B433" s="4"/>
      <c r="C433" s="7"/>
      <c r="D433" s="7"/>
    </row>
    <row r="434">
      <c r="A434" s="23"/>
      <c r="B434" s="4"/>
      <c r="C434" s="7"/>
      <c r="D434" s="7"/>
    </row>
    <row r="435">
      <c r="A435" s="23"/>
      <c r="B435" s="4"/>
      <c r="C435" s="7"/>
      <c r="D435" s="7"/>
    </row>
    <row r="436">
      <c r="A436" s="23"/>
      <c r="B436" s="4"/>
      <c r="C436" s="7"/>
      <c r="D436" s="7"/>
    </row>
    <row r="437">
      <c r="A437" s="24"/>
      <c r="B437" s="4"/>
      <c r="C437" s="7"/>
      <c r="D437" s="7"/>
    </row>
    <row r="438">
      <c r="A438" s="24"/>
      <c r="B438" s="4"/>
      <c r="C438" s="7"/>
      <c r="D438" s="7"/>
    </row>
    <row r="439">
      <c r="A439" s="24"/>
      <c r="B439" s="4"/>
      <c r="C439" s="7"/>
      <c r="D439" s="7"/>
    </row>
    <row r="440">
      <c r="A440" s="24"/>
      <c r="B440" s="4"/>
      <c r="C440" s="7"/>
      <c r="D440" s="7"/>
    </row>
    <row r="441">
      <c r="A441" s="24"/>
      <c r="B441" s="4"/>
      <c r="C441" s="7"/>
      <c r="D441" s="7"/>
    </row>
    <row r="442">
      <c r="A442" s="24"/>
      <c r="B442" s="4"/>
      <c r="C442" s="7"/>
      <c r="D442" s="7"/>
    </row>
    <row r="443">
      <c r="A443" s="24"/>
      <c r="B443" s="4"/>
      <c r="C443" s="7"/>
      <c r="D443" s="7"/>
    </row>
    <row r="444">
      <c r="A444" s="24"/>
      <c r="B444" s="4"/>
      <c r="C444" s="7"/>
      <c r="D444" s="7"/>
    </row>
    <row r="445">
      <c r="A445" s="24"/>
      <c r="B445" s="4"/>
      <c r="C445" s="7"/>
      <c r="D445" s="7"/>
    </row>
    <row r="446">
      <c r="A446" s="24"/>
      <c r="B446" s="4"/>
      <c r="C446" s="7"/>
      <c r="D446" s="7"/>
    </row>
    <row r="447">
      <c r="A447" s="24"/>
      <c r="B447" s="4"/>
      <c r="C447" s="7"/>
      <c r="D447" s="7"/>
    </row>
    <row r="448">
      <c r="A448" s="24"/>
      <c r="B448" s="4"/>
      <c r="C448" s="7"/>
      <c r="D448" s="7"/>
    </row>
    <row r="449">
      <c r="A449" s="24"/>
      <c r="B449" s="4"/>
      <c r="C449" s="7"/>
      <c r="D449" s="7"/>
    </row>
    <row r="450">
      <c r="A450" s="24"/>
      <c r="B450" s="4"/>
      <c r="C450" s="7"/>
      <c r="D450" s="7"/>
    </row>
    <row r="451">
      <c r="A451" s="22"/>
      <c r="B451" s="4"/>
      <c r="C451" s="7"/>
      <c r="D451" s="7"/>
    </row>
    <row r="452">
      <c r="A452" s="22"/>
      <c r="B452" s="4"/>
      <c r="C452" s="7"/>
      <c r="D452" s="7"/>
    </row>
    <row r="453">
      <c r="A453" s="22"/>
      <c r="B453" s="4"/>
      <c r="C453" s="7"/>
      <c r="D453" s="7"/>
    </row>
    <row r="454">
      <c r="A454" s="22"/>
      <c r="B454" s="4"/>
      <c r="C454" s="7"/>
      <c r="D454" s="7"/>
    </row>
    <row r="455">
      <c r="A455" s="22"/>
      <c r="B455" s="4"/>
      <c r="C455" s="7"/>
      <c r="D455" s="7"/>
    </row>
    <row r="456">
      <c r="A456" s="22"/>
      <c r="B456" s="4"/>
      <c r="C456" s="7"/>
      <c r="D456" s="7"/>
    </row>
    <row r="457">
      <c r="A457" s="22"/>
      <c r="B457" s="4"/>
      <c r="C457" s="7"/>
      <c r="D457" s="7"/>
    </row>
    <row r="458">
      <c r="A458" s="19"/>
      <c r="B458" s="4"/>
      <c r="C458" s="7"/>
      <c r="D458" s="7"/>
    </row>
    <row r="459">
      <c r="A459" s="19"/>
      <c r="B459" s="4"/>
      <c r="C459" s="7"/>
      <c r="D459" s="7"/>
    </row>
    <row r="460">
      <c r="A460" s="19"/>
      <c r="B460" s="4"/>
      <c r="C460" s="7"/>
      <c r="D460" s="7"/>
    </row>
    <row r="461">
      <c r="A461" s="19"/>
      <c r="B461" s="4"/>
      <c r="C461" s="7"/>
      <c r="D461" s="7"/>
    </row>
    <row r="462">
      <c r="A462" s="19"/>
      <c r="B462" s="4"/>
      <c r="C462" s="7"/>
      <c r="D462" s="7"/>
    </row>
    <row r="463">
      <c r="A463" s="19"/>
      <c r="B463" s="4"/>
      <c r="C463" s="7"/>
      <c r="D463" s="7"/>
    </row>
    <row r="464">
      <c r="A464" s="19"/>
      <c r="B464" s="4"/>
      <c r="C464" s="7"/>
      <c r="D464" s="7"/>
    </row>
    <row r="465">
      <c r="A465" s="19"/>
      <c r="B465" s="4"/>
      <c r="C465" s="7"/>
      <c r="D465" s="7"/>
    </row>
    <row r="466">
      <c r="A466" s="19"/>
      <c r="B466" s="4"/>
      <c r="C466" s="7"/>
      <c r="D466" s="7"/>
    </row>
    <row r="467">
      <c r="A467" s="19"/>
      <c r="B467" s="4"/>
      <c r="C467" s="7"/>
      <c r="D467" s="7"/>
    </row>
    <row r="468">
      <c r="A468" s="19"/>
      <c r="B468" s="4"/>
      <c r="C468" s="7"/>
      <c r="D468" s="7"/>
    </row>
    <row r="469">
      <c r="A469" s="19"/>
      <c r="B469" s="4"/>
      <c r="C469" s="7"/>
      <c r="D469" s="7"/>
    </row>
    <row r="470">
      <c r="A470" s="19"/>
      <c r="B470" s="4"/>
      <c r="C470" s="7"/>
      <c r="D470" s="7"/>
    </row>
    <row r="471">
      <c r="A471" s="19"/>
      <c r="B471" s="4"/>
      <c r="C471" s="7"/>
      <c r="D471" s="7"/>
    </row>
    <row r="472">
      <c r="A472" s="22"/>
      <c r="B472" s="4"/>
      <c r="C472" s="7"/>
      <c r="D472" s="7"/>
    </row>
    <row r="473">
      <c r="A473" s="22"/>
      <c r="B473" s="4"/>
      <c r="C473" s="7"/>
      <c r="D473" s="7"/>
    </row>
    <row r="474">
      <c r="A474" s="22"/>
      <c r="B474" s="4"/>
      <c r="C474" s="7"/>
      <c r="D474" s="7"/>
    </row>
    <row r="475">
      <c r="A475" s="22"/>
      <c r="B475" s="4"/>
      <c r="C475" s="7"/>
      <c r="D475" s="7"/>
    </row>
    <row r="476">
      <c r="A476" s="22"/>
      <c r="B476" s="4"/>
      <c r="C476" s="7"/>
      <c r="D476" s="7"/>
    </row>
    <row r="477">
      <c r="A477" s="22"/>
      <c r="B477" s="4"/>
      <c r="C477" s="7"/>
      <c r="D477" s="7"/>
    </row>
    <row r="478">
      <c r="A478" s="22"/>
      <c r="B478" s="4"/>
      <c r="C478" s="7"/>
      <c r="D478" s="7"/>
    </row>
    <row r="479">
      <c r="A479" s="19"/>
      <c r="B479" s="4"/>
      <c r="C479" s="7"/>
      <c r="D479" s="7"/>
    </row>
    <row r="480">
      <c r="A480" s="19"/>
      <c r="B480" s="4"/>
      <c r="C480" s="7"/>
      <c r="D480" s="7"/>
    </row>
    <row r="481">
      <c r="A481" s="19"/>
      <c r="B481" s="4"/>
      <c r="C481" s="7"/>
      <c r="D481" s="7"/>
    </row>
    <row r="482">
      <c r="A482" s="19"/>
      <c r="B482" s="4"/>
      <c r="C482" s="7"/>
      <c r="D482" s="7"/>
    </row>
    <row r="483">
      <c r="A483" s="19"/>
      <c r="B483" s="4"/>
      <c r="C483" s="7"/>
      <c r="D483" s="7"/>
    </row>
    <row r="484">
      <c r="A484" s="19"/>
      <c r="B484" s="4"/>
      <c r="C484" s="7"/>
      <c r="D484" s="7"/>
    </row>
    <row r="485">
      <c r="A485" s="19"/>
      <c r="B485" s="4"/>
      <c r="C485" s="7"/>
      <c r="D485" s="7"/>
    </row>
    <row r="486">
      <c r="A486" s="19"/>
      <c r="B486" s="4"/>
      <c r="C486" s="7"/>
      <c r="D486" s="7"/>
    </row>
    <row r="487">
      <c r="A487" s="19"/>
      <c r="B487" s="4"/>
      <c r="C487" s="7"/>
      <c r="D487" s="7"/>
    </row>
    <row r="488">
      <c r="A488" s="19"/>
      <c r="B488" s="4"/>
      <c r="C488" s="7"/>
      <c r="D488" s="7"/>
    </row>
    <row r="489">
      <c r="A489" s="19"/>
      <c r="B489" s="4"/>
      <c r="C489" s="7"/>
      <c r="D489" s="7"/>
    </row>
    <row r="490">
      <c r="A490" s="19"/>
      <c r="B490" s="4"/>
      <c r="C490" s="7"/>
      <c r="D490" s="7"/>
    </row>
    <row r="491">
      <c r="A491" s="19"/>
      <c r="B491" s="4"/>
      <c r="C491" s="7"/>
      <c r="D491" s="7"/>
    </row>
    <row r="492">
      <c r="A492" s="19"/>
      <c r="B492" s="4"/>
      <c r="C492" s="7"/>
      <c r="D492" s="7"/>
    </row>
    <row r="493">
      <c r="A493" s="19"/>
      <c r="B493" s="4"/>
      <c r="C493" s="7"/>
      <c r="D493" s="7"/>
    </row>
    <row r="494">
      <c r="A494" s="19"/>
      <c r="B494" s="4"/>
      <c r="C494" s="7"/>
      <c r="D494" s="7"/>
    </row>
    <row r="495">
      <c r="A495" s="22"/>
      <c r="B495" s="4"/>
      <c r="C495" s="7"/>
      <c r="D495" s="7"/>
    </row>
    <row r="496">
      <c r="A496" s="22"/>
      <c r="C496" s="7"/>
      <c r="D496" s="10"/>
    </row>
    <row r="497">
      <c r="A497" s="17"/>
      <c r="C497" s="7"/>
      <c r="D497" s="7"/>
    </row>
    <row r="498">
      <c r="A498" s="17"/>
      <c r="C498" s="7"/>
      <c r="D498" s="7"/>
    </row>
    <row r="499">
      <c r="A499" s="17"/>
      <c r="C499" s="7"/>
      <c r="D499" s="7"/>
    </row>
    <row r="500">
      <c r="A500" s="17"/>
      <c r="C500" s="7"/>
      <c r="D500" s="7"/>
    </row>
    <row r="501">
      <c r="A501" s="17"/>
      <c r="C501" s="7"/>
      <c r="D501" s="7"/>
    </row>
    <row r="502">
      <c r="A502" s="17"/>
      <c r="C502" s="7"/>
      <c r="D502" s="7"/>
    </row>
    <row r="503">
      <c r="A503" s="17"/>
      <c r="C503" s="7"/>
      <c r="D503" s="7"/>
    </row>
    <row r="504">
      <c r="A504" s="17"/>
      <c r="C504" s="7"/>
      <c r="D504" s="7"/>
    </row>
    <row r="505">
      <c r="A505" s="17"/>
      <c r="C505" s="7"/>
      <c r="D505" s="7"/>
    </row>
    <row r="506">
      <c r="A506" s="17"/>
      <c r="C506" s="7"/>
      <c r="D506" s="7"/>
    </row>
    <row r="507">
      <c r="A507" s="17"/>
      <c r="C507" s="7"/>
      <c r="D507" s="7"/>
    </row>
    <row r="508">
      <c r="A508" s="17"/>
      <c r="C508" s="7"/>
      <c r="D508" s="7"/>
    </row>
    <row r="509">
      <c r="A509" s="17"/>
      <c r="C509" s="7"/>
      <c r="D509" s="7"/>
    </row>
    <row r="510">
      <c r="A510" s="17"/>
      <c r="C510" s="7"/>
      <c r="D510" s="7"/>
    </row>
    <row r="511">
      <c r="A511" s="17"/>
      <c r="C511" s="7"/>
      <c r="D511" s="7"/>
    </row>
    <row r="512">
      <c r="A512" s="17"/>
      <c r="C512" s="7"/>
      <c r="D512" s="7"/>
    </row>
    <row r="513">
      <c r="A513" s="17"/>
      <c r="C513" s="7"/>
      <c r="D513" s="7"/>
    </row>
    <row r="514">
      <c r="A514" s="17"/>
      <c r="C514" s="7"/>
      <c r="D514" s="7"/>
    </row>
    <row r="515">
      <c r="A515" s="17"/>
      <c r="C515" s="7"/>
      <c r="D515" s="7"/>
    </row>
    <row r="516">
      <c r="A516" s="17"/>
      <c r="C516" s="7"/>
      <c r="D516" s="7"/>
    </row>
    <row r="517">
      <c r="A517" s="17"/>
      <c r="C517" s="7"/>
      <c r="D517" s="7"/>
    </row>
    <row r="518">
      <c r="A518" s="17"/>
      <c r="C518" s="7"/>
      <c r="D518" s="7"/>
    </row>
    <row r="519">
      <c r="A519" s="17"/>
      <c r="C519" s="7"/>
      <c r="D519" s="7"/>
    </row>
    <row r="520">
      <c r="A520" s="17"/>
      <c r="C520" s="7"/>
      <c r="D520" s="7"/>
    </row>
    <row r="521">
      <c r="A521" s="17"/>
      <c r="C521" s="7"/>
      <c r="D521" s="7"/>
    </row>
    <row r="522">
      <c r="A522" s="17"/>
      <c r="C522" s="7"/>
      <c r="D522" s="7"/>
    </row>
    <row r="523">
      <c r="A523" s="17"/>
      <c r="C523" s="7"/>
      <c r="D523" s="7"/>
    </row>
    <row r="524">
      <c r="A524" s="17"/>
      <c r="C524" s="7"/>
      <c r="D524" s="7"/>
    </row>
    <row r="525">
      <c r="A525" s="17"/>
      <c r="C525" s="7"/>
      <c r="D525" s="7"/>
    </row>
    <row r="526">
      <c r="A526" s="17"/>
      <c r="C526" s="7"/>
      <c r="D526" s="7"/>
    </row>
    <row r="527">
      <c r="A527" s="17"/>
      <c r="C527" s="7"/>
      <c r="D527" s="7"/>
    </row>
    <row r="528">
      <c r="A528" s="17"/>
      <c r="C528" s="7"/>
      <c r="D528" s="7"/>
    </row>
    <row r="529">
      <c r="A529" s="17"/>
      <c r="C529" s="7"/>
      <c r="D529" s="7"/>
    </row>
    <row r="530">
      <c r="A530" s="17"/>
      <c r="C530" s="7"/>
      <c r="D530" s="7"/>
    </row>
    <row r="531">
      <c r="A531" s="17"/>
      <c r="C531" s="7"/>
      <c r="D531" s="7"/>
    </row>
    <row r="532">
      <c r="A532" s="17"/>
      <c r="C532" s="7"/>
      <c r="D532" s="7"/>
    </row>
    <row r="533">
      <c r="A533" s="17"/>
      <c r="C533" s="7"/>
      <c r="D533" s="7"/>
    </row>
    <row r="534">
      <c r="A534" s="17"/>
      <c r="C534" s="7"/>
      <c r="D534" s="7"/>
    </row>
    <row r="535">
      <c r="A535" s="17"/>
      <c r="C535" s="7"/>
      <c r="D535" s="7"/>
    </row>
    <row r="536">
      <c r="A536" s="17"/>
      <c r="C536" s="7"/>
      <c r="D536" s="7"/>
    </row>
    <row r="537">
      <c r="A537" s="17"/>
      <c r="C537" s="7"/>
      <c r="D537" s="7"/>
    </row>
    <row r="538">
      <c r="A538" s="17"/>
      <c r="C538" s="7"/>
      <c r="D538" s="7"/>
    </row>
    <row r="539">
      <c r="A539" s="17"/>
      <c r="C539" s="7"/>
      <c r="D539" s="7"/>
    </row>
    <row r="540">
      <c r="A540" s="17"/>
      <c r="C540" s="7"/>
      <c r="D540" s="7"/>
    </row>
    <row r="541">
      <c r="A541" s="17"/>
      <c r="C541" s="7"/>
      <c r="D541" s="7"/>
    </row>
    <row r="542">
      <c r="A542" s="17"/>
      <c r="C542" s="7"/>
      <c r="D542" s="7"/>
    </row>
    <row r="543">
      <c r="A543" s="17"/>
      <c r="C543" s="7"/>
      <c r="D543" s="7"/>
    </row>
    <row r="544">
      <c r="A544" s="17"/>
      <c r="C544" s="7"/>
      <c r="D544" s="7"/>
    </row>
    <row r="545">
      <c r="A545" s="17"/>
      <c r="C545" s="7"/>
      <c r="D545" s="7"/>
    </row>
    <row r="546">
      <c r="A546" s="17"/>
      <c r="C546" s="7"/>
      <c r="D546" s="7"/>
    </row>
    <row r="547">
      <c r="A547" s="17"/>
      <c r="C547" s="7"/>
      <c r="D547" s="7"/>
    </row>
    <row r="548">
      <c r="A548" s="17"/>
      <c r="C548" s="7"/>
      <c r="D548" s="7"/>
    </row>
    <row r="549">
      <c r="A549" s="17"/>
      <c r="C549" s="7"/>
      <c r="D549" s="7"/>
    </row>
    <row r="550">
      <c r="A550" s="17"/>
      <c r="C550" s="7"/>
      <c r="D550" s="7"/>
    </row>
    <row r="551">
      <c r="A551" s="17"/>
      <c r="C551" s="7"/>
      <c r="D551" s="7"/>
    </row>
    <row r="552">
      <c r="A552" s="17"/>
      <c r="C552" s="7"/>
      <c r="D552" s="7"/>
    </row>
    <row r="553">
      <c r="A553" s="17"/>
      <c r="C553" s="7"/>
      <c r="D553" s="7"/>
    </row>
    <row r="554">
      <c r="A554" s="17"/>
      <c r="C554" s="7"/>
      <c r="D554" s="7"/>
    </row>
    <row r="555">
      <c r="A555" s="17"/>
      <c r="C555" s="7"/>
      <c r="D555" s="7"/>
    </row>
    <row r="556">
      <c r="A556" s="17"/>
      <c r="C556" s="7"/>
      <c r="D556" s="7"/>
    </row>
    <row r="557">
      <c r="A557" s="17"/>
      <c r="C557" s="7"/>
      <c r="D557" s="7"/>
    </row>
    <row r="558">
      <c r="A558" s="17"/>
      <c r="C558" s="7"/>
      <c r="D558" s="7"/>
    </row>
    <row r="559">
      <c r="A559" s="17"/>
      <c r="C559" s="7"/>
      <c r="D559" s="7"/>
    </row>
    <row r="560">
      <c r="A560" s="17"/>
      <c r="C560" s="7"/>
      <c r="D560" s="7"/>
    </row>
    <row r="561">
      <c r="A561" s="17"/>
      <c r="C561" s="7"/>
      <c r="D561" s="7"/>
    </row>
    <row r="562">
      <c r="A562" s="17"/>
      <c r="C562" s="7"/>
      <c r="D562" s="7"/>
    </row>
    <row r="563">
      <c r="A563" s="17"/>
      <c r="C563" s="7"/>
      <c r="D563" s="7"/>
    </row>
    <row r="564">
      <c r="A564" s="17"/>
      <c r="C564" s="7"/>
      <c r="D564" s="7"/>
    </row>
    <row r="565">
      <c r="A565" s="17"/>
      <c r="C565" s="7"/>
      <c r="D565" s="7"/>
    </row>
    <row r="566">
      <c r="A566" s="17"/>
      <c r="C566" s="7"/>
      <c r="D566" s="7"/>
    </row>
    <row r="567">
      <c r="A567" s="17"/>
      <c r="C567" s="7"/>
      <c r="D567" s="7"/>
    </row>
    <row r="568">
      <c r="A568" s="17"/>
      <c r="C568" s="7"/>
      <c r="D568" s="7"/>
    </row>
    <row r="569">
      <c r="A569" s="17"/>
      <c r="C569" s="7"/>
      <c r="D569" s="7"/>
    </row>
    <row r="570">
      <c r="A570" s="17"/>
      <c r="C570" s="7"/>
      <c r="D570" s="7"/>
    </row>
    <row r="571">
      <c r="A571" s="17"/>
      <c r="C571" s="7"/>
      <c r="D571" s="7"/>
    </row>
    <row r="572">
      <c r="A572" s="17"/>
      <c r="C572" s="7"/>
      <c r="D572" s="7"/>
    </row>
    <row r="573">
      <c r="A573" s="17"/>
      <c r="C573" s="7"/>
      <c r="D573" s="7"/>
    </row>
    <row r="574">
      <c r="A574" s="17"/>
      <c r="C574" s="7"/>
      <c r="D574" s="7"/>
    </row>
    <row r="575">
      <c r="A575" s="17"/>
      <c r="C575" s="7"/>
      <c r="D575" s="7"/>
    </row>
    <row r="576">
      <c r="A576" s="17"/>
      <c r="C576" s="7"/>
      <c r="D576" s="7"/>
    </row>
    <row r="577">
      <c r="A577" s="17"/>
      <c r="C577" s="7"/>
      <c r="D577" s="7"/>
    </row>
    <row r="578">
      <c r="A578" s="17"/>
      <c r="C578" s="7"/>
      <c r="D578" s="7"/>
    </row>
    <row r="579">
      <c r="A579" s="17"/>
      <c r="C579" s="7"/>
      <c r="D579" s="7"/>
    </row>
    <row r="580">
      <c r="A580" s="17"/>
      <c r="C580" s="7"/>
      <c r="D580" s="7"/>
    </row>
    <row r="581">
      <c r="A581" s="17"/>
      <c r="C581" s="7"/>
      <c r="D581" s="7"/>
    </row>
    <row r="582">
      <c r="A582" s="17"/>
      <c r="C582" s="7"/>
      <c r="D582" s="7"/>
    </row>
    <row r="583">
      <c r="A583" s="17"/>
      <c r="C583" s="7"/>
      <c r="D583" s="7"/>
    </row>
    <row r="584">
      <c r="A584" s="17"/>
      <c r="C584" s="7"/>
      <c r="D584" s="7"/>
    </row>
    <row r="585">
      <c r="A585" s="17"/>
      <c r="C585" s="7"/>
      <c r="D585" s="7"/>
    </row>
    <row r="586">
      <c r="A586" s="17"/>
      <c r="C586" s="7"/>
      <c r="D586" s="7"/>
    </row>
    <row r="587">
      <c r="A587" s="17"/>
      <c r="C587" s="7"/>
      <c r="D587" s="7"/>
    </row>
    <row r="588">
      <c r="A588" s="17"/>
      <c r="C588" s="7"/>
      <c r="D588" s="7"/>
    </row>
    <row r="589">
      <c r="A589" s="17"/>
      <c r="C589" s="7"/>
      <c r="D589" s="7"/>
    </row>
    <row r="590">
      <c r="A590" s="17"/>
      <c r="C590" s="7"/>
      <c r="D590" s="7"/>
    </row>
    <row r="591">
      <c r="A591" s="17"/>
      <c r="C591" s="7"/>
      <c r="D591" s="7"/>
    </row>
    <row r="592">
      <c r="A592" s="17"/>
      <c r="C592" s="7"/>
      <c r="D592" s="7"/>
    </row>
    <row r="593">
      <c r="A593" s="17"/>
      <c r="C593" s="7"/>
      <c r="D593" s="7"/>
    </row>
    <row r="594">
      <c r="A594" s="17"/>
      <c r="C594" s="7"/>
      <c r="D594" s="7"/>
    </row>
    <row r="595">
      <c r="A595" s="17"/>
      <c r="C595" s="7"/>
      <c r="D595" s="7"/>
    </row>
    <row r="596">
      <c r="A596" s="17"/>
      <c r="C596" s="7"/>
      <c r="D596" s="7"/>
    </row>
    <row r="597">
      <c r="A597" s="17"/>
      <c r="C597" s="7"/>
      <c r="D597" s="7"/>
    </row>
    <row r="598">
      <c r="A598" s="17"/>
      <c r="C598" s="7"/>
      <c r="D598" s="7"/>
    </row>
    <row r="599">
      <c r="A599" s="17"/>
      <c r="C599" s="7"/>
      <c r="D599" s="7"/>
    </row>
    <row r="600">
      <c r="A600" s="17"/>
      <c r="C600" s="7"/>
      <c r="D600" s="7"/>
    </row>
    <row r="601">
      <c r="A601" s="17"/>
      <c r="C601" s="7"/>
      <c r="D601" s="7"/>
    </row>
    <row r="602">
      <c r="A602" s="17"/>
      <c r="C602" s="7"/>
      <c r="D602" s="7"/>
    </row>
    <row r="603">
      <c r="A603" s="17"/>
      <c r="C603" s="7"/>
      <c r="D603" s="7"/>
    </row>
    <row r="604">
      <c r="A604" s="17"/>
      <c r="C604" s="7"/>
      <c r="D604" s="7"/>
    </row>
    <row r="605">
      <c r="A605" s="17"/>
      <c r="C605" s="7"/>
      <c r="D605" s="7"/>
    </row>
    <row r="606">
      <c r="A606" s="17"/>
      <c r="C606" s="7"/>
      <c r="D606" s="7"/>
    </row>
    <row r="607">
      <c r="A607" s="17"/>
      <c r="C607" s="7"/>
      <c r="D607" s="7"/>
    </row>
    <row r="608">
      <c r="A608" s="17"/>
      <c r="C608" s="7"/>
      <c r="D608" s="7"/>
    </row>
    <row r="609">
      <c r="A609" s="17"/>
      <c r="C609" s="7"/>
      <c r="D609" s="7"/>
    </row>
    <row r="610">
      <c r="A610" s="17"/>
      <c r="C610" s="7"/>
      <c r="D610" s="7"/>
    </row>
    <row r="611">
      <c r="A611" s="17"/>
      <c r="C611" s="7"/>
      <c r="D611" s="7"/>
    </row>
    <row r="612">
      <c r="A612" s="17"/>
      <c r="C612" s="7"/>
      <c r="D612" s="7"/>
    </row>
    <row r="613">
      <c r="A613" s="17"/>
      <c r="C613" s="7"/>
      <c r="D613" s="7"/>
    </row>
    <row r="614">
      <c r="A614" s="17"/>
      <c r="C614" s="7"/>
      <c r="D614" s="7"/>
    </row>
    <row r="615">
      <c r="A615" s="17"/>
      <c r="C615" s="7"/>
      <c r="D615" s="7"/>
    </row>
    <row r="616">
      <c r="A616" s="17"/>
      <c r="C616" s="7"/>
      <c r="D616" s="7"/>
    </row>
    <row r="617">
      <c r="A617" s="17"/>
      <c r="C617" s="7"/>
      <c r="D617" s="7"/>
    </row>
    <row r="618">
      <c r="A618" s="17"/>
      <c r="C618" s="7"/>
      <c r="D618" s="7"/>
    </row>
    <row r="619">
      <c r="A619" s="17"/>
      <c r="C619" s="7"/>
      <c r="D619" s="7"/>
    </row>
    <row r="620">
      <c r="A620" s="17"/>
      <c r="C620" s="7"/>
      <c r="D620" s="7"/>
    </row>
    <row r="621">
      <c r="A621" s="17"/>
      <c r="C621" s="7"/>
      <c r="D621" s="7"/>
    </row>
    <row r="622">
      <c r="A622" s="17"/>
      <c r="C622" s="7"/>
      <c r="D622" s="7"/>
    </row>
    <row r="623">
      <c r="A623" s="17"/>
      <c r="C623" s="7"/>
      <c r="D623" s="7"/>
    </row>
    <row r="624">
      <c r="A624" s="17"/>
      <c r="C624" s="7"/>
      <c r="D624" s="7"/>
    </row>
    <row r="625">
      <c r="A625" s="17"/>
      <c r="C625" s="7"/>
      <c r="D625" s="7"/>
    </row>
    <row r="626">
      <c r="A626" s="17"/>
      <c r="C626" s="7"/>
      <c r="D626" s="7"/>
    </row>
    <row r="627">
      <c r="A627" s="17"/>
      <c r="C627" s="7"/>
      <c r="D627" s="7"/>
    </row>
    <row r="628">
      <c r="A628" s="17"/>
      <c r="C628" s="7"/>
      <c r="D628" s="7"/>
    </row>
    <row r="629">
      <c r="A629" s="17"/>
      <c r="C629" s="7"/>
      <c r="D629" s="7"/>
    </row>
    <row r="630">
      <c r="A630" s="17"/>
      <c r="C630" s="7"/>
      <c r="D630" s="7"/>
    </row>
    <row r="631">
      <c r="A631" s="17"/>
      <c r="C631" s="7"/>
      <c r="D631" s="7"/>
    </row>
    <row r="632">
      <c r="A632" s="17"/>
      <c r="C632" s="7"/>
      <c r="D632" s="7"/>
    </row>
    <row r="633">
      <c r="A633" s="17"/>
      <c r="C633" s="7"/>
      <c r="D633" s="7"/>
    </row>
    <row r="634">
      <c r="A634" s="17"/>
      <c r="C634" s="7"/>
      <c r="D634" s="7"/>
    </row>
    <row r="635">
      <c r="A635" s="17"/>
      <c r="C635" s="7"/>
      <c r="D635" s="7"/>
    </row>
    <row r="636">
      <c r="A636" s="17"/>
      <c r="C636" s="7"/>
      <c r="D636" s="7"/>
    </row>
    <row r="637">
      <c r="A637" s="17"/>
      <c r="C637" s="7"/>
      <c r="D637" s="7"/>
    </row>
    <row r="638">
      <c r="A638" s="17"/>
      <c r="C638" s="7"/>
      <c r="D638" s="7"/>
    </row>
    <row r="639">
      <c r="A639" s="17"/>
      <c r="C639" s="7"/>
      <c r="D639" s="7"/>
    </row>
    <row r="640">
      <c r="A640" s="17"/>
      <c r="C640" s="7"/>
      <c r="D640" s="7"/>
    </row>
    <row r="641">
      <c r="A641" s="17"/>
      <c r="C641" s="7"/>
      <c r="D641" s="7"/>
    </row>
    <row r="642">
      <c r="A642" s="17"/>
      <c r="C642" s="7"/>
      <c r="D642" s="7"/>
    </row>
    <row r="643">
      <c r="A643" s="17"/>
      <c r="C643" s="7"/>
      <c r="D643" s="7"/>
    </row>
    <row r="644">
      <c r="A644" s="17"/>
      <c r="C644" s="7"/>
      <c r="D644" s="7"/>
    </row>
    <row r="645">
      <c r="A645" s="17"/>
      <c r="C645" s="7"/>
      <c r="D645" s="7"/>
    </row>
    <row r="646">
      <c r="A646" s="17"/>
      <c r="C646" s="7"/>
      <c r="D646" s="7"/>
    </row>
    <row r="647">
      <c r="A647" s="17"/>
      <c r="C647" s="7"/>
      <c r="D647" s="7"/>
    </row>
    <row r="648">
      <c r="A648" s="17"/>
      <c r="C648" s="7"/>
      <c r="D648" s="7"/>
    </row>
    <row r="649">
      <c r="A649" s="17"/>
      <c r="C649" s="7"/>
      <c r="D649" s="7"/>
    </row>
    <row r="650">
      <c r="A650" s="17"/>
      <c r="C650" s="7"/>
      <c r="D650" s="7"/>
    </row>
    <row r="651">
      <c r="A651" s="17"/>
      <c r="C651" s="7"/>
      <c r="D651" s="7"/>
    </row>
    <row r="652">
      <c r="A652" s="17"/>
      <c r="C652" s="7"/>
      <c r="D652" s="7"/>
    </row>
    <row r="653">
      <c r="A653" s="17"/>
      <c r="C653" s="7"/>
      <c r="D653" s="7"/>
    </row>
    <row r="654">
      <c r="A654" s="17"/>
      <c r="C654" s="7"/>
      <c r="D654" s="7"/>
    </row>
    <row r="655">
      <c r="A655" s="17"/>
      <c r="C655" s="7"/>
      <c r="D655" s="7"/>
    </row>
    <row r="656">
      <c r="A656" s="17"/>
      <c r="C656" s="7"/>
      <c r="D656" s="7"/>
    </row>
    <row r="657">
      <c r="A657" s="17"/>
      <c r="C657" s="7"/>
      <c r="D657" s="7"/>
    </row>
    <row r="658">
      <c r="A658" s="17"/>
      <c r="C658" s="7"/>
      <c r="D658" s="7"/>
    </row>
    <row r="659">
      <c r="A659" s="17"/>
      <c r="C659" s="7"/>
      <c r="D659" s="7"/>
    </row>
    <row r="660">
      <c r="A660" s="17"/>
      <c r="C660" s="7"/>
      <c r="D660" s="7"/>
    </row>
    <row r="661">
      <c r="A661" s="17"/>
      <c r="C661" s="7"/>
      <c r="D661" s="7"/>
    </row>
    <row r="662">
      <c r="A662" s="17"/>
      <c r="C662" s="7"/>
      <c r="D662" s="7"/>
    </row>
    <row r="663">
      <c r="A663" s="17"/>
      <c r="C663" s="7"/>
      <c r="D663" s="7"/>
    </row>
    <row r="664">
      <c r="A664" s="17"/>
      <c r="C664" s="7"/>
      <c r="D664" s="7"/>
    </row>
    <row r="665">
      <c r="A665" s="17"/>
      <c r="C665" s="7"/>
      <c r="D665" s="7"/>
    </row>
    <row r="666">
      <c r="A666" s="17"/>
      <c r="C666" s="7"/>
      <c r="D666" s="7"/>
    </row>
    <row r="667">
      <c r="A667" s="17"/>
      <c r="C667" s="7"/>
      <c r="D667" s="7"/>
    </row>
    <row r="668">
      <c r="A668" s="17"/>
      <c r="C668" s="7"/>
      <c r="D668" s="7"/>
    </row>
    <row r="669">
      <c r="A669" s="17"/>
      <c r="C669" s="7"/>
      <c r="D669" s="7"/>
    </row>
    <row r="670">
      <c r="A670" s="17"/>
      <c r="C670" s="7"/>
      <c r="D670" s="7"/>
    </row>
    <row r="671">
      <c r="A671" s="17"/>
      <c r="C671" s="7"/>
      <c r="D671" s="7"/>
    </row>
    <row r="672">
      <c r="A672" s="17"/>
      <c r="C672" s="7"/>
      <c r="D672" s="7"/>
    </row>
    <row r="673">
      <c r="A673" s="17"/>
      <c r="C673" s="7"/>
      <c r="D673" s="7"/>
    </row>
    <row r="674">
      <c r="A674" s="17"/>
      <c r="C674" s="7"/>
      <c r="D674" s="7"/>
    </row>
    <row r="675">
      <c r="A675" s="17"/>
      <c r="C675" s="7"/>
      <c r="D675" s="7"/>
    </row>
    <row r="676">
      <c r="A676" s="17"/>
      <c r="C676" s="7"/>
      <c r="D676" s="7"/>
    </row>
    <row r="677">
      <c r="A677" s="17"/>
      <c r="C677" s="7"/>
      <c r="D677" s="7"/>
    </row>
    <row r="678">
      <c r="A678" s="17"/>
      <c r="C678" s="7"/>
      <c r="D678" s="7"/>
    </row>
    <row r="679">
      <c r="A679" s="17"/>
      <c r="C679" s="7"/>
      <c r="D679" s="7"/>
    </row>
    <row r="680">
      <c r="A680" s="17"/>
      <c r="C680" s="7"/>
      <c r="D680" s="7"/>
    </row>
    <row r="681">
      <c r="A681" s="17"/>
      <c r="C681" s="7"/>
      <c r="D681" s="7"/>
    </row>
    <row r="682">
      <c r="A682" s="17"/>
      <c r="C682" s="7"/>
      <c r="D682" s="7"/>
    </row>
    <row r="683">
      <c r="A683" s="17"/>
      <c r="C683" s="7"/>
      <c r="D683" s="7"/>
    </row>
    <row r="684">
      <c r="A684" s="17"/>
      <c r="C684" s="7"/>
      <c r="D684" s="7"/>
    </row>
    <row r="685">
      <c r="A685" s="17"/>
      <c r="C685" s="7"/>
      <c r="D685" s="7"/>
    </row>
    <row r="686">
      <c r="A686" s="17"/>
      <c r="C686" s="7"/>
      <c r="D686" s="7"/>
    </row>
    <row r="687">
      <c r="A687" s="17"/>
      <c r="C687" s="7"/>
      <c r="D687" s="7"/>
    </row>
    <row r="688">
      <c r="A688" s="17"/>
      <c r="C688" s="7"/>
      <c r="D688" s="7"/>
    </row>
    <row r="689">
      <c r="A689" s="17"/>
      <c r="C689" s="7"/>
      <c r="D689" s="7"/>
    </row>
    <row r="690">
      <c r="A690" s="17"/>
      <c r="C690" s="7"/>
      <c r="D690" s="7"/>
    </row>
    <row r="691">
      <c r="A691" s="17"/>
      <c r="C691" s="7"/>
      <c r="D691" s="7"/>
    </row>
    <row r="692">
      <c r="A692" s="17"/>
      <c r="C692" s="7"/>
      <c r="D692" s="7"/>
    </row>
    <row r="693">
      <c r="A693" s="17"/>
      <c r="C693" s="7"/>
      <c r="D693" s="7"/>
    </row>
    <row r="694">
      <c r="A694" s="17"/>
      <c r="C694" s="7"/>
      <c r="D694" s="7"/>
    </row>
    <row r="695">
      <c r="A695" s="17"/>
      <c r="C695" s="7"/>
      <c r="D695" s="7"/>
    </row>
    <row r="696">
      <c r="A696" s="17"/>
      <c r="C696" s="7"/>
      <c r="D696" s="7"/>
    </row>
    <row r="697">
      <c r="A697" s="17"/>
      <c r="C697" s="7"/>
      <c r="D697" s="7"/>
    </row>
    <row r="698">
      <c r="A698" s="17"/>
      <c r="C698" s="7"/>
      <c r="D698" s="7"/>
    </row>
    <row r="699">
      <c r="A699" s="17"/>
      <c r="C699" s="7"/>
      <c r="D699" s="7"/>
    </row>
    <row r="700">
      <c r="A700" s="17"/>
      <c r="C700" s="7"/>
      <c r="D700" s="7"/>
    </row>
    <row r="701">
      <c r="A701" s="17"/>
      <c r="C701" s="7"/>
      <c r="D701" s="7"/>
    </row>
    <row r="702">
      <c r="A702" s="17"/>
      <c r="C702" s="7"/>
      <c r="D702" s="7"/>
    </row>
    <row r="703">
      <c r="A703" s="17"/>
      <c r="C703" s="7"/>
      <c r="D703" s="7"/>
    </row>
    <row r="704">
      <c r="A704" s="17"/>
      <c r="C704" s="7"/>
      <c r="D704" s="7"/>
    </row>
    <row r="705">
      <c r="A705" s="17"/>
      <c r="C705" s="7"/>
      <c r="D705" s="7"/>
    </row>
    <row r="706">
      <c r="A706" s="17"/>
      <c r="C706" s="7"/>
      <c r="D706" s="7"/>
    </row>
    <row r="707">
      <c r="A707" s="17"/>
      <c r="C707" s="7"/>
      <c r="D707" s="7"/>
    </row>
    <row r="708">
      <c r="A708" s="17"/>
      <c r="C708" s="7"/>
      <c r="D708" s="7"/>
    </row>
    <row r="709">
      <c r="A709" s="17"/>
      <c r="C709" s="7"/>
      <c r="D709" s="7"/>
    </row>
    <row r="710">
      <c r="A710" s="17"/>
      <c r="C710" s="7"/>
      <c r="D710" s="7"/>
    </row>
    <row r="711">
      <c r="A711" s="17"/>
      <c r="C711" s="7"/>
      <c r="D711" s="7"/>
    </row>
    <row r="712">
      <c r="A712" s="17"/>
      <c r="C712" s="7"/>
      <c r="D712" s="7"/>
    </row>
    <row r="713">
      <c r="A713" s="17"/>
      <c r="C713" s="7"/>
      <c r="D713" s="7"/>
    </row>
    <row r="714">
      <c r="A714" s="17"/>
      <c r="C714" s="7"/>
      <c r="D714" s="7"/>
    </row>
    <row r="715">
      <c r="A715" s="17"/>
      <c r="C715" s="7"/>
      <c r="D715" s="7"/>
    </row>
    <row r="716">
      <c r="A716" s="17"/>
      <c r="C716" s="7"/>
      <c r="D716" s="7"/>
    </row>
    <row r="717">
      <c r="A717" s="17"/>
      <c r="C717" s="7"/>
      <c r="D717" s="7"/>
    </row>
    <row r="718">
      <c r="A718" s="17"/>
      <c r="C718" s="7"/>
      <c r="D718" s="7"/>
    </row>
    <row r="719">
      <c r="A719" s="17"/>
      <c r="C719" s="7"/>
      <c r="D719" s="7"/>
    </row>
    <row r="720">
      <c r="A720" s="17"/>
      <c r="C720" s="7"/>
      <c r="D720" s="7"/>
    </row>
    <row r="721">
      <c r="A721" s="17"/>
      <c r="C721" s="7"/>
      <c r="D721" s="7"/>
    </row>
    <row r="722">
      <c r="A722" s="17"/>
      <c r="C722" s="7"/>
      <c r="D722" s="7"/>
    </row>
    <row r="723">
      <c r="A723" s="17"/>
      <c r="C723" s="7"/>
      <c r="D723" s="7"/>
    </row>
    <row r="724">
      <c r="A724" s="17"/>
      <c r="C724" s="7"/>
      <c r="D724" s="7"/>
    </row>
    <row r="725">
      <c r="A725" s="17"/>
      <c r="C725" s="7"/>
      <c r="D725" s="7"/>
    </row>
    <row r="726">
      <c r="A726" s="17"/>
      <c r="C726" s="7"/>
      <c r="D726" s="7"/>
    </row>
    <row r="727">
      <c r="A727" s="17"/>
      <c r="C727" s="7"/>
      <c r="D727" s="7"/>
    </row>
    <row r="728">
      <c r="A728" s="17"/>
      <c r="C728" s="7"/>
      <c r="D728" s="7"/>
    </row>
    <row r="729">
      <c r="A729" s="17"/>
      <c r="C729" s="7"/>
      <c r="D729" s="7"/>
    </row>
    <row r="730">
      <c r="A730" s="17"/>
      <c r="C730" s="7"/>
      <c r="D730" s="7"/>
    </row>
    <row r="731">
      <c r="A731" s="17"/>
      <c r="C731" s="7"/>
      <c r="D731" s="7"/>
    </row>
    <row r="732">
      <c r="A732" s="17"/>
      <c r="C732" s="7"/>
      <c r="D732" s="7"/>
    </row>
    <row r="733">
      <c r="A733" s="17"/>
      <c r="C733" s="7"/>
      <c r="D733" s="7"/>
    </row>
    <row r="734">
      <c r="A734" s="17"/>
      <c r="C734" s="7"/>
      <c r="D734" s="7"/>
    </row>
    <row r="735">
      <c r="A735" s="17"/>
      <c r="C735" s="7"/>
      <c r="D735" s="7"/>
    </row>
    <row r="736">
      <c r="A736" s="17"/>
      <c r="C736" s="7"/>
      <c r="D736" s="7"/>
    </row>
    <row r="737">
      <c r="A737" s="17"/>
      <c r="C737" s="7"/>
      <c r="D737" s="7"/>
    </row>
    <row r="738">
      <c r="A738" s="17"/>
      <c r="C738" s="7"/>
      <c r="D738" s="7"/>
    </row>
    <row r="739">
      <c r="A739" s="17"/>
      <c r="C739" s="7"/>
      <c r="D739" s="7"/>
    </row>
    <row r="740">
      <c r="A740" s="17"/>
      <c r="C740" s="7"/>
      <c r="D740" s="7"/>
    </row>
    <row r="741">
      <c r="A741" s="17"/>
      <c r="C741" s="7"/>
      <c r="D741" s="7"/>
    </row>
    <row r="742">
      <c r="A742" s="17"/>
      <c r="C742" s="7"/>
      <c r="D742" s="7"/>
    </row>
    <row r="743">
      <c r="A743" s="17"/>
      <c r="C743" s="7"/>
      <c r="D743" s="7"/>
    </row>
    <row r="744">
      <c r="A744" s="17"/>
      <c r="C744" s="7"/>
      <c r="D744" s="7"/>
    </row>
    <row r="745">
      <c r="A745" s="17"/>
      <c r="C745" s="7"/>
      <c r="D745" s="7"/>
    </row>
    <row r="746">
      <c r="A746" s="17"/>
      <c r="C746" s="7"/>
      <c r="D746" s="7"/>
    </row>
    <row r="747">
      <c r="A747" s="17"/>
      <c r="C747" s="7"/>
      <c r="D747" s="7"/>
    </row>
    <row r="748">
      <c r="A748" s="17"/>
      <c r="C748" s="7"/>
      <c r="D748" s="7"/>
    </row>
    <row r="749">
      <c r="A749" s="17"/>
      <c r="C749" s="7"/>
      <c r="D749" s="7"/>
    </row>
    <row r="750">
      <c r="A750" s="17"/>
      <c r="C750" s="7"/>
      <c r="D750" s="7"/>
    </row>
    <row r="751">
      <c r="A751" s="17"/>
      <c r="C751" s="7"/>
      <c r="D751" s="7"/>
    </row>
    <row r="752">
      <c r="A752" s="17"/>
      <c r="C752" s="7"/>
      <c r="D752" s="7"/>
    </row>
    <row r="753">
      <c r="A753" s="17"/>
      <c r="C753" s="7"/>
      <c r="D753" s="7"/>
    </row>
    <row r="754">
      <c r="A754" s="17"/>
      <c r="C754" s="7"/>
      <c r="D754" s="7"/>
    </row>
    <row r="755">
      <c r="A755" s="17"/>
      <c r="C755" s="7"/>
      <c r="D755" s="7"/>
    </row>
    <row r="756">
      <c r="A756" s="17"/>
      <c r="C756" s="7"/>
      <c r="D756" s="7"/>
    </row>
    <row r="757">
      <c r="A757" s="17"/>
      <c r="C757" s="7"/>
      <c r="D757" s="7"/>
    </row>
    <row r="758">
      <c r="A758" s="17"/>
      <c r="C758" s="7"/>
      <c r="D758" s="7"/>
    </row>
    <row r="759">
      <c r="A759" s="17"/>
      <c r="C759" s="7"/>
      <c r="D759" s="7"/>
    </row>
    <row r="760">
      <c r="A760" s="17"/>
      <c r="C760" s="7"/>
      <c r="D760" s="7"/>
    </row>
    <row r="761">
      <c r="A761" s="17"/>
      <c r="C761" s="7"/>
      <c r="D761" s="7"/>
    </row>
    <row r="762">
      <c r="A762" s="17"/>
      <c r="C762" s="7"/>
      <c r="D762" s="7"/>
    </row>
    <row r="763">
      <c r="A763" s="17"/>
      <c r="C763" s="7"/>
      <c r="D763" s="7"/>
    </row>
    <row r="764">
      <c r="A764" s="17"/>
      <c r="C764" s="7"/>
      <c r="D764" s="7"/>
    </row>
    <row r="765">
      <c r="A765" s="17"/>
      <c r="C765" s="7"/>
      <c r="D765" s="7"/>
    </row>
    <row r="766">
      <c r="A766" s="17"/>
      <c r="C766" s="7"/>
      <c r="D766" s="7"/>
    </row>
    <row r="767">
      <c r="A767" s="17"/>
      <c r="C767" s="7"/>
      <c r="D767" s="7"/>
    </row>
    <row r="768">
      <c r="A768" s="17"/>
      <c r="C768" s="7"/>
      <c r="D768" s="7"/>
    </row>
    <row r="769">
      <c r="A769" s="17"/>
      <c r="C769" s="7"/>
      <c r="D769" s="7"/>
    </row>
    <row r="770">
      <c r="A770" s="17"/>
      <c r="C770" s="7"/>
      <c r="D770" s="7"/>
    </row>
    <row r="771">
      <c r="A771" s="17"/>
      <c r="C771" s="7"/>
      <c r="D771" s="7"/>
    </row>
    <row r="772">
      <c r="A772" s="17"/>
      <c r="C772" s="7"/>
      <c r="D772" s="7"/>
    </row>
    <row r="773">
      <c r="A773" s="17"/>
      <c r="C773" s="7"/>
      <c r="D773" s="7"/>
    </row>
    <row r="774">
      <c r="A774" s="17"/>
      <c r="C774" s="7"/>
      <c r="D774" s="7"/>
    </row>
    <row r="775">
      <c r="A775" s="17"/>
      <c r="C775" s="7"/>
      <c r="D775" s="7"/>
    </row>
    <row r="776">
      <c r="A776" s="17"/>
      <c r="C776" s="7"/>
      <c r="D776" s="7"/>
    </row>
    <row r="777">
      <c r="A777" s="17"/>
      <c r="C777" s="7"/>
      <c r="D777" s="7"/>
    </row>
    <row r="778">
      <c r="A778" s="17"/>
      <c r="C778" s="7"/>
      <c r="D778" s="7"/>
    </row>
    <row r="779">
      <c r="A779" s="17"/>
      <c r="C779" s="7"/>
      <c r="D779" s="7"/>
    </row>
    <row r="780">
      <c r="A780" s="17"/>
      <c r="C780" s="7"/>
      <c r="D780" s="7"/>
    </row>
    <row r="781">
      <c r="A781" s="17"/>
      <c r="C781" s="7"/>
      <c r="D781" s="7"/>
    </row>
    <row r="782">
      <c r="A782" s="17"/>
      <c r="C782" s="7"/>
      <c r="D782" s="7"/>
    </row>
    <row r="783">
      <c r="A783" s="17"/>
      <c r="C783" s="7"/>
      <c r="D783" s="7"/>
    </row>
    <row r="784">
      <c r="A784" s="17"/>
      <c r="C784" s="7"/>
      <c r="D784" s="7"/>
    </row>
    <row r="785">
      <c r="A785" s="17"/>
      <c r="C785" s="7"/>
      <c r="D785" s="7"/>
    </row>
    <row r="786">
      <c r="A786" s="17"/>
      <c r="C786" s="7"/>
      <c r="D786" s="7"/>
    </row>
    <row r="787">
      <c r="A787" s="17"/>
      <c r="C787" s="7"/>
      <c r="D787" s="7"/>
    </row>
    <row r="788">
      <c r="A788" s="17"/>
      <c r="C788" s="7"/>
      <c r="D788" s="7"/>
    </row>
    <row r="789">
      <c r="A789" s="17"/>
      <c r="C789" s="7"/>
      <c r="D789" s="7"/>
    </row>
    <row r="790">
      <c r="A790" s="17"/>
      <c r="C790" s="7"/>
      <c r="D790" s="7"/>
    </row>
    <row r="791">
      <c r="A791" s="17"/>
      <c r="C791" s="7"/>
      <c r="D791" s="7"/>
    </row>
    <row r="792">
      <c r="A792" s="17"/>
      <c r="C792" s="7"/>
      <c r="D792" s="7"/>
    </row>
    <row r="793">
      <c r="A793" s="17"/>
      <c r="C793" s="7"/>
      <c r="D793" s="7"/>
    </row>
    <row r="794">
      <c r="A794" s="17"/>
      <c r="C794" s="7"/>
      <c r="D794" s="7"/>
    </row>
    <row r="795">
      <c r="A795" s="17"/>
      <c r="C795" s="7"/>
      <c r="D795" s="7"/>
    </row>
    <row r="796">
      <c r="A796" s="17"/>
      <c r="C796" s="7"/>
      <c r="D796" s="7"/>
    </row>
    <row r="797">
      <c r="A797" s="17"/>
      <c r="C797" s="7"/>
      <c r="D797" s="7"/>
    </row>
    <row r="798">
      <c r="A798" s="17"/>
      <c r="C798" s="7"/>
      <c r="D798" s="7"/>
    </row>
    <row r="799">
      <c r="A799" s="17"/>
      <c r="C799" s="7"/>
      <c r="D799" s="7"/>
    </row>
    <row r="800">
      <c r="A800" s="17"/>
      <c r="C800" s="7"/>
      <c r="D800" s="7"/>
    </row>
    <row r="801">
      <c r="A801" s="17"/>
      <c r="C801" s="7"/>
      <c r="D801" s="7"/>
    </row>
    <row r="802">
      <c r="A802" s="17"/>
      <c r="C802" s="7"/>
      <c r="D802" s="7"/>
    </row>
    <row r="803">
      <c r="A803" s="17"/>
      <c r="C803" s="7"/>
      <c r="D803" s="7"/>
    </row>
    <row r="804">
      <c r="A804" s="17"/>
      <c r="C804" s="7"/>
      <c r="D804" s="7"/>
    </row>
    <row r="805">
      <c r="A805" s="17"/>
      <c r="C805" s="7"/>
      <c r="D805" s="7"/>
    </row>
    <row r="806">
      <c r="A806" s="17"/>
      <c r="C806" s="7"/>
      <c r="D806" s="7"/>
    </row>
    <row r="807">
      <c r="A807" s="17"/>
      <c r="C807" s="7"/>
      <c r="D807" s="7"/>
    </row>
    <row r="808">
      <c r="A808" s="17"/>
      <c r="C808" s="7"/>
      <c r="D808" s="7"/>
    </row>
    <row r="809">
      <c r="A809" s="17"/>
      <c r="C809" s="7"/>
      <c r="D809" s="7"/>
    </row>
    <row r="810">
      <c r="A810" s="17"/>
      <c r="C810" s="7"/>
      <c r="D810" s="7"/>
    </row>
    <row r="811">
      <c r="A811" s="17"/>
      <c r="C811" s="7"/>
      <c r="D811" s="7"/>
    </row>
    <row r="812">
      <c r="A812" s="17"/>
      <c r="C812" s="7"/>
      <c r="D812" s="7"/>
    </row>
    <row r="813">
      <c r="A813" s="17"/>
      <c r="C813" s="7"/>
      <c r="D813" s="7"/>
    </row>
    <row r="814">
      <c r="A814" s="17"/>
      <c r="C814" s="7"/>
      <c r="D814" s="7"/>
    </row>
    <row r="815">
      <c r="A815" s="17"/>
      <c r="C815" s="7"/>
      <c r="D815" s="7"/>
    </row>
    <row r="816">
      <c r="A816" s="17"/>
      <c r="C816" s="7"/>
      <c r="D816" s="7"/>
    </row>
    <row r="817">
      <c r="A817" s="17"/>
      <c r="C817" s="7"/>
      <c r="D817" s="7"/>
    </row>
    <row r="818">
      <c r="A818" s="17"/>
      <c r="C818" s="7"/>
      <c r="D818" s="7"/>
    </row>
    <row r="819">
      <c r="A819" s="17"/>
      <c r="C819" s="7"/>
      <c r="D819" s="7"/>
    </row>
    <row r="820">
      <c r="A820" s="17"/>
      <c r="C820" s="7"/>
      <c r="D820" s="7"/>
    </row>
    <row r="821">
      <c r="A821" s="17"/>
      <c r="C821" s="7"/>
      <c r="D821" s="7"/>
    </row>
    <row r="822">
      <c r="A822" s="17"/>
      <c r="C822" s="7"/>
      <c r="D822" s="7"/>
    </row>
    <row r="823">
      <c r="A823" s="17"/>
      <c r="C823" s="7"/>
      <c r="D823" s="7"/>
    </row>
    <row r="824">
      <c r="A824" s="17"/>
      <c r="C824" s="7"/>
      <c r="D824" s="7"/>
    </row>
    <row r="825">
      <c r="A825" s="17"/>
      <c r="C825" s="7"/>
      <c r="D825" s="7"/>
    </row>
    <row r="826">
      <c r="A826" s="17"/>
      <c r="C826" s="7"/>
      <c r="D826" s="7"/>
    </row>
    <row r="827">
      <c r="A827" s="17"/>
      <c r="C827" s="7"/>
      <c r="D827" s="7"/>
    </row>
    <row r="828">
      <c r="A828" s="17"/>
      <c r="C828" s="7"/>
      <c r="D828" s="7"/>
    </row>
    <row r="829">
      <c r="A829" s="17"/>
      <c r="C829" s="7"/>
      <c r="D829" s="7"/>
    </row>
    <row r="830">
      <c r="A830" s="17"/>
      <c r="C830" s="7"/>
      <c r="D830" s="7"/>
    </row>
    <row r="831">
      <c r="A831" s="17"/>
      <c r="C831" s="7"/>
      <c r="D831" s="7"/>
    </row>
    <row r="832">
      <c r="A832" s="17"/>
      <c r="C832" s="7"/>
      <c r="D832" s="7"/>
    </row>
    <row r="833">
      <c r="A833" s="17"/>
      <c r="C833" s="7"/>
      <c r="D833" s="7"/>
    </row>
    <row r="834">
      <c r="A834" s="17"/>
      <c r="C834" s="7"/>
      <c r="D834" s="7"/>
    </row>
    <row r="835">
      <c r="A835" s="17"/>
      <c r="C835" s="7"/>
      <c r="D835" s="7"/>
    </row>
    <row r="836">
      <c r="A836" s="17"/>
      <c r="C836" s="7"/>
      <c r="D836" s="7"/>
    </row>
    <row r="837">
      <c r="A837" s="17"/>
      <c r="C837" s="7"/>
      <c r="D837" s="7"/>
    </row>
    <row r="838">
      <c r="A838" s="17"/>
      <c r="C838" s="7"/>
      <c r="D838" s="7"/>
    </row>
    <row r="839">
      <c r="A839" s="17"/>
      <c r="C839" s="7"/>
      <c r="D839" s="7"/>
    </row>
    <row r="840">
      <c r="A840" s="17"/>
      <c r="C840" s="7"/>
      <c r="D840" s="7"/>
    </row>
    <row r="841">
      <c r="A841" s="17"/>
      <c r="C841" s="7"/>
      <c r="D841" s="7"/>
    </row>
    <row r="842">
      <c r="A842" s="17"/>
      <c r="C842" s="7"/>
      <c r="D842" s="7"/>
    </row>
    <row r="843">
      <c r="A843" s="17"/>
      <c r="C843" s="7"/>
      <c r="D843" s="7"/>
    </row>
    <row r="844">
      <c r="A844" s="17"/>
      <c r="C844" s="7"/>
      <c r="D844" s="7"/>
    </row>
    <row r="845">
      <c r="A845" s="17"/>
      <c r="C845" s="7"/>
      <c r="D845" s="7"/>
    </row>
    <row r="846">
      <c r="A846" s="17"/>
      <c r="C846" s="7"/>
      <c r="D846" s="7"/>
    </row>
    <row r="847">
      <c r="A847" s="17"/>
      <c r="C847" s="7"/>
      <c r="D847" s="7"/>
    </row>
    <row r="848">
      <c r="A848" s="17"/>
      <c r="C848" s="7"/>
      <c r="D848" s="7"/>
    </row>
    <row r="849">
      <c r="A849" s="17"/>
      <c r="C849" s="7"/>
      <c r="D849" s="7"/>
    </row>
    <row r="850">
      <c r="A850" s="17"/>
      <c r="C850" s="7"/>
      <c r="D850" s="7"/>
    </row>
    <row r="851">
      <c r="A851" s="17"/>
      <c r="C851" s="7"/>
      <c r="D851" s="7"/>
    </row>
    <row r="852">
      <c r="A852" s="17"/>
      <c r="C852" s="7"/>
      <c r="D852" s="7"/>
    </row>
    <row r="853">
      <c r="A853" s="17"/>
      <c r="C853" s="7"/>
      <c r="D853" s="7"/>
    </row>
    <row r="854">
      <c r="A854" s="17"/>
      <c r="C854" s="7"/>
      <c r="D854" s="7"/>
    </row>
    <row r="855">
      <c r="A855" s="17"/>
      <c r="C855" s="7"/>
      <c r="D855" s="7"/>
    </row>
    <row r="856">
      <c r="A856" s="17"/>
      <c r="C856" s="7"/>
      <c r="D856" s="7"/>
    </row>
    <row r="857">
      <c r="A857" s="17"/>
      <c r="C857" s="7"/>
      <c r="D857" s="7"/>
    </row>
    <row r="858">
      <c r="A858" s="17"/>
      <c r="C858" s="7"/>
      <c r="D858" s="7"/>
    </row>
    <row r="859">
      <c r="A859" s="17"/>
      <c r="C859" s="7"/>
      <c r="D859" s="7"/>
    </row>
    <row r="860">
      <c r="A860" s="17"/>
      <c r="C860" s="7"/>
      <c r="D860" s="7"/>
    </row>
    <row r="861">
      <c r="A861" s="17"/>
      <c r="C861" s="7"/>
      <c r="D861" s="7"/>
    </row>
    <row r="862">
      <c r="A862" s="17"/>
      <c r="C862" s="7"/>
      <c r="D862" s="7"/>
    </row>
    <row r="863">
      <c r="A863" s="17"/>
      <c r="C863" s="7"/>
      <c r="D863" s="7"/>
    </row>
    <row r="864">
      <c r="A864" s="17"/>
      <c r="C864" s="7"/>
      <c r="D864" s="7"/>
    </row>
    <row r="865">
      <c r="A865" s="17"/>
      <c r="C865" s="7"/>
      <c r="D865" s="7"/>
    </row>
    <row r="866">
      <c r="A866" s="17"/>
      <c r="C866" s="7"/>
      <c r="D866" s="7"/>
    </row>
    <row r="867">
      <c r="A867" s="17"/>
      <c r="C867" s="7"/>
      <c r="D867" s="7"/>
    </row>
    <row r="868">
      <c r="A868" s="17"/>
      <c r="C868" s="7"/>
      <c r="D868" s="7"/>
    </row>
    <row r="869">
      <c r="A869" s="17"/>
      <c r="C869" s="7"/>
      <c r="D869" s="7"/>
    </row>
    <row r="870">
      <c r="A870" s="17"/>
      <c r="C870" s="7"/>
      <c r="D870" s="7"/>
    </row>
    <row r="871">
      <c r="A871" s="17"/>
      <c r="C871" s="7"/>
      <c r="D871" s="7"/>
    </row>
    <row r="872">
      <c r="A872" s="17"/>
      <c r="C872" s="7"/>
      <c r="D872" s="7"/>
    </row>
    <row r="873">
      <c r="A873" s="17"/>
      <c r="C873" s="7"/>
      <c r="D873" s="7"/>
    </row>
    <row r="874">
      <c r="A874" s="17"/>
      <c r="C874" s="7"/>
      <c r="D874" s="7"/>
    </row>
    <row r="875">
      <c r="A875" s="17"/>
      <c r="C875" s="7"/>
      <c r="D875" s="7"/>
    </row>
    <row r="876">
      <c r="A876" s="17"/>
      <c r="C876" s="7"/>
      <c r="D876" s="7"/>
    </row>
    <row r="877">
      <c r="A877" s="17"/>
      <c r="C877" s="7"/>
      <c r="D877" s="7"/>
    </row>
    <row r="878">
      <c r="A878" s="17"/>
      <c r="C878" s="7"/>
      <c r="D878" s="7"/>
    </row>
    <row r="879">
      <c r="A879" s="17"/>
      <c r="C879" s="7"/>
      <c r="D879" s="7"/>
    </row>
    <row r="880">
      <c r="A880" s="17"/>
      <c r="C880" s="7"/>
      <c r="D880" s="7"/>
    </row>
    <row r="881">
      <c r="A881" s="17"/>
      <c r="C881" s="7"/>
      <c r="D881" s="7"/>
    </row>
    <row r="882">
      <c r="A882" s="17"/>
      <c r="C882" s="7"/>
      <c r="D882" s="7"/>
    </row>
    <row r="883">
      <c r="A883" s="17"/>
      <c r="C883" s="7"/>
      <c r="D883" s="7"/>
    </row>
    <row r="884">
      <c r="A884" s="17"/>
      <c r="C884" s="7"/>
      <c r="D884" s="7"/>
    </row>
    <row r="885">
      <c r="A885" s="17"/>
      <c r="C885" s="7"/>
      <c r="D885" s="7"/>
    </row>
    <row r="886">
      <c r="A886" s="17"/>
      <c r="C886" s="7"/>
      <c r="D886" s="7"/>
    </row>
    <row r="887">
      <c r="A887" s="17"/>
      <c r="C887" s="7"/>
      <c r="D887" s="7"/>
    </row>
    <row r="888">
      <c r="A888" s="17"/>
      <c r="C888" s="7"/>
      <c r="D888" s="7"/>
    </row>
    <row r="889">
      <c r="A889" s="17"/>
      <c r="C889" s="7"/>
      <c r="D889" s="7"/>
    </row>
    <row r="890">
      <c r="A890" s="17"/>
      <c r="C890" s="7"/>
      <c r="D890" s="7"/>
    </row>
    <row r="891">
      <c r="A891" s="17"/>
      <c r="C891" s="7"/>
      <c r="D891" s="7"/>
    </row>
    <row r="892">
      <c r="A892" s="17"/>
      <c r="C892" s="7"/>
      <c r="D892" s="7"/>
    </row>
    <row r="893">
      <c r="A893" s="17"/>
      <c r="C893" s="7"/>
      <c r="D893" s="7"/>
    </row>
    <row r="894">
      <c r="A894" s="17"/>
      <c r="C894" s="7"/>
      <c r="D894" s="7"/>
    </row>
    <row r="895">
      <c r="A895" s="17"/>
      <c r="C895" s="7"/>
      <c r="D895" s="7"/>
    </row>
    <row r="896">
      <c r="A896" s="17"/>
      <c r="C896" s="7"/>
      <c r="D896" s="7"/>
    </row>
    <row r="897">
      <c r="A897" s="17"/>
      <c r="C897" s="7"/>
      <c r="D897" s="7"/>
    </row>
    <row r="898">
      <c r="A898" s="17"/>
      <c r="C898" s="7"/>
      <c r="D898" s="7"/>
    </row>
    <row r="899">
      <c r="A899" s="17"/>
      <c r="C899" s="7"/>
      <c r="D899" s="7"/>
    </row>
    <row r="900">
      <c r="A900" s="17"/>
      <c r="C900" s="7"/>
      <c r="D900" s="7"/>
    </row>
    <row r="901">
      <c r="A901" s="17"/>
      <c r="C901" s="7"/>
      <c r="D901" s="7"/>
    </row>
    <row r="902">
      <c r="A902" s="17"/>
      <c r="C902" s="7"/>
      <c r="D902" s="7"/>
    </row>
    <row r="903">
      <c r="A903" s="17"/>
      <c r="C903" s="7"/>
      <c r="D903" s="7"/>
    </row>
    <row r="904">
      <c r="A904" s="17"/>
      <c r="C904" s="7"/>
      <c r="D904" s="7"/>
    </row>
    <row r="905">
      <c r="A905" s="17"/>
      <c r="C905" s="7"/>
      <c r="D905" s="7"/>
    </row>
    <row r="906">
      <c r="A906" s="17"/>
      <c r="C906" s="7"/>
      <c r="D906" s="7"/>
    </row>
    <row r="907">
      <c r="A907" s="17"/>
      <c r="C907" s="7"/>
      <c r="D907" s="7"/>
    </row>
    <row r="908">
      <c r="A908" s="17"/>
      <c r="C908" s="7"/>
      <c r="D908" s="7"/>
    </row>
    <row r="909">
      <c r="A909" s="17"/>
      <c r="C909" s="7"/>
      <c r="D909" s="7"/>
    </row>
    <row r="910">
      <c r="A910" s="17"/>
      <c r="C910" s="7"/>
      <c r="D910" s="7"/>
    </row>
    <row r="911">
      <c r="A911" s="17"/>
      <c r="C911" s="7"/>
      <c r="D911" s="7"/>
    </row>
    <row r="912">
      <c r="A912" s="17"/>
      <c r="C912" s="7"/>
      <c r="D912" s="7"/>
    </row>
    <row r="913">
      <c r="A913" s="17"/>
      <c r="C913" s="7"/>
      <c r="D913" s="7"/>
    </row>
    <row r="914">
      <c r="A914" s="17"/>
      <c r="C914" s="7"/>
      <c r="D914" s="7"/>
    </row>
    <row r="915">
      <c r="A915" s="17"/>
      <c r="C915" s="7"/>
      <c r="D915" s="7"/>
    </row>
    <row r="916">
      <c r="A916" s="17"/>
      <c r="C916" s="7"/>
      <c r="D916" s="7"/>
    </row>
    <row r="917">
      <c r="A917" s="17"/>
      <c r="C917" s="7"/>
      <c r="D917" s="7"/>
    </row>
    <row r="918">
      <c r="A918" s="17"/>
      <c r="C918" s="7"/>
      <c r="D918" s="7"/>
    </row>
    <row r="919">
      <c r="A919" s="17"/>
      <c r="C919" s="7"/>
      <c r="D919" s="7"/>
    </row>
    <row r="920">
      <c r="A920" s="17"/>
      <c r="C920" s="7"/>
      <c r="D920" s="7"/>
    </row>
    <row r="921">
      <c r="A921" s="17"/>
      <c r="C921" s="7"/>
      <c r="D921" s="7"/>
    </row>
    <row r="922">
      <c r="A922" s="17"/>
      <c r="C922" s="7"/>
      <c r="D922" s="7"/>
    </row>
    <row r="923">
      <c r="A923" s="17"/>
      <c r="C923" s="7"/>
      <c r="D923" s="7"/>
    </row>
    <row r="924">
      <c r="A924" s="17"/>
      <c r="C924" s="7"/>
      <c r="D924" s="7"/>
    </row>
    <row r="925">
      <c r="A925" s="17"/>
      <c r="C925" s="7"/>
      <c r="D925" s="7"/>
    </row>
    <row r="926">
      <c r="A926" s="17"/>
      <c r="C926" s="7"/>
      <c r="D926" s="7"/>
    </row>
    <row r="927">
      <c r="A927" s="17"/>
      <c r="C927" s="7"/>
      <c r="D927" s="7"/>
    </row>
    <row r="928">
      <c r="A928" s="17"/>
      <c r="C928" s="7"/>
      <c r="D928" s="7"/>
    </row>
    <row r="929">
      <c r="A929" s="17"/>
      <c r="C929" s="7"/>
      <c r="D929" s="7"/>
    </row>
    <row r="930">
      <c r="A930" s="17"/>
      <c r="C930" s="7"/>
      <c r="D930" s="7"/>
    </row>
    <row r="931">
      <c r="A931" s="17"/>
      <c r="C931" s="7"/>
      <c r="D931" s="7"/>
    </row>
    <row r="932">
      <c r="A932" s="17"/>
      <c r="C932" s="7"/>
      <c r="D932" s="7"/>
    </row>
    <row r="933">
      <c r="A933" s="17"/>
      <c r="C933" s="7"/>
      <c r="D933" s="7"/>
    </row>
    <row r="934">
      <c r="A934" s="17"/>
      <c r="C934" s="7"/>
      <c r="D934" s="7"/>
    </row>
    <row r="935">
      <c r="A935" s="17"/>
      <c r="C935" s="7"/>
      <c r="D935" s="7"/>
    </row>
    <row r="936">
      <c r="A936" s="17"/>
      <c r="C936" s="7"/>
      <c r="D936" s="7"/>
    </row>
    <row r="937">
      <c r="A937" s="17"/>
      <c r="C937" s="7"/>
      <c r="D937" s="7"/>
    </row>
    <row r="938">
      <c r="A938" s="17"/>
      <c r="C938" s="7"/>
      <c r="D938" s="7"/>
    </row>
    <row r="939">
      <c r="A939" s="17"/>
      <c r="C939" s="7"/>
      <c r="D939" s="7"/>
    </row>
    <row r="940">
      <c r="A940" s="17"/>
      <c r="C940" s="7"/>
      <c r="D940" s="7"/>
    </row>
    <row r="941">
      <c r="A941" s="17"/>
      <c r="C941" s="7"/>
      <c r="D941" s="7"/>
    </row>
    <row r="942">
      <c r="A942" s="17"/>
      <c r="C942" s="7"/>
      <c r="D942" s="7"/>
    </row>
    <row r="943">
      <c r="A943" s="17"/>
      <c r="C943" s="7"/>
      <c r="D943" s="7"/>
    </row>
    <row r="944">
      <c r="A944" s="17"/>
      <c r="C944" s="7"/>
      <c r="D944" s="7"/>
    </row>
    <row r="945">
      <c r="A945" s="17"/>
      <c r="C945" s="7"/>
      <c r="D945" s="7"/>
    </row>
    <row r="946">
      <c r="A946" s="17"/>
      <c r="C946" s="7"/>
      <c r="D946" s="7"/>
    </row>
    <row r="947">
      <c r="A947" s="17"/>
      <c r="C947" s="7"/>
      <c r="D947" s="7"/>
    </row>
    <row r="948">
      <c r="A948" s="17"/>
      <c r="C948" s="7"/>
      <c r="D948" s="7"/>
    </row>
    <row r="949">
      <c r="A949" s="17"/>
      <c r="C949" s="7"/>
      <c r="D949" s="7"/>
    </row>
    <row r="950">
      <c r="A950" s="17"/>
      <c r="C950" s="7"/>
      <c r="D950" s="7"/>
    </row>
    <row r="951">
      <c r="A951" s="17"/>
      <c r="C951" s="7"/>
      <c r="D951" s="7"/>
    </row>
    <row r="952">
      <c r="A952" s="17"/>
      <c r="C952" s="7"/>
      <c r="D952" s="7"/>
    </row>
    <row r="953">
      <c r="A953" s="17"/>
      <c r="C953" s="7"/>
      <c r="D953" s="7"/>
    </row>
    <row r="954">
      <c r="A954" s="17"/>
      <c r="C954" s="7"/>
      <c r="D954" s="7"/>
    </row>
    <row r="955">
      <c r="A955" s="17"/>
      <c r="C955" s="7"/>
      <c r="D955" s="7"/>
    </row>
    <row r="956">
      <c r="A956" s="17"/>
      <c r="C956" s="7"/>
      <c r="D956" s="7"/>
    </row>
    <row r="957">
      <c r="A957" s="17"/>
      <c r="C957" s="7"/>
      <c r="D957" s="7"/>
    </row>
    <row r="958">
      <c r="A958" s="17"/>
      <c r="C958" s="7"/>
      <c r="D958" s="7"/>
    </row>
    <row r="959">
      <c r="A959" s="17"/>
      <c r="C959" s="7"/>
      <c r="D959" s="7"/>
    </row>
    <row r="960">
      <c r="A960" s="17"/>
      <c r="C960" s="7"/>
      <c r="D960" s="7"/>
    </row>
    <row r="961">
      <c r="A961" s="17"/>
      <c r="C961" s="7"/>
      <c r="D961" s="7"/>
    </row>
    <row r="962">
      <c r="A962" s="17"/>
      <c r="C962" s="7"/>
      <c r="D962" s="7"/>
    </row>
    <row r="963">
      <c r="A963" s="17"/>
      <c r="C963" s="7"/>
      <c r="D963" s="7"/>
    </row>
    <row r="964">
      <c r="A964" s="17"/>
      <c r="C964" s="7"/>
      <c r="D964" s="7"/>
    </row>
    <row r="965">
      <c r="A965" s="17"/>
      <c r="C965" s="7"/>
      <c r="D965" s="7"/>
    </row>
    <row r="966">
      <c r="A966" s="17"/>
      <c r="C966" s="7"/>
      <c r="D966" s="7"/>
    </row>
    <row r="967">
      <c r="A967" s="17"/>
      <c r="C967" s="7"/>
      <c r="D967" s="7"/>
    </row>
    <row r="968">
      <c r="A968" s="17"/>
      <c r="C968" s="7"/>
      <c r="D968" s="7"/>
    </row>
    <row r="969">
      <c r="A969" s="17"/>
      <c r="C969" s="7"/>
      <c r="D969" s="7"/>
    </row>
    <row r="970">
      <c r="A970" s="17"/>
      <c r="C970" s="7"/>
      <c r="D970" s="7"/>
    </row>
    <row r="971">
      <c r="A971" s="17"/>
      <c r="C971" s="7"/>
      <c r="D971" s="7"/>
    </row>
    <row r="972">
      <c r="A972" s="17"/>
      <c r="C972" s="7"/>
      <c r="D972" s="7"/>
    </row>
    <row r="973">
      <c r="A973" s="17"/>
      <c r="C973" s="7"/>
      <c r="D973" s="7"/>
    </row>
    <row r="974">
      <c r="A974" s="17"/>
      <c r="C974" s="7"/>
      <c r="D974" s="7"/>
    </row>
    <row r="975">
      <c r="A975" s="17"/>
      <c r="C975" s="7"/>
      <c r="D975" s="7"/>
    </row>
    <row r="976">
      <c r="A976" s="17"/>
      <c r="C976" s="7"/>
      <c r="D976" s="7"/>
    </row>
    <row r="977">
      <c r="A977" s="17"/>
      <c r="C977" s="7"/>
      <c r="D977" s="7"/>
    </row>
    <row r="978">
      <c r="A978" s="17"/>
      <c r="C978" s="7"/>
      <c r="D978" s="7"/>
    </row>
    <row r="979">
      <c r="A979" s="17"/>
      <c r="C979" s="7"/>
      <c r="D979" s="7"/>
    </row>
    <row r="980">
      <c r="A980" s="17"/>
      <c r="C980" s="7"/>
      <c r="D980" s="7"/>
    </row>
    <row r="981">
      <c r="A981" s="17"/>
      <c r="C981" s="7"/>
      <c r="D981" s="7"/>
    </row>
    <row r="982">
      <c r="A982" s="17"/>
      <c r="C982" s="7"/>
      <c r="D982" s="7"/>
    </row>
    <row r="983">
      <c r="A983" s="17"/>
      <c r="C983" s="7"/>
      <c r="D983" s="7"/>
    </row>
    <row r="984">
      <c r="A984" s="17"/>
      <c r="C984" s="7"/>
      <c r="D984" s="7"/>
    </row>
    <row r="985">
      <c r="A985" s="17"/>
      <c r="C985" s="7"/>
      <c r="D985" s="7"/>
    </row>
    <row r="986">
      <c r="A986" s="17"/>
      <c r="C986" s="7"/>
      <c r="D986" s="7"/>
    </row>
    <row r="987">
      <c r="A987" s="17"/>
      <c r="C987" s="7"/>
      <c r="D987" s="7"/>
    </row>
    <row r="988">
      <c r="A988" s="17"/>
      <c r="C988" s="7"/>
      <c r="D988" s="7"/>
    </row>
    <row r="989">
      <c r="A989" s="17"/>
      <c r="C989" s="7"/>
      <c r="D989" s="7"/>
    </row>
    <row r="990">
      <c r="A990" s="17"/>
      <c r="C990" s="7"/>
      <c r="D990" s="7"/>
    </row>
    <row r="991">
      <c r="A991" s="17"/>
      <c r="C991" s="7"/>
      <c r="D991" s="7"/>
    </row>
    <row r="992">
      <c r="A992" s="17"/>
      <c r="C992" s="7"/>
    </row>
    <row r="993">
      <c r="A993" s="17"/>
      <c r="C993" s="7"/>
    </row>
    <row r="994">
      <c r="A994" s="17"/>
      <c r="C994" s="7"/>
    </row>
    <row r="995">
      <c r="A995" s="17"/>
      <c r="C995" s="7"/>
    </row>
    <row r="996">
      <c r="A996" s="17"/>
      <c r="C996" s="7"/>
    </row>
    <row r="997">
      <c r="A997" s="17"/>
      <c r="C997" s="7"/>
    </row>
    <row r="998">
      <c r="A998" s="17"/>
      <c r="C998" s="7"/>
    </row>
    <row r="999">
      <c r="A999" s="17"/>
      <c r="C999" s="7"/>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14.0"/>
  </cols>
  <sheetData>
    <row r="1">
      <c r="A1" s="25" t="s">
        <v>8277</v>
      </c>
      <c r="B1" s="26"/>
      <c r="C1" s="27"/>
    </row>
    <row r="2">
      <c r="A2" s="26" t="s">
        <v>6867</v>
      </c>
      <c r="B2" s="28" t="s">
        <v>8290</v>
      </c>
      <c r="C2" s="27" t="s">
        <v>8291</v>
      </c>
    </row>
    <row r="3">
      <c r="A3" s="14" t="s">
        <v>6883</v>
      </c>
      <c r="B3" s="29">
        <v>1748945.3</v>
      </c>
      <c r="C3" s="30">
        <f t="shared" ref="C3:C8" si="1">B3/$B$9</f>
        <v>0.3102048408</v>
      </c>
    </row>
    <row r="4">
      <c r="A4" s="14" t="s">
        <v>6901</v>
      </c>
      <c r="B4" s="29">
        <v>885526.92</v>
      </c>
      <c r="C4" s="30">
        <f t="shared" si="1"/>
        <v>0.157063081</v>
      </c>
    </row>
    <row r="5">
      <c r="A5" s="14" t="s">
        <v>6914</v>
      </c>
      <c r="B5" s="29">
        <v>470557.42</v>
      </c>
      <c r="C5" s="30">
        <f t="shared" si="1"/>
        <v>0.08346126638</v>
      </c>
    </row>
    <row r="6">
      <c r="A6" s="14" t="s">
        <v>6930</v>
      </c>
      <c r="B6" s="29">
        <v>1139062.23</v>
      </c>
      <c r="C6" s="30">
        <f t="shared" si="1"/>
        <v>0.202031829</v>
      </c>
    </row>
    <row r="7">
      <c r="A7" s="14" t="s">
        <v>6943</v>
      </c>
      <c r="B7" s="29">
        <v>1034721.83</v>
      </c>
      <c r="C7" s="30">
        <f t="shared" si="1"/>
        <v>0.1835253056</v>
      </c>
    </row>
    <row r="8">
      <c r="A8" s="14" t="s">
        <v>6956</v>
      </c>
      <c r="B8" s="29">
        <v>359219.85</v>
      </c>
      <c r="C8" s="30">
        <f t="shared" si="1"/>
        <v>0.06371367726</v>
      </c>
    </row>
    <row r="9">
      <c r="A9" s="14" t="s">
        <v>8319</v>
      </c>
      <c r="B9" s="29">
        <v>5638033.55</v>
      </c>
      <c r="C9" s="31">
        <v>1.0</v>
      </c>
    </row>
    <row r="10">
      <c r="A10" s="17"/>
      <c r="B10" s="18"/>
      <c r="C10" s="15"/>
    </row>
    <row r="11">
      <c r="A11" s="32" t="s">
        <v>8324</v>
      </c>
      <c r="B11" s="18"/>
    </row>
    <row r="12">
      <c r="A12" s="26" t="s">
        <v>6867</v>
      </c>
      <c r="B12" s="28" t="s">
        <v>8329</v>
      </c>
      <c r="C12" s="33" t="s">
        <v>8330</v>
      </c>
    </row>
    <row r="13">
      <c r="A13" s="14" t="s">
        <v>6883</v>
      </c>
      <c r="B13" s="4">
        <v>1319.0</v>
      </c>
      <c r="C13" s="30">
        <f t="shared" ref="C13:C18" si="2">B13/$B$19</f>
        <v>0.17650916</v>
      </c>
    </row>
    <row r="14">
      <c r="A14" s="14" t="s">
        <v>6901</v>
      </c>
      <c r="B14" s="4">
        <v>2473.7</v>
      </c>
      <c r="C14" s="30">
        <f t="shared" si="2"/>
        <v>0.3310316218</v>
      </c>
    </row>
    <row r="15">
      <c r="A15" s="14" t="s">
        <v>6914</v>
      </c>
      <c r="B15" s="4">
        <v>1180.0</v>
      </c>
      <c r="C15" s="30">
        <f t="shared" si="2"/>
        <v>0.1579081189</v>
      </c>
    </row>
    <row r="16">
      <c r="A16" s="14" t="s">
        <v>6930</v>
      </c>
      <c r="B16" s="1">
        <v>753.0</v>
      </c>
      <c r="C16" s="30">
        <f t="shared" si="2"/>
        <v>0.1007667911</v>
      </c>
    </row>
    <row r="17">
      <c r="A17" s="14" t="s">
        <v>6943</v>
      </c>
      <c r="B17" s="4">
        <v>1460.0</v>
      </c>
      <c r="C17" s="30">
        <f t="shared" si="2"/>
        <v>0.195377842</v>
      </c>
    </row>
    <row r="18">
      <c r="A18" s="14" t="s">
        <v>6956</v>
      </c>
      <c r="B18" s="1">
        <v>287.0</v>
      </c>
      <c r="C18" s="30">
        <f t="shared" si="2"/>
        <v>0.0384064662</v>
      </c>
    </row>
    <row r="19">
      <c r="A19" s="14" t="s">
        <v>8319</v>
      </c>
      <c r="B19" s="34">
        <f>SUM(B13:B18)</f>
        <v>7472.7</v>
      </c>
      <c r="C19" s="35">
        <v>1.0</v>
      </c>
    </row>
    <row r="20">
      <c r="A20" s="17"/>
      <c r="B20" s="18"/>
    </row>
    <row r="21">
      <c r="A21" s="36" t="s">
        <v>8359</v>
      </c>
      <c r="B21" s="18"/>
    </row>
    <row r="22">
      <c r="A22" s="26" t="s">
        <v>6867</v>
      </c>
      <c r="B22" s="28" t="s">
        <v>8365</v>
      </c>
      <c r="C22" s="33" t="s">
        <v>8330</v>
      </c>
      <c r="D22" s="33" t="s">
        <v>8367</v>
      </c>
    </row>
    <row r="23">
      <c r="A23" s="14" t="s">
        <v>6883</v>
      </c>
      <c r="B23" s="31">
        <v>0.3102</v>
      </c>
      <c r="C23" s="31">
        <v>0.1765</v>
      </c>
      <c r="D23" s="31">
        <v>0.1767</v>
      </c>
    </row>
    <row r="24">
      <c r="A24" s="14" t="s">
        <v>6901</v>
      </c>
      <c r="B24" s="31">
        <v>0.1571</v>
      </c>
      <c r="C24" s="31">
        <v>0.331</v>
      </c>
      <c r="D24" s="31">
        <v>0.1138</v>
      </c>
    </row>
    <row r="25">
      <c r="A25" s="14" t="s">
        <v>6914</v>
      </c>
      <c r="B25" s="31">
        <v>0.0835</v>
      </c>
      <c r="C25" s="31">
        <v>0.1579</v>
      </c>
      <c r="D25" s="31">
        <v>0.0663</v>
      </c>
    </row>
    <row r="26">
      <c r="A26" s="14" t="s">
        <v>6930</v>
      </c>
      <c r="B26" s="31">
        <v>0.202</v>
      </c>
      <c r="C26" s="31">
        <v>0.1008</v>
      </c>
      <c r="D26" s="31">
        <v>0.0139</v>
      </c>
    </row>
    <row r="27">
      <c r="A27" s="14" t="s">
        <v>6943</v>
      </c>
      <c r="B27" s="31">
        <v>0.1835</v>
      </c>
      <c r="C27" s="31">
        <v>0.1954</v>
      </c>
      <c r="D27" s="31">
        <v>0.3332</v>
      </c>
    </row>
    <row r="28">
      <c r="A28" s="14" t="s">
        <v>6956</v>
      </c>
      <c r="B28" s="31">
        <v>0.0637</v>
      </c>
      <c r="C28" s="31">
        <v>0.0384</v>
      </c>
      <c r="D28" s="31">
        <v>0.296</v>
      </c>
    </row>
    <row r="29">
      <c r="A29" s="14" t="s">
        <v>8319</v>
      </c>
      <c r="B29" s="37">
        <v>1.0</v>
      </c>
      <c r="C29" s="37">
        <v>1.0</v>
      </c>
      <c r="D29" s="37">
        <v>1.0</v>
      </c>
    </row>
    <row r="30">
      <c r="A30" s="17"/>
      <c r="B30" s="18"/>
    </row>
    <row r="31">
      <c r="A31" s="38" t="s">
        <v>8383</v>
      </c>
      <c r="B31" s="18"/>
    </row>
    <row r="32">
      <c r="A32" s="39" t="s">
        <v>8387</v>
      </c>
      <c r="B32" s="18"/>
    </row>
    <row r="33">
      <c r="A33" s="39" t="s">
        <v>8391</v>
      </c>
      <c r="B33" s="18"/>
    </row>
    <row r="34">
      <c r="A34" s="39" t="s">
        <v>8392</v>
      </c>
      <c r="B34" s="18"/>
    </row>
    <row r="35">
      <c r="A35" s="38" t="s">
        <v>8397</v>
      </c>
      <c r="B35" s="18"/>
    </row>
    <row r="36">
      <c r="A36" s="40"/>
      <c r="B36" s="18"/>
    </row>
    <row r="37">
      <c r="A37" s="39" t="s">
        <v>8400</v>
      </c>
      <c r="B37" s="18"/>
    </row>
    <row r="38">
      <c r="A38" s="17"/>
      <c r="B38" s="18"/>
    </row>
    <row r="39">
      <c r="A39" s="17"/>
      <c r="B39" s="18"/>
    </row>
    <row r="40">
      <c r="A40" s="17"/>
      <c r="B40" s="18"/>
    </row>
    <row r="41">
      <c r="A41" s="17"/>
      <c r="B41" s="18"/>
    </row>
    <row r="42">
      <c r="A42" s="17"/>
      <c r="B42" s="18"/>
    </row>
    <row r="43">
      <c r="A43" s="17"/>
      <c r="B43" s="18"/>
    </row>
    <row r="44">
      <c r="A44" s="17"/>
      <c r="B44" s="18"/>
    </row>
    <row r="45">
      <c r="A45" s="17"/>
      <c r="B45" s="18"/>
    </row>
    <row r="46">
      <c r="A46" s="17"/>
      <c r="B46" s="18"/>
    </row>
    <row r="47">
      <c r="A47" s="17"/>
      <c r="B47" s="18"/>
    </row>
    <row r="48">
      <c r="A48" s="17"/>
      <c r="B48" s="18"/>
    </row>
    <row r="49">
      <c r="A49" s="17"/>
      <c r="B49" s="18"/>
    </row>
    <row r="50">
      <c r="A50" s="17"/>
      <c r="B50" s="18"/>
    </row>
    <row r="51">
      <c r="A51" s="17"/>
      <c r="B51" s="18"/>
    </row>
    <row r="52">
      <c r="A52" s="17"/>
      <c r="B52" s="18"/>
    </row>
    <row r="53">
      <c r="A53" s="17"/>
      <c r="B53" s="18"/>
    </row>
    <row r="54">
      <c r="A54" s="17"/>
      <c r="B54" s="18"/>
    </row>
    <row r="55">
      <c r="A55" s="17"/>
      <c r="B55" s="18"/>
    </row>
    <row r="56">
      <c r="A56" s="17"/>
      <c r="B56" s="18"/>
    </row>
    <row r="57">
      <c r="A57" s="17"/>
      <c r="B57" s="18"/>
    </row>
    <row r="58">
      <c r="A58" s="17"/>
      <c r="B58" s="18"/>
    </row>
    <row r="59">
      <c r="A59" s="17"/>
      <c r="B59" s="18"/>
    </row>
    <row r="60">
      <c r="A60" s="17"/>
      <c r="B60" s="18"/>
    </row>
    <row r="61">
      <c r="A61" s="17"/>
      <c r="B61" s="18"/>
    </row>
    <row r="62">
      <c r="A62" s="17"/>
      <c r="B62" s="18"/>
    </row>
    <row r="63">
      <c r="A63" s="17"/>
      <c r="B63" s="18"/>
    </row>
    <row r="64">
      <c r="A64" s="17"/>
      <c r="B64" s="18"/>
    </row>
    <row r="65">
      <c r="A65" s="17"/>
      <c r="B65" s="18"/>
    </row>
    <row r="66">
      <c r="A66" s="17"/>
      <c r="B66" s="18"/>
    </row>
    <row r="67">
      <c r="A67" s="17"/>
      <c r="B67" s="18"/>
    </row>
    <row r="68">
      <c r="A68" s="17"/>
      <c r="B68" s="18"/>
    </row>
    <row r="69">
      <c r="A69" s="17"/>
      <c r="B69" s="18"/>
    </row>
    <row r="70">
      <c r="A70" s="17"/>
      <c r="B70" s="18"/>
    </row>
    <row r="71">
      <c r="A71" s="17"/>
      <c r="B71" s="18"/>
    </row>
    <row r="72">
      <c r="A72" s="17"/>
      <c r="B72" s="18"/>
    </row>
    <row r="73">
      <c r="A73" s="17"/>
      <c r="B73" s="18"/>
    </row>
    <row r="74">
      <c r="A74" s="17"/>
      <c r="B74" s="18"/>
    </row>
    <row r="75">
      <c r="A75" s="17"/>
      <c r="B75" s="18"/>
    </row>
    <row r="76">
      <c r="A76" s="17"/>
      <c r="B76" s="18"/>
    </row>
    <row r="77">
      <c r="A77" s="17"/>
      <c r="B77" s="18"/>
    </row>
    <row r="78">
      <c r="A78" s="17"/>
      <c r="B78" s="18"/>
    </row>
    <row r="79">
      <c r="A79" s="17"/>
      <c r="B79" s="18"/>
    </row>
    <row r="80">
      <c r="A80" s="17"/>
      <c r="B80" s="18"/>
    </row>
    <row r="81">
      <c r="A81" s="17"/>
      <c r="B81" s="18"/>
    </row>
    <row r="82">
      <c r="A82" s="17"/>
      <c r="B82" s="18"/>
    </row>
    <row r="83">
      <c r="A83" s="17"/>
      <c r="B83" s="18"/>
    </row>
    <row r="84">
      <c r="A84" s="17"/>
      <c r="B84" s="18"/>
    </row>
    <row r="85">
      <c r="A85" s="17"/>
      <c r="B85" s="18"/>
    </row>
    <row r="86">
      <c r="A86" s="17"/>
      <c r="B86" s="18"/>
    </row>
    <row r="87">
      <c r="A87" s="17"/>
      <c r="B87" s="18"/>
    </row>
    <row r="88">
      <c r="A88" s="17"/>
      <c r="B88" s="18"/>
    </row>
    <row r="89">
      <c r="A89" s="17"/>
      <c r="B89" s="18"/>
    </row>
    <row r="90">
      <c r="A90" s="17"/>
      <c r="B90" s="18"/>
    </row>
    <row r="91">
      <c r="A91" s="17"/>
      <c r="B91" s="18"/>
    </row>
    <row r="92">
      <c r="A92" s="17"/>
      <c r="B92" s="18"/>
    </row>
    <row r="93">
      <c r="A93" s="17"/>
      <c r="B93" s="18"/>
    </row>
    <row r="94">
      <c r="A94" s="17"/>
      <c r="B94" s="18"/>
    </row>
    <row r="95">
      <c r="A95" s="17"/>
      <c r="B95" s="18"/>
    </row>
    <row r="96">
      <c r="A96" s="17"/>
      <c r="B96" s="18"/>
    </row>
    <row r="97">
      <c r="A97" s="17"/>
      <c r="B97" s="18"/>
    </row>
    <row r="98">
      <c r="A98" s="17"/>
      <c r="B98" s="18"/>
    </row>
    <row r="99">
      <c r="A99" s="17"/>
      <c r="B99" s="18"/>
    </row>
    <row r="100">
      <c r="A100" s="17"/>
      <c r="B100" s="18"/>
    </row>
    <row r="101">
      <c r="A101" s="17"/>
      <c r="B101" s="18"/>
    </row>
    <row r="102">
      <c r="A102" s="17"/>
      <c r="B102" s="18"/>
    </row>
    <row r="103">
      <c r="A103" s="17"/>
      <c r="B103" s="18"/>
    </row>
    <row r="104">
      <c r="A104" s="17"/>
      <c r="B104" s="18"/>
    </row>
    <row r="105">
      <c r="A105" s="17"/>
      <c r="B105" s="18"/>
    </row>
    <row r="106">
      <c r="A106" s="17"/>
      <c r="B106" s="18"/>
    </row>
    <row r="107">
      <c r="A107" s="17"/>
      <c r="B107" s="18"/>
    </row>
    <row r="108">
      <c r="A108" s="17"/>
      <c r="B108" s="18"/>
    </row>
    <row r="109">
      <c r="A109" s="17"/>
      <c r="B109" s="18"/>
    </row>
    <row r="110">
      <c r="A110" s="17"/>
      <c r="B110" s="18"/>
    </row>
    <row r="111">
      <c r="A111" s="17"/>
      <c r="B111" s="18"/>
    </row>
    <row r="112">
      <c r="A112" s="17"/>
      <c r="B112" s="18"/>
    </row>
    <row r="113">
      <c r="A113" s="17"/>
      <c r="B113" s="18"/>
    </row>
    <row r="114">
      <c r="A114" s="17"/>
      <c r="B114" s="18"/>
    </row>
    <row r="115">
      <c r="A115" s="17"/>
      <c r="B115" s="18"/>
    </row>
    <row r="116">
      <c r="A116" s="17"/>
      <c r="B116" s="18"/>
    </row>
    <row r="117">
      <c r="A117" s="17"/>
      <c r="B117" s="18"/>
    </row>
    <row r="118">
      <c r="A118" s="17"/>
      <c r="B118" s="18"/>
    </row>
    <row r="119">
      <c r="A119" s="17"/>
      <c r="B119" s="18"/>
    </row>
    <row r="120">
      <c r="A120" s="17"/>
      <c r="B120" s="18"/>
    </row>
    <row r="121">
      <c r="A121" s="17"/>
      <c r="B121" s="18"/>
    </row>
    <row r="122">
      <c r="A122" s="17"/>
      <c r="B122" s="18"/>
    </row>
    <row r="123">
      <c r="A123" s="17"/>
      <c r="B123" s="18"/>
    </row>
    <row r="124">
      <c r="A124" s="17"/>
      <c r="B124" s="18"/>
    </row>
    <row r="125">
      <c r="A125" s="17"/>
      <c r="B125" s="18"/>
    </row>
    <row r="126">
      <c r="A126" s="17"/>
      <c r="B126" s="18"/>
    </row>
    <row r="127">
      <c r="A127" s="17"/>
      <c r="B127" s="18"/>
    </row>
    <row r="128">
      <c r="A128" s="17"/>
      <c r="B128" s="18"/>
    </row>
    <row r="129">
      <c r="A129" s="17"/>
      <c r="B129" s="18"/>
    </row>
    <row r="130">
      <c r="A130" s="17"/>
      <c r="B130" s="18"/>
    </row>
    <row r="131">
      <c r="A131" s="17"/>
      <c r="B131" s="18"/>
    </row>
    <row r="132">
      <c r="A132" s="17"/>
      <c r="B132" s="18"/>
    </row>
    <row r="133">
      <c r="A133" s="17"/>
      <c r="B133" s="18"/>
    </row>
    <row r="134">
      <c r="A134" s="17"/>
      <c r="B134" s="18"/>
    </row>
    <row r="135">
      <c r="A135" s="17"/>
      <c r="B135" s="18"/>
    </row>
    <row r="136">
      <c r="A136" s="17"/>
      <c r="B136" s="18"/>
    </row>
    <row r="137">
      <c r="A137" s="17"/>
      <c r="B137" s="18"/>
    </row>
    <row r="138">
      <c r="A138" s="17"/>
      <c r="B138" s="18"/>
    </row>
    <row r="139">
      <c r="A139" s="17"/>
      <c r="B139" s="18"/>
    </row>
    <row r="140">
      <c r="A140" s="17"/>
      <c r="B140" s="18"/>
    </row>
    <row r="141">
      <c r="A141" s="17"/>
      <c r="B141" s="18"/>
    </row>
    <row r="142">
      <c r="A142" s="17"/>
      <c r="B142" s="18"/>
    </row>
    <row r="143">
      <c r="A143" s="17"/>
      <c r="B143" s="18"/>
    </row>
    <row r="144">
      <c r="A144" s="17"/>
      <c r="B144" s="18"/>
    </row>
    <row r="145">
      <c r="A145" s="17"/>
      <c r="B145" s="18"/>
    </row>
    <row r="146">
      <c r="A146" s="17"/>
      <c r="B146" s="18"/>
    </row>
    <row r="147">
      <c r="A147" s="17"/>
      <c r="B147" s="18"/>
    </row>
    <row r="148">
      <c r="A148" s="17"/>
      <c r="B148" s="18"/>
    </row>
    <row r="149">
      <c r="A149" s="17"/>
      <c r="B149" s="18"/>
    </row>
    <row r="150">
      <c r="A150" s="17"/>
      <c r="B150" s="18"/>
    </row>
    <row r="151">
      <c r="A151" s="17"/>
      <c r="B151" s="18"/>
    </row>
    <row r="152">
      <c r="A152" s="17"/>
      <c r="B152" s="18"/>
    </row>
    <row r="153">
      <c r="A153" s="17"/>
      <c r="B153" s="18"/>
    </row>
    <row r="154">
      <c r="A154" s="17"/>
      <c r="B154" s="18"/>
    </row>
    <row r="155">
      <c r="A155" s="17"/>
      <c r="B155" s="18"/>
    </row>
    <row r="156">
      <c r="A156" s="17"/>
      <c r="B156" s="18"/>
    </row>
    <row r="157">
      <c r="A157" s="17"/>
      <c r="B157" s="18"/>
    </row>
    <row r="158">
      <c r="A158" s="17"/>
      <c r="B158" s="18"/>
    </row>
    <row r="159">
      <c r="A159" s="17"/>
      <c r="B159" s="18"/>
    </row>
    <row r="160">
      <c r="A160" s="17"/>
      <c r="B160" s="18"/>
    </row>
    <row r="161">
      <c r="A161" s="17"/>
      <c r="B161" s="18"/>
    </row>
    <row r="162">
      <c r="A162" s="17"/>
      <c r="B162" s="18"/>
    </row>
    <row r="163">
      <c r="A163" s="17"/>
      <c r="B163" s="18"/>
    </row>
    <row r="164">
      <c r="A164" s="17"/>
      <c r="B164" s="18"/>
    </row>
    <row r="165">
      <c r="A165" s="17"/>
      <c r="B165" s="18"/>
    </row>
    <row r="166">
      <c r="A166" s="17"/>
      <c r="B166" s="18"/>
    </row>
    <row r="167">
      <c r="A167" s="17"/>
      <c r="B167" s="18"/>
    </row>
    <row r="168">
      <c r="A168" s="17"/>
      <c r="B168" s="18"/>
    </row>
    <row r="169">
      <c r="A169" s="17"/>
      <c r="B169" s="18"/>
    </row>
    <row r="170">
      <c r="A170" s="17"/>
      <c r="B170" s="18"/>
    </row>
    <row r="171">
      <c r="A171" s="17"/>
      <c r="B171" s="18"/>
    </row>
    <row r="172">
      <c r="A172" s="17"/>
      <c r="B172" s="18"/>
    </row>
    <row r="173">
      <c r="A173" s="17"/>
      <c r="B173" s="18"/>
    </row>
    <row r="174">
      <c r="A174" s="17"/>
      <c r="B174" s="18"/>
    </row>
    <row r="175">
      <c r="A175" s="17"/>
      <c r="B175" s="18"/>
    </row>
    <row r="176">
      <c r="A176" s="17"/>
      <c r="B176" s="18"/>
    </row>
    <row r="177">
      <c r="A177" s="17"/>
      <c r="B177" s="18"/>
    </row>
    <row r="178">
      <c r="A178" s="17"/>
      <c r="B178" s="18"/>
    </row>
    <row r="179">
      <c r="A179" s="17"/>
      <c r="B179" s="18"/>
    </row>
    <row r="180">
      <c r="A180" s="17"/>
      <c r="B180" s="18"/>
    </row>
    <row r="181">
      <c r="A181" s="17"/>
      <c r="B181" s="18"/>
    </row>
    <row r="182">
      <c r="A182" s="17"/>
      <c r="B182" s="18"/>
    </row>
    <row r="183">
      <c r="A183" s="17"/>
      <c r="B183" s="18"/>
    </row>
    <row r="184">
      <c r="A184" s="17"/>
      <c r="B184" s="18"/>
    </row>
    <row r="185">
      <c r="A185" s="17"/>
      <c r="B185" s="18"/>
    </row>
    <row r="186">
      <c r="A186" s="17"/>
      <c r="B186" s="18"/>
    </row>
    <row r="187">
      <c r="A187" s="17"/>
      <c r="B187" s="18"/>
    </row>
    <row r="188">
      <c r="A188" s="17"/>
      <c r="B188" s="18"/>
    </row>
    <row r="189">
      <c r="A189" s="17"/>
      <c r="B189" s="18"/>
    </row>
    <row r="190">
      <c r="A190" s="17"/>
      <c r="B190" s="18"/>
    </row>
    <row r="191">
      <c r="A191" s="17"/>
      <c r="B191" s="18"/>
    </row>
    <row r="192">
      <c r="A192" s="17"/>
      <c r="B192" s="18"/>
    </row>
    <row r="193">
      <c r="A193" s="17"/>
      <c r="B193" s="18"/>
    </row>
    <row r="194">
      <c r="A194" s="17"/>
      <c r="B194" s="18"/>
    </row>
    <row r="195">
      <c r="A195" s="17"/>
      <c r="B195" s="18"/>
    </row>
    <row r="196">
      <c r="A196" s="17"/>
      <c r="B196" s="18"/>
    </row>
    <row r="197">
      <c r="A197" s="17"/>
      <c r="B197" s="18"/>
    </row>
    <row r="198">
      <c r="A198" s="17"/>
      <c r="B198" s="18"/>
    </row>
    <row r="199">
      <c r="A199" s="17"/>
      <c r="B199" s="18"/>
    </row>
    <row r="200">
      <c r="A200" s="17"/>
      <c r="B200" s="18"/>
    </row>
    <row r="201">
      <c r="A201" s="17"/>
      <c r="B201" s="18"/>
    </row>
    <row r="202">
      <c r="A202" s="17"/>
      <c r="B202" s="18"/>
    </row>
    <row r="203">
      <c r="A203" s="17"/>
      <c r="B203" s="18"/>
    </row>
    <row r="204">
      <c r="A204" s="17"/>
      <c r="B204" s="18"/>
    </row>
    <row r="205">
      <c r="A205" s="17"/>
      <c r="B205" s="18"/>
    </row>
    <row r="206">
      <c r="A206" s="17"/>
      <c r="B206" s="18"/>
    </row>
    <row r="207">
      <c r="A207" s="17"/>
      <c r="B207" s="18"/>
    </row>
    <row r="208">
      <c r="A208" s="17"/>
      <c r="B208" s="18"/>
    </row>
    <row r="209">
      <c r="A209" s="17"/>
      <c r="B209" s="18"/>
    </row>
    <row r="210">
      <c r="A210" s="17"/>
      <c r="B210" s="18"/>
    </row>
    <row r="211">
      <c r="A211" s="17"/>
      <c r="B211" s="18"/>
    </row>
    <row r="212">
      <c r="A212" s="17"/>
      <c r="B212" s="18"/>
    </row>
    <row r="213">
      <c r="A213" s="17"/>
      <c r="B213" s="18"/>
    </row>
    <row r="214">
      <c r="A214" s="17"/>
      <c r="B214" s="18"/>
    </row>
    <row r="215">
      <c r="A215" s="17"/>
      <c r="B215" s="18"/>
    </row>
    <row r="216">
      <c r="A216" s="17"/>
      <c r="B216" s="18"/>
    </row>
    <row r="217">
      <c r="A217" s="17"/>
      <c r="B217" s="18"/>
    </row>
    <row r="218">
      <c r="A218" s="17"/>
      <c r="B218" s="18"/>
    </row>
    <row r="219">
      <c r="A219" s="17"/>
      <c r="B219" s="18"/>
    </row>
    <row r="220">
      <c r="A220" s="17"/>
      <c r="B220" s="18"/>
    </row>
    <row r="221">
      <c r="A221" s="17"/>
      <c r="B221" s="18"/>
    </row>
    <row r="222">
      <c r="A222" s="17"/>
      <c r="B222" s="18"/>
    </row>
    <row r="223">
      <c r="A223" s="17"/>
      <c r="B223" s="18"/>
    </row>
    <row r="224">
      <c r="A224" s="17"/>
      <c r="B224" s="18"/>
    </row>
    <row r="225">
      <c r="A225" s="17"/>
      <c r="B225" s="18"/>
    </row>
    <row r="226">
      <c r="A226" s="17"/>
      <c r="B226" s="18"/>
    </row>
    <row r="227">
      <c r="A227" s="17"/>
      <c r="B227" s="18"/>
    </row>
    <row r="228">
      <c r="A228" s="17"/>
      <c r="B228" s="18"/>
    </row>
    <row r="229">
      <c r="A229" s="17"/>
      <c r="B229" s="18"/>
    </row>
    <row r="230">
      <c r="A230" s="17"/>
      <c r="B230" s="18"/>
    </row>
    <row r="231">
      <c r="A231" s="17"/>
      <c r="B231" s="18"/>
    </row>
    <row r="232">
      <c r="A232" s="17"/>
      <c r="B232" s="18"/>
    </row>
    <row r="233">
      <c r="A233" s="17"/>
      <c r="B233" s="18"/>
    </row>
    <row r="234">
      <c r="A234" s="17"/>
      <c r="B234" s="18"/>
    </row>
    <row r="235">
      <c r="A235" s="17"/>
      <c r="B235" s="18"/>
    </row>
    <row r="236">
      <c r="A236" s="17"/>
      <c r="B236" s="18"/>
    </row>
    <row r="237">
      <c r="A237" s="17"/>
      <c r="B237" s="18"/>
    </row>
    <row r="238">
      <c r="A238" s="17"/>
      <c r="B238" s="18"/>
    </row>
    <row r="239">
      <c r="A239" s="17"/>
      <c r="B239" s="18"/>
    </row>
    <row r="240">
      <c r="A240" s="17"/>
      <c r="B240" s="18"/>
    </row>
    <row r="241">
      <c r="A241" s="17"/>
      <c r="B241" s="18"/>
    </row>
    <row r="242">
      <c r="A242" s="17"/>
      <c r="B242" s="18"/>
    </row>
    <row r="243">
      <c r="A243" s="17"/>
      <c r="B243" s="18"/>
    </row>
    <row r="244">
      <c r="A244" s="17"/>
      <c r="B244" s="18"/>
    </row>
    <row r="245">
      <c r="A245" s="17"/>
      <c r="B245" s="18"/>
    </row>
    <row r="246">
      <c r="A246" s="17"/>
      <c r="B246" s="18"/>
    </row>
    <row r="247">
      <c r="A247" s="17"/>
      <c r="B247" s="18"/>
    </row>
    <row r="248">
      <c r="A248" s="17"/>
      <c r="B248" s="18"/>
    </row>
    <row r="249">
      <c r="A249" s="17"/>
      <c r="B249" s="18"/>
    </row>
    <row r="250">
      <c r="A250" s="17"/>
      <c r="B250" s="18"/>
    </row>
    <row r="251">
      <c r="A251" s="17"/>
      <c r="B251" s="18"/>
    </row>
    <row r="252">
      <c r="A252" s="17"/>
      <c r="B252" s="18"/>
    </row>
    <row r="253">
      <c r="A253" s="17"/>
      <c r="B253" s="18"/>
    </row>
    <row r="254">
      <c r="A254" s="17"/>
      <c r="B254" s="18"/>
    </row>
    <row r="255">
      <c r="A255" s="17"/>
      <c r="B255" s="18"/>
    </row>
    <row r="256">
      <c r="A256" s="17"/>
      <c r="B256" s="18"/>
    </row>
    <row r="257">
      <c r="A257" s="17"/>
      <c r="B257" s="18"/>
    </row>
    <row r="258">
      <c r="A258" s="17"/>
      <c r="B258" s="18"/>
    </row>
    <row r="259">
      <c r="A259" s="17"/>
      <c r="B259" s="18"/>
    </row>
    <row r="260">
      <c r="A260" s="17"/>
      <c r="B260" s="18"/>
    </row>
    <row r="261">
      <c r="A261" s="17"/>
      <c r="B261" s="18"/>
    </row>
    <row r="262">
      <c r="A262" s="17"/>
      <c r="B262" s="18"/>
    </row>
    <row r="263">
      <c r="A263" s="17"/>
      <c r="B263" s="18"/>
    </row>
    <row r="264">
      <c r="A264" s="17"/>
      <c r="B264" s="18"/>
    </row>
    <row r="265">
      <c r="A265" s="17"/>
      <c r="B265" s="18"/>
    </row>
    <row r="266">
      <c r="A266" s="17"/>
      <c r="B266" s="18"/>
    </row>
    <row r="267">
      <c r="A267" s="17"/>
      <c r="B267" s="18"/>
    </row>
    <row r="268">
      <c r="A268" s="17"/>
      <c r="B268" s="18"/>
    </row>
    <row r="269">
      <c r="A269" s="17"/>
      <c r="B269" s="18"/>
    </row>
    <row r="270">
      <c r="A270" s="17"/>
      <c r="B270" s="18"/>
    </row>
    <row r="271">
      <c r="A271" s="17"/>
      <c r="B271" s="18"/>
    </row>
    <row r="272">
      <c r="A272" s="17"/>
      <c r="B272" s="18"/>
    </row>
    <row r="273">
      <c r="A273" s="17"/>
      <c r="B273" s="18"/>
    </row>
    <row r="274">
      <c r="A274" s="17"/>
      <c r="B274" s="18"/>
    </row>
    <row r="275">
      <c r="A275" s="17"/>
      <c r="B275" s="18"/>
    </row>
    <row r="276">
      <c r="A276" s="17"/>
      <c r="B276" s="18"/>
    </row>
    <row r="277">
      <c r="A277" s="17"/>
      <c r="B277" s="18"/>
    </row>
    <row r="278">
      <c r="A278" s="17"/>
      <c r="B278" s="18"/>
    </row>
    <row r="279">
      <c r="A279" s="17"/>
      <c r="B279" s="18"/>
    </row>
    <row r="280">
      <c r="A280" s="17"/>
      <c r="B280" s="18"/>
    </row>
    <row r="281">
      <c r="A281" s="17"/>
      <c r="B281" s="18"/>
    </row>
    <row r="282">
      <c r="A282" s="17"/>
      <c r="B282" s="18"/>
    </row>
    <row r="283">
      <c r="A283" s="17"/>
      <c r="B283" s="18"/>
    </row>
    <row r="284">
      <c r="A284" s="17"/>
      <c r="B284" s="18"/>
    </row>
    <row r="285">
      <c r="A285" s="17"/>
      <c r="B285" s="18"/>
    </row>
    <row r="286">
      <c r="A286" s="17"/>
      <c r="B286" s="18"/>
    </row>
    <row r="287">
      <c r="A287" s="17"/>
      <c r="B287" s="18"/>
    </row>
    <row r="288">
      <c r="A288" s="17"/>
      <c r="B288" s="18"/>
    </row>
    <row r="289">
      <c r="A289" s="17"/>
      <c r="B289" s="18"/>
    </row>
    <row r="290">
      <c r="A290" s="17"/>
      <c r="B290" s="18"/>
    </row>
    <row r="291">
      <c r="A291" s="17"/>
      <c r="B291" s="18"/>
    </row>
    <row r="292">
      <c r="A292" s="17"/>
      <c r="B292" s="18"/>
    </row>
    <row r="293">
      <c r="A293" s="17"/>
      <c r="B293" s="18"/>
    </row>
    <row r="294">
      <c r="A294" s="17"/>
      <c r="B294" s="18"/>
    </row>
    <row r="295">
      <c r="A295" s="17"/>
      <c r="B295" s="18"/>
    </row>
    <row r="296">
      <c r="A296" s="17"/>
      <c r="B296" s="18"/>
    </row>
    <row r="297">
      <c r="A297" s="17"/>
      <c r="B297" s="18"/>
    </row>
    <row r="298">
      <c r="A298" s="17"/>
      <c r="B298" s="18"/>
    </row>
    <row r="299">
      <c r="A299" s="17"/>
      <c r="B299" s="18"/>
    </row>
    <row r="300">
      <c r="A300" s="17"/>
      <c r="B300" s="18"/>
    </row>
    <row r="301">
      <c r="A301" s="17"/>
      <c r="B301" s="18"/>
    </row>
    <row r="302">
      <c r="A302" s="17"/>
      <c r="B302" s="18"/>
    </row>
    <row r="303">
      <c r="A303" s="17"/>
      <c r="B303" s="18"/>
    </row>
    <row r="304">
      <c r="A304" s="17"/>
      <c r="B304" s="18"/>
    </row>
    <row r="305">
      <c r="A305" s="17"/>
      <c r="B305" s="18"/>
    </row>
    <row r="306">
      <c r="A306" s="17"/>
      <c r="B306" s="18"/>
    </row>
    <row r="307">
      <c r="A307" s="17"/>
      <c r="B307" s="18"/>
    </row>
    <row r="308">
      <c r="A308" s="17"/>
      <c r="B308" s="18"/>
    </row>
    <row r="309">
      <c r="A309" s="17"/>
      <c r="B309" s="18"/>
    </row>
    <row r="310">
      <c r="A310" s="17"/>
      <c r="B310" s="18"/>
    </row>
    <row r="311">
      <c r="A311" s="17"/>
      <c r="B311" s="18"/>
    </row>
    <row r="312">
      <c r="A312" s="17"/>
      <c r="B312" s="18"/>
    </row>
    <row r="313">
      <c r="A313" s="17"/>
      <c r="B313" s="18"/>
    </row>
    <row r="314">
      <c r="A314" s="17"/>
      <c r="B314" s="18"/>
    </row>
    <row r="315">
      <c r="A315" s="17"/>
      <c r="B315" s="18"/>
    </row>
    <row r="316">
      <c r="A316" s="17"/>
      <c r="B316" s="18"/>
    </row>
    <row r="317">
      <c r="A317" s="17"/>
      <c r="B317" s="18"/>
    </row>
    <row r="318">
      <c r="A318" s="17"/>
      <c r="B318" s="18"/>
    </row>
    <row r="319">
      <c r="A319" s="17"/>
      <c r="B319" s="18"/>
    </row>
    <row r="320">
      <c r="A320" s="17"/>
      <c r="B320" s="18"/>
    </row>
    <row r="321">
      <c r="A321" s="17"/>
      <c r="B321" s="18"/>
    </row>
    <row r="322">
      <c r="A322" s="17"/>
      <c r="B322" s="18"/>
    </row>
    <row r="323">
      <c r="A323" s="17"/>
      <c r="B323" s="18"/>
    </row>
    <row r="324">
      <c r="A324" s="17"/>
      <c r="B324" s="18"/>
    </row>
    <row r="325">
      <c r="A325" s="17"/>
      <c r="B325" s="18"/>
    </row>
    <row r="326">
      <c r="A326" s="17"/>
      <c r="B326" s="18"/>
    </row>
    <row r="327">
      <c r="A327" s="17"/>
      <c r="B327" s="18"/>
    </row>
    <row r="328">
      <c r="A328" s="17"/>
      <c r="B328" s="18"/>
    </row>
    <row r="329">
      <c r="A329" s="17"/>
      <c r="B329" s="18"/>
    </row>
    <row r="330">
      <c r="A330" s="17"/>
      <c r="B330" s="18"/>
    </row>
    <row r="331">
      <c r="A331" s="17"/>
      <c r="B331" s="18"/>
    </row>
    <row r="332">
      <c r="A332" s="17"/>
      <c r="B332" s="18"/>
    </row>
    <row r="333">
      <c r="A333" s="17"/>
      <c r="B333" s="18"/>
    </row>
    <row r="334">
      <c r="A334" s="17"/>
      <c r="B334" s="18"/>
    </row>
    <row r="335">
      <c r="A335" s="17"/>
      <c r="B335" s="18"/>
    </row>
    <row r="336">
      <c r="A336" s="17"/>
      <c r="B336" s="18"/>
    </row>
    <row r="337">
      <c r="A337" s="17"/>
      <c r="B337" s="18"/>
    </row>
    <row r="338">
      <c r="A338" s="17"/>
      <c r="B338" s="18"/>
    </row>
    <row r="339">
      <c r="A339" s="17"/>
      <c r="B339" s="18"/>
    </row>
    <row r="340">
      <c r="A340" s="17"/>
      <c r="B340" s="18"/>
    </row>
    <row r="341">
      <c r="A341" s="17"/>
      <c r="B341" s="18"/>
    </row>
    <row r="342">
      <c r="A342" s="17"/>
      <c r="B342" s="18"/>
    </row>
    <row r="343">
      <c r="A343" s="17"/>
      <c r="B343" s="18"/>
    </row>
    <row r="344">
      <c r="A344" s="17"/>
      <c r="B344" s="18"/>
    </row>
    <row r="345">
      <c r="A345" s="17"/>
      <c r="B345" s="18"/>
    </row>
    <row r="346">
      <c r="A346" s="17"/>
      <c r="B346" s="18"/>
    </row>
    <row r="347">
      <c r="A347" s="17"/>
      <c r="B347" s="18"/>
    </row>
    <row r="348">
      <c r="A348" s="17"/>
      <c r="B348" s="18"/>
    </row>
    <row r="349">
      <c r="A349" s="17"/>
      <c r="B349" s="18"/>
    </row>
    <row r="350">
      <c r="A350" s="17"/>
      <c r="B350" s="18"/>
    </row>
    <row r="351">
      <c r="A351" s="17"/>
      <c r="B351" s="18"/>
    </row>
    <row r="352">
      <c r="A352" s="17"/>
      <c r="B352" s="18"/>
    </row>
    <row r="353">
      <c r="A353" s="17"/>
      <c r="B353" s="18"/>
    </row>
    <row r="354">
      <c r="A354" s="17"/>
      <c r="B354" s="18"/>
    </row>
    <row r="355">
      <c r="A355" s="17"/>
      <c r="B355" s="18"/>
    </row>
    <row r="356">
      <c r="A356" s="17"/>
      <c r="B356" s="18"/>
    </row>
    <row r="357">
      <c r="A357" s="17"/>
      <c r="B357" s="18"/>
    </row>
    <row r="358">
      <c r="A358" s="17"/>
      <c r="B358" s="18"/>
    </row>
    <row r="359">
      <c r="A359" s="17"/>
      <c r="B359" s="18"/>
    </row>
    <row r="360">
      <c r="A360" s="17"/>
      <c r="B360" s="18"/>
    </row>
    <row r="361">
      <c r="A361" s="17"/>
      <c r="B361" s="18"/>
    </row>
    <row r="362">
      <c r="A362" s="17"/>
      <c r="B362" s="18"/>
    </row>
    <row r="363">
      <c r="A363" s="17"/>
      <c r="B363" s="18"/>
    </row>
    <row r="364">
      <c r="A364" s="17"/>
      <c r="B364" s="18"/>
    </row>
    <row r="365">
      <c r="A365" s="17"/>
      <c r="B365" s="18"/>
    </row>
    <row r="366">
      <c r="A366" s="17"/>
      <c r="B366" s="18"/>
    </row>
    <row r="367">
      <c r="A367" s="17"/>
      <c r="B367" s="18"/>
    </row>
    <row r="368">
      <c r="A368" s="17"/>
      <c r="B368" s="18"/>
    </row>
    <row r="369">
      <c r="A369" s="17"/>
      <c r="B369" s="18"/>
    </row>
    <row r="370">
      <c r="A370" s="17"/>
      <c r="B370" s="18"/>
    </row>
    <row r="371">
      <c r="A371" s="17"/>
      <c r="B371" s="18"/>
    </row>
    <row r="372">
      <c r="A372" s="17"/>
      <c r="B372" s="18"/>
    </row>
    <row r="373">
      <c r="A373" s="17"/>
      <c r="B373" s="18"/>
    </row>
    <row r="374">
      <c r="A374" s="17"/>
      <c r="B374" s="18"/>
    </row>
    <row r="375">
      <c r="A375" s="17"/>
      <c r="B375" s="18"/>
    </row>
    <row r="376">
      <c r="A376" s="17"/>
      <c r="B376" s="18"/>
    </row>
    <row r="377">
      <c r="A377" s="17"/>
      <c r="B377" s="18"/>
    </row>
    <row r="378">
      <c r="A378" s="17"/>
      <c r="B378" s="18"/>
    </row>
    <row r="379">
      <c r="A379" s="17"/>
      <c r="B379" s="18"/>
    </row>
    <row r="380">
      <c r="A380" s="17"/>
      <c r="B380" s="18"/>
    </row>
    <row r="381">
      <c r="A381" s="17"/>
      <c r="B381" s="18"/>
    </row>
    <row r="382">
      <c r="A382" s="17"/>
      <c r="B382" s="18"/>
    </row>
    <row r="383">
      <c r="A383" s="17"/>
      <c r="B383" s="18"/>
    </row>
    <row r="384">
      <c r="A384" s="17"/>
      <c r="B384" s="18"/>
    </row>
    <row r="385">
      <c r="A385" s="17"/>
      <c r="B385" s="18"/>
    </row>
    <row r="386">
      <c r="A386" s="17"/>
      <c r="B386" s="18"/>
    </row>
    <row r="387">
      <c r="A387" s="17"/>
      <c r="B387" s="18"/>
    </row>
    <row r="388">
      <c r="A388" s="17"/>
      <c r="B388" s="18"/>
    </row>
    <row r="389">
      <c r="A389" s="17"/>
      <c r="B389" s="18"/>
    </row>
    <row r="390">
      <c r="A390" s="17"/>
      <c r="B390" s="18"/>
    </row>
    <row r="391">
      <c r="A391" s="17"/>
      <c r="B391" s="18"/>
    </row>
    <row r="392">
      <c r="A392" s="17"/>
      <c r="B392" s="18"/>
    </row>
    <row r="393">
      <c r="A393" s="17"/>
      <c r="B393" s="18"/>
    </row>
    <row r="394">
      <c r="A394" s="17"/>
      <c r="B394" s="18"/>
    </row>
    <row r="395">
      <c r="A395" s="17"/>
      <c r="B395" s="18"/>
    </row>
    <row r="396">
      <c r="A396" s="17"/>
      <c r="B396" s="18"/>
    </row>
    <row r="397">
      <c r="A397" s="17"/>
      <c r="B397" s="18"/>
    </row>
    <row r="398">
      <c r="A398" s="17"/>
      <c r="B398" s="18"/>
    </row>
    <row r="399">
      <c r="A399" s="17"/>
      <c r="B399" s="18"/>
    </row>
    <row r="400">
      <c r="A400" s="17"/>
      <c r="B400" s="18"/>
    </row>
    <row r="401">
      <c r="A401" s="17"/>
      <c r="B401" s="18"/>
    </row>
    <row r="402">
      <c r="A402" s="17"/>
      <c r="B402" s="18"/>
    </row>
    <row r="403">
      <c r="A403" s="17"/>
      <c r="B403" s="18"/>
    </row>
    <row r="404">
      <c r="A404" s="17"/>
      <c r="B404" s="18"/>
    </row>
    <row r="405">
      <c r="A405" s="17"/>
      <c r="B405" s="18"/>
    </row>
    <row r="406">
      <c r="A406" s="17"/>
      <c r="B406" s="18"/>
    </row>
    <row r="407">
      <c r="A407" s="17"/>
      <c r="B407" s="18"/>
    </row>
    <row r="408">
      <c r="A408" s="17"/>
      <c r="B408" s="18"/>
    </row>
    <row r="409">
      <c r="A409" s="17"/>
      <c r="B409" s="18"/>
    </row>
    <row r="410">
      <c r="A410" s="17"/>
      <c r="B410" s="18"/>
    </row>
    <row r="411">
      <c r="A411" s="17"/>
      <c r="B411" s="18"/>
    </row>
    <row r="412">
      <c r="A412" s="17"/>
      <c r="B412" s="18"/>
    </row>
    <row r="413">
      <c r="A413" s="17"/>
      <c r="B413" s="18"/>
    </row>
    <row r="414">
      <c r="A414" s="17"/>
      <c r="B414" s="18"/>
    </row>
    <row r="415">
      <c r="A415" s="17"/>
      <c r="B415" s="18"/>
    </row>
    <row r="416">
      <c r="A416" s="17"/>
      <c r="B416" s="18"/>
    </row>
    <row r="417">
      <c r="A417" s="17"/>
      <c r="B417" s="18"/>
    </row>
    <row r="418">
      <c r="A418" s="17"/>
      <c r="B418" s="18"/>
    </row>
    <row r="419">
      <c r="A419" s="17"/>
      <c r="B419" s="18"/>
    </row>
    <row r="420">
      <c r="A420" s="17"/>
      <c r="B420" s="18"/>
    </row>
    <row r="421">
      <c r="A421" s="17"/>
      <c r="B421" s="18"/>
    </row>
    <row r="422">
      <c r="A422" s="17"/>
      <c r="B422" s="18"/>
    </row>
    <row r="423">
      <c r="A423" s="17"/>
      <c r="B423" s="18"/>
    </row>
    <row r="424">
      <c r="A424" s="17"/>
      <c r="B424" s="18"/>
    </row>
    <row r="425">
      <c r="A425" s="17"/>
      <c r="B425" s="18"/>
    </row>
    <row r="426">
      <c r="A426" s="17"/>
      <c r="B426" s="18"/>
    </row>
    <row r="427">
      <c r="A427" s="17"/>
      <c r="B427" s="18"/>
    </row>
    <row r="428">
      <c r="A428" s="17"/>
      <c r="B428" s="18"/>
    </row>
    <row r="429">
      <c r="A429" s="17"/>
      <c r="B429" s="18"/>
    </row>
    <row r="430">
      <c r="A430" s="17"/>
      <c r="B430" s="18"/>
    </row>
    <row r="431">
      <c r="A431" s="17"/>
      <c r="B431" s="18"/>
    </row>
    <row r="432">
      <c r="A432" s="17"/>
      <c r="B432" s="18"/>
    </row>
    <row r="433">
      <c r="A433" s="17"/>
      <c r="B433" s="18"/>
    </row>
    <row r="434">
      <c r="A434" s="17"/>
      <c r="B434" s="18"/>
    </row>
    <row r="435">
      <c r="A435" s="17"/>
      <c r="B435" s="18"/>
    </row>
    <row r="436">
      <c r="A436" s="17"/>
      <c r="B436" s="18"/>
    </row>
    <row r="437">
      <c r="A437" s="17"/>
      <c r="B437" s="18"/>
    </row>
    <row r="438">
      <c r="A438" s="17"/>
      <c r="B438" s="18"/>
    </row>
    <row r="439">
      <c r="A439" s="17"/>
      <c r="B439" s="18"/>
    </row>
    <row r="440">
      <c r="A440" s="17"/>
      <c r="B440" s="18"/>
    </row>
    <row r="441">
      <c r="A441" s="17"/>
      <c r="B441" s="18"/>
    </row>
    <row r="442">
      <c r="A442" s="17"/>
      <c r="B442" s="18"/>
    </row>
    <row r="443">
      <c r="A443" s="17"/>
      <c r="B443" s="18"/>
    </row>
    <row r="444">
      <c r="A444" s="17"/>
      <c r="B444" s="18"/>
    </row>
    <row r="445">
      <c r="A445" s="17"/>
      <c r="B445" s="18"/>
    </row>
    <row r="446">
      <c r="A446" s="17"/>
      <c r="B446" s="18"/>
    </row>
    <row r="447">
      <c r="A447" s="17"/>
      <c r="B447" s="18"/>
    </row>
    <row r="448">
      <c r="A448" s="17"/>
      <c r="B448" s="18"/>
    </row>
    <row r="449">
      <c r="A449" s="17"/>
      <c r="B449" s="18"/>
    </row>
    <row r="450">
      <c r="A450" s="17"/>
      <c r="B450" s="18"/>
    </row>
    <row r="451">
      <c r="A451" s="17"/>
      <c r="B451" s="18"/>
    </row>
    <row r="452">
      <c r="A452" s="17"/>
      <c r="B452" s="18"/>
    </row>
    <row r="453">
      <c r="A453" s="17"/>
      <c r="B453" s="18"/>
    </row>
    <row r="454">
      <c r="A454" s="17"/>
      <c r="B454" s="18"/>
    </row>
    <row r="455">
      <c r="A455" s="17"/>
      <c r="B455" s="18"/>
    </row>
    <row r="456">
      <c r="A456" s="17"/>
      <c r="B456" s="18"/>
    </row>
    <row r="457">
      <c r="A457" s="17"/>
      <c r="B457" s="18"/>
    </row>
    <row r="458">
      <c r="A458" s="17"/>
      <c r="B458" s="18"/>
    </row>
    <row r="459">
      <c r="A459" s="17"/>
      <c r="B459" s="18"/>
    </row>
    <row r="460">
      <c r="A460" s="17"/>
      <c r="B460" s="18"/>
    </row>
    <row r="461">
      <c r="A461" s="17"/>
      <c r="B461" s="18"/>
    </row>
    <row r="462">
      <c r="A462" s="17"/>
      <c r="B462" s="18"/>
    </row>
    <row r="463">
      <c r="A463" s="17"/>
      <c r="B463" s="18"/>
    </row>
    <row r="464">
      <c r="A464" s="17"/>
      <c r="B464" s="18"/>
    </row>
    <row r="465">
      <c r="A465" s="17"/>
      <c r="B465" s="18"/>
    </row>
    <row r="466">
      <c r="A466" s="17"/>
      <c r="B466" s="18"/>
    </row>
    <row r="467">
      <c r="A467" s="17"/>
      <c r="B467" s="18"/>
    </row>
    <row r="468">
      <c r="A468" s="17"/>
      <c r="B468" s="18"/>
    </row>
    <row r="469">
      <c r="A469" s="17"/>
      <c r="B469" s="18"/>
    </row>
    <row r="470">
      <c r="A470" s="17"/>
      <c r="B470" s="18"/>
    </row>
    <row r="471">
      <c r="A471" s="17"/>
      <c r="B471" s="18"/>
    </row>
    <row r="472">
      <c r="A472" s="17"/>
      <c r="B472" s="18"/>
    </row>
    <row r="473">
      <c r="A473" s="17"/>
      <c r="B473" s="18"/>
    </row>
    <row r="474">
      <c r="A474" s="17"/>
      <c r="B474" s="18"/>
    </row>
    <row r="475">
      <c r="A475" s="17"/>
      <c r="B475" s="18"/>
    </row>
    <row r="476">
      <c r="A476" s="17"/>
      <c r="B476" s="18"/>
    </row>
    <row r="477">
      <c r="A477" s="17"/>
      <c r="B477" s="18"/>
    </row>
    <row r="478">
      <c r="A478" s="17"/>
      <c r="B478" s="18"/>
    </row>
    <row r="479">
      <c r="A479" s="17"/>
      <c r="B479" s="18"/>
    </row>
    <row r="480">
      <c r="A480" s="17"/>
      <c r="B480" s="18"/>
    </row>
    <row r="481">
      <c r="A481" s="17"/>
      <c r="B481" s="18"/>
    </row>
    <row r="482">
      <c r="A482" s="17"/>
      <c r="B482" s="18"/>
    </row>
    <row r="483">
      <c r="A483" s="17"/>
      <c r="B483" s="18"/>
    </row>
    <row r="484">
      <c r="A484" s="17"/>
      <c r="B484" s="18"/>
    </row>
    <row r="485">
      <c r="A485" s="17"/>
      <c r="B485" s="18"/>
    </row>
    <row r="486">
      <c r="A486" s="17"/>
      <c r="B486" s="18"/>
    </row>
    <row r="487">
      <c r="A487" s="17"/>
      <c r="B487" s="18"/>
    </row>
    <row r="488">
      <c r="A488" s="17"/>
      <c r="B488" s="18"/>
    </row>
    <row r="489">
      <c r="A489" s="17"/>
      <c r="B489" s="18"/>
    </row>
    <row r="490">
      <c r="A490" s="17"/>
      <c r="B490" s="18"/>
    </row>
    <row r="491">
      <c r="A491" s="17"/>
      <c r="B491" s="18"/>
    </row>
    <row r="492">
      <c r="A492" s="17"/>
      <c r="B492" s="18"/>
    </row>
    <row r="493">
      <c r="A493" s="17"/>
      <c r="B493" s="18"/>
    </row>
    <row r="494">
      <c r="A494" s="17"/>
      <c r="B494" s="18"/>
    </row>
    <row r="495">
      <c r="A495" s="17"/>
      <c r="B495" s="18"/>
    </row>
    <row r="496">
      <c r="A496" s="17"/>
      <c r="B496" s="18"/>
    </row>
    <row r="497">
      <c r="A497" s="17"/>
      <c r="B497" s="18"/>
    </row>
    <row r="498">
      <c r="A498" s="17"/>
      <c r="B498" s="18"/>
    </row>
    <row r="499">
      <c r="A499" s="17"/>
      <c r="B499" s="18"/>
    </row>
    <row r="500">
      <c r="A500" s="17"/>
      <c r="B500" s="18"/>
    </row>
    <row r="501">
      <c r="A501" s="17"/>
      <c r="B501" s="18"/>
    </row>
    <row r="502">
      <c r="A502" s="17"/>
      <c r="B502" s="18"/>
    </row>
    <row r="503">
      <c r="A503" s="17"/>
      <c r="B503" s="18"/>
    </row>
    <row r="504">
      <c r="A504" s="17"/>
      <c r="B504" s="18"/>
    </row>
    <row r="505">
      <c r="A505" s="17"/>
      <c r="B505" s="18"/>
    </row>
    <row r="506">
      <c r="A506" s="17"/>
      <c r="B506" s="18"/>
    </row>
    <row r="507">
      <c r="A507" s="17"/>
      <c r="B507" s="18"/>
    </row>
    <row r="508">
      <c r="A508" s="17"/>
      <c r="B508" s="18"/>
    </row>
    <row r="509">
      <c r="A509" s="17"/>
      <c r="B509" s="18"/>
    </row>
    <row r="510">
      <c r="A510" s="17"/>
      <c r="B510" s="18"/>
    </row>
    <row r="511">
      <c r="A511" s="17"/>
      <c r="B511" s="18"/>
    </row>
    <row r="512">
      <c r="A512" s="17"/>
      <c r="B512" s="18"/>
    </row>
    <row r="513">
      <c r="A513" s="17"/>
      <c r="B513" s="18"/>
    </row>
    <row r="514">
      <c r="A514" s="17"/>
      <c r="B514" s="18"/>
    </row>
    <row r="515">
      <c r="A515" s="17"/>
      <c r="B515" s="18"/>
    </row>
    <row r="516">
      <c r="A516" s="17"/>
      <c r="B516" s="18"/>
    </row>
    <row r="517">
      <c r="A517" s="17"/>
      <c r="B517" s="18"/>
    </row>
    <row r="518">
      <c r="A518" s="17"/>
      <c r="B518" s="18"/>
    </row>
    <row r="519">
      <c r="A519" s="17"/>
      <c r="B519" s="18"/>
    </row>
    <row r="520">
      <c r="A520" s="17"/>
      <c r="B520" s="18"/>
    </row>
    <row r="521">
      <c r="A521" s="17"/>
      <c r="B521" s="18"/>
    </row>
    <row r="522">
      <c r="A522" s="17"/>
      <c r="B522" s="18"/>
    </row>
    <row r="523">
      <c r="A523" s="17"/>
      <c r="B523" s="18"/>
    </row>
    <row r="524">
      <c r="A524" s="17"/>
      <c r="B524" s="18"/>
    </row>
    <row r="525">
      <c r="A525" s="17"/>
      <c r="B525" s="18"/>
    </row>
    <row r="526">
      <c r="A526" s="17"/>
      <c r="B526" s="18"/>
    </row>
    <row r="527">
      <c r="A527" s="17"/>
      <c r="B527" s="18"/>
    </row>
    <row r="528">
      <c r="A528" s="17"/>
      <c r="B528" s="18"/>
    </row>
    <row r="529">
      <c r="A529" s="17"/>
      <c r="B529" s="18"/>
    </row>
    <row r="530">
      <c r="A530" s="17"/>
      <c r="B530" s="18"/>
    </row>
    <row r="531">
      <c r="A531" s="17"/>
      <c r="B531" s="18"/>
    </row>
    <row r="532">
      <c r="A532" s="17"/>
      <c r="B532" s="18"/>
    </row>
    <row r="533">
      <c r="A533" s="17"/>
      <c r="B533" s="18"/>
    </row>
    <row r="534">
      <c r="A534" s="17"/>
      <c r="B534" s="18"/>
    </row>
    <row r="535">
      <c r="A535" s="17"/>
      <c r="B535" s="18"/>
    </row>
    <row r="536">
      <c r="A536" s="17"/>
      <c r="B536" s="18"/>
    </row>
    <row r="537">
      <c r="A537" s="17"/>
      <c r="B537" s="18"/>
    </row>
    <row r="538">
      <c r="A538" s="17"/>
      <c r="B538" s="18"/>
    </row>
    <row r="539">
      <c r="A539" s="17"/>
      <c r="B539" s="18"/>
    </row>
    <row r="540">
      <c r="A540" s="17"/>
      <c r="B540" s="18"/>
    </row>
    <row r="541">
      <c r="A541" s="17"/>
      <c r="B541" s="18"/>
    </row>
    <row r="542">
      <c r="A542" s="17"/>
      <c r="B542" s="18"/>
    </row>
    <row r="543">
      <c r="A543" s="17"/>
      <c r="B543" s="18"/>
    </row>
    <row r="544">
      <c r="A544" s="17"/>
      <c r="B544" s="18"/>
    </row>
    <row r="545">
      <c r="A545" s="17"/>
      <c r="B545" s="18"/>
    </row>
    <row r="546">
      <c r="A546" s="17"/>
      <c r="B546" s="18"/>
    </row>
    <row r="547">
      <c r="A547" s="17"/>
      <c r="B547" s="18"/>
    </row>
    <row r="548">
      <c r="A548" s="17"/>
      <c r="B548" s="18"/>
    </row>
    <row r="549">
      <c r="A549" s="17"/>
      <c r="B549" s="18"/>
    </row>
    <row r="550">
      <c r="A550" s="17"/>
      <c r="B550" s="18"/>
    </row>
    <row r="551">
      <c r="A551" s="17"/>
      <c r="B551" s="18"/>
    </row>
    <row r="552">
      <c r="A552" s="17"/>
      <c r="B552" s="18"/>
    </row>
    <row r="553">
      <c r="A553" s="17"/>
      <c r="B553" s="18"/>
    </row>
    <row r="554">
      <c r="A554" s="17"/>
      <c r="B554" s="18"/>
    </row>
    <row r="555">
      <c r="A555" s="17"/>
      <c r="B555" s="18"/>
    </row>
    <row r="556">
      <c r="A556" s="17"/>
      <c r="B556" s="18"/>
    </row>
    <row r="557">
      <c r="A557" s="17"/>
      <c r="B557" s="18"/>
    </row>
    <row r="558">
      <c r="A558" s="17"/>
      <c r="B558" s="18"/>
    </row>
    <row r="559">
      <c r="A559" s="17"/>
      <c r="B559" s="18"/>
    </row>
    <row r="560">
      <c r="A560" s="17"/>
      <c r="B560" s="18"/>
    </row>
    <row r="561">
      <c r="A561" s="17"/>
      <c r="B561" s="18"/>
    </row>
    <row r="562">
      <c r="A562" s="17"/>
      <c r="B562" s="18"/>
    </row>
    <row r="563">
      <c r="A563" s="17"/>
      <c r="B563" s="18"/>
    </row>
    <row r="564">
      <c r="A564" s="17"/>
      <c r="B564" s="18"/>
    </row>
    <row r="565">
      <c r="A565" s="17"/>
      <c r="B565" s="18"/>
    </row>
    <row r="566">
      <c r="A566" s="17"/>
      <c r="B566" s="18"/>
    </row>
    <row r="567">
      <c r="A567" s="17"/>
      <c r="B567" s="18"/>
    </row>
    <row r="568">
      <c r="A568" s="17"/>
      <c r="B568" s="18"/>
    </row>
    <row r="569">
      <c r="A569" s="17"/>
      <c r="B569" s="18"/>
    </row>
    <row r="570">
      <c r="A570" s="17"/>
      <c r="B570" s="18"/>
    </row>
    <row r="571">
      <c r="A571" s="17"/>
      <c r="B571" s="18"/>
    </row>
    <row r="572">
      <c r="A572" s="17"/>
      <c r="B572" s="18"/>
    </row>
    <row r="573">
      <c r="A573" s="17"/>
      <c r="B573" s="18"/>
    </row>
    <row r="574">
      <c r="A574" s="17"/>
      <c r="B574" s="18"/>
    </row>
    <row r="575">
      <c r="A575" s="17"/>
      <c r="B575" s="18"/>
    </row>
    <row r="576">
      <c r="A576" s="17"/>
      <c r="B576" s="18"/>
    </row>
    <row r="577">
      <c r="A577" s="17"/>
      <c r="B577" s="18"/>
    </row>
    <row r="578">
      <c r="A578" s="17"/>
      <c r="B578" s="18"/>
    </row>
    <row r="579">
      <c r="A579" s="17"/>
      <c r="B579" s="18"/>
    </row>
    <row r="580">
      <c r="A580" s="17"/>
      <c r="B580" s="18"/>
    </row>
    <row r="581">
      <c r="A581" s="17"/>
      <c r="B581" s="18"/>
    </row>
    <row r="582">
      <c r="A582" s="17"/>
      <c r="B582" s="18"/>
    </row>
    <row r="583">
      <c r="A583" s="17"/>
      <c r="B583" s="18"/>
    </row>
    <row r="584">
      <c r="A584" s="17"/>
      <c r="B584" s="18"/>
    </row>
    <row r="585">
      <c r="A585" s="17"/>
      <c r="B585" s="18"/>
    </row>
    <row r="586">
      <c r="A586" s="17"/>
      <c r="B586" s="18"/>
    </row>
    <row r="587">
      <c r="A587" s="17"/>
      <c r="B587" s="18"/>
    </row>
    <row r="588">
      <c r="A588" s="17"/>
      <c r="B588" s="18"/>
    </row>
    <row r="589">
      <c r="A589" s="17"/>
      <c r="B589" s="18"/>
    </row>
    <row r="590">
      <c r="A590" s="17"/>
      <c r="B590" s="18"/>
    </row>
    <row r="591">
      <c r="A591" s="17"/>
      <c r="B591" s="18"/>
    </row>
    <row r="592">
      <c r="A592" s="17"/>
      <c r="B592" s="18"/>
    </row>
    <row r="593">
      <c r="A593" s="17"/>
      <c r="B593" s="18"/>
    </row>
    <row r="594">
      <c r="A594" s="17"/>
      <c r="B594" s="18"/>
    </row>
    <row r="595">
      <c r="A595" s="17"/>
      <c r="B595" s="18"/>
    </row>
    <row r="596">
      <c r="A596" s="17"/>
      <c r="B596" s="18"/>
    </row>
    <row r="597">
      <c r="A597" s="17"/>
      <c r="B597" s="18"/>
    </row>
    <row r="598">
      <c r="A598" s="17"/>
      <c r="B598" s="18"/>
    </row>
    <row r="599">
      <c r="A599" s="17"/>
      <c r="B599" s="18"/>
    </row>
    <row r="600">
      <c r="A600" s="17"/>
      <c r="B600" s="18"/>
    </row>
    <row r="601">
      <c r="A601" s="17"/>
      <c r="B601" s="18"/>
    </row>
    <row r="602">
      <c r="A602" s="17"/>
      <c r="B602" s="18"/>
    </row>
    <row r="603">
      <c r="A603" s="17"/>
      <c r="B603" s="18"/>
    </row>
    <row r="604">
      <c r="A604" s="17"/>
      <c r="B604" s="18"/>
    </row>
    <row r="605">
      <c r="A605" s="17"/>
      <c r="B605" s="18"/>
    </row>
    <row r="606">
      <c r="A606" s="17"/>
      <c r="B606" s="18"/>
    </row>
    <row r="607">
      <c r="A607" s="17"/>
      <c r="B607" s="18"/>
    </row>
    <row r="608">
      <c r="A608" s="17"/>
      <c r="B608" s="18"/>
    </row>
    <row r="609">
      <c r="A609" s="17"/>
      <c r="B609" s="18"/>
    </row>
    <row r="610">
      <c r="A610" s="17"/>
      <c r="B610" s="18"/>
    </row>
    <row r="611">
      <c r="A611" s="17"/>
      <c r="B611" s="18"/>
    </row>
    <row r="612">
      <c r="A612" s="17"/>
      <c r="B612" s="18"/>
    </row>
    <row r="613">
      <c r="A613" s="17"/>
      <c r="B613" s="18"/>
    </row>
    <row r="614">
      <c r="A614" s="17"/>
      <c r="B614" s="18"/>
    </row>
    <row r="615">
      <c r="A615" s="17"/>
      <c r="B615" s="18"/>
    </row>
    <row r="616">
      <c r="A616" s="17"/>
      <c r="B616" s="18"/>
    </row>
    <row r="617">
      <c r="A617" s="17"/>
      <c r="B617" s="18"/>
    </row>
    <row r="618">
      <c r="A618" s="17"/>
      <c r="B618" s="18"/>
    </row>
    <row r="619">
      <c r="A619" s="17"/>
      <c r="B619" s="18"/>
    </row>
    <row r="620">
      <c r="A620" s="17"/>
      <c r="B620" s="18"/>
    </row>
    <row r="621">
      <c r="A621" s="17"/>
      <c r="B621" s="18"/>
    </row>
    <row r="622">
      <c r="A622" s="17"/>
      <c r="B622" s="18"/>
    </row>
    <row r="623">
      <c r="A623" s="17"/>
      <c r="B623" s="18"/>
    </row>
    <row r="624">
      <c r="A624" s="17"/>
      <c r="B624" s="18"/>
    </row>
    <row r="625">
      <c r="A625" s="17"/>
      <c r="B625" s="18"/>
    </row>
    <row r="626">
      <c r="A626" s="17"/>
      <c r="B626" s="18"/>
    </row>
    <row r="627">
      <c r="A627" s="17"/>
      <c r="B627" s="18"/>
    </row>
    <row r="628">
      <c r="A628" s="17"/>
      <c r="B628" s="18"/>
    </row>
    <row r="629">
      <c r="A629" s="17"/>
      <c r="B629" s="18"/>
    </row>
    <row r="630">
      <c r="A630" s="17"/>
      <c r="B630" s="18"/>
    </row>
    <row r="631">
      <c r="A631" s="17"/>
      <c r="B631" s="18"/>
    </row>
    <row r="632">
      <c r="A632" s="17"/>
      <c r="B632" s="18"/>
    </row>
    <row r="633">
      <c r="A633" s="17"/>
      <c r="B633" s="18"/>
    </row>
    <row r="634">
      <c r="A634" s="17"/>
      <c r="B634" s="18"/>
    </row>
    <row r="635">
      <c r="A635" s="17"/>
      <c r="B635" s="18"/>
    </row>
    <row r="636">
      <c r="A636" s="17"/>
      <c r="B636" s="18"/>
    </row>
    <row r="637">
      <c r="A637" s="17"/>
      <c r="B637" s="18"/>
    </row>
    <row r="638">
      <c r="A638" s="17"/>
      <c r="B638" s="18"/>
    </row>
    <row r="639">
      <c r="A639" s="17"/>
      <c r="B639" s="18"/>
    </row>
    <row r="640">
      <c r="A640" s="17"/>
      <c r="B640" s="18"/>
    </row>
    <row r="641">
      <c r="A641" s="17"/>
      <c r="B641" s="18"/>
    </row>
    <row r="642">
      <c r="A642" s="17"/>
      <c r="B642" s="18"/>
    </row>
    <row r="643">
      <c r="A643" s="17"/>
      <c r="B643" s="18"/>
    </row>
    <row r="644">
      <c r="A644" s="17"/>
      <c r="B644" s="18"/>
    </row>
    <row r="645">
      <c r="A645" s="17"/>
      <c r="B645" s="18"/>
    </row>
    <row r="646">
      <c r="A646" s="17"/>
      <c r="B646" s="18"/>
    </row>
    <row r="647">
      <c r="A647" s="17"/>
      <c r="B647" s="18"/>
    </row>
    <row r="648">
      <c r="A648" s="17"/>
      <c r="B648" s="18"/>
    </row>
    <row r="649">
      <c r="A649" s="17"/>
      <c r="B649" s="18"/>
    </row>
    <row r="650">
      <c r="A650" s="17"/>
      <c r="B650" s="18"/>
    </row>
    <row r="651">
      <c r="A651" s="17"/>
      <c r="B651" s="18"/>
    </row>
    <row r="652">
      <c r="A652" s="17"/>
      <c r="B652" s="18"/>
    </row>
    <row r="653">
      <c r="A653" s="17"/>
      <c r="B653" s="18"/>
    </row>
    <row r="654">
      <c r="A654" s="17"/>
      <c r="B654" s="18"/>
    </row>
    <row r="655">
      <c r="A655" s="17"/>
      <c r="B655" s="18"/>
    </row>
    <row r="656">
      <c r="A656" s="17"/>
      <c r="B656" s="18"/>
    </row>
    <row r="657">
      <c r="A657" s="17"/>
      <c r="B657" s="18"/>
    </row>
    <row r="658">
      <c r="A658" s="17"/>
      <c r="B658" s="18"/>
    </row>
    <row r="659">
      <c r="A659" s="17"/>
      <c r="B659" s="18"/>
    </row>
    <row r="660">
      <c r="A660" s="17"/>
      <c r="B660" s="18"/>
    </row>
    <row r="661">
      <c r="A661" s="17"/>
      <c r="B661" s="18"/>
    </row>
    <row r="662">
      <c r="A662" s="17"/>
      <c r="B662" s="18"/>
    </row>
    <row r="663">
      <c r="A663" s="17"/>
      <c r="B663" s="18"/>
    </row>
    <row r="664">
      <c r="A664" s="17"/>
      <c r="B664" s="18"/>
    </row>
    <row r="665">
      <c r="A665" s="17"/>
      <c r="B665" s="18"/>
    </row>
    <row r="666">
      <c r="A666" s="17"/>
      <c r="B666" s="18"/>
    </row>
    <row r="667">
      <c r="A667" s="17"/>
      <c r="B667" s="18"/>
    </row>
    <row r="668">
      <c r="A668" s="17"/>
      <c r="B668" s="18"/>
    </row>
    <row r="669">
      <c r="A669" s="17"/>
      <c r="B669" s="18"/>
    </row>
    <row r="670">
      <c r="A670" s="17"/>
      <c r="B670" s="18"/>
    </row>
    <row r="671">
      <c r="A671" s="17"/>
      <c r="B671" s="18"/>
    </row>
    <row r="672">
      <c r="A672" s="17"/>
      <c r="B672" s="18"/>
    </row>
    <row r="673">
      <c r="A673" s="17"/>
      <c r="B673" s="18"/>
    </row>
    <row r="674">
      <c r="A674" s="17"/>
      <c r="B674" s="18"/>
    </row>
    <row r="675">
      <c r="A675" s="17"/>
      <c r="B675" s="18"/>
    </row>
    <row r="676">
      <c r="A676" s="17"/>
      <c r="B676" s="18"/>
    </row>
    <row r="677">
      <c r="A677" s="17"/>
      <c r="B677" s="18"/>
    </row>
    <row r="678">
      <c r="A678" s="17"/>
      <c r="B678" s="18"/>
    </row>
    <row r="679">
      <c r="A679" s="17"/>
      <c r="B679" s="18"/>
    </row>
    <row r="680">
      <c r="A680" s="17"/>
      <c r="B680" s="18"/>
    </row>
    <row r="681">
      <c r="A681" s="17"/>
      <c r="B681" s="18"/>
    </row>
    <row r="682">
      <c r="A682" s="17"/>
      <c r="B682" s="18"/>
    </row>
    <row r="683">
      <c r="A683" s="17"/>
      <c r="B683" s="18"/>
    </row>
    <row r="684">
      <c r="A684" s="17"/>
      <c r="B684" s="18"/>
    </row>
    <row r="685">
      <c r="A685" s="17"/>
      <c r="B685" s="18"/>
    </row>
    <row r="686">
      <c r="A686" s="17"/>
      <c r="B686" s="18"/>
    </row>
    <row r="687">
      <c r="A687" s="17"/>
      <c r="B687" s="18"/>
    </row>
    <row r="688">
      <c r="A688" s="17"/>
      <c r="B688" s="18"/>
    </row>
    <row r="689">
      <c r="A689" s="17"/>
      <c r="B689" s="18"/>
    </row>
    <row r="690">
      <c r="A690" s="17"/>
      <c r="B690" s="18"/>
    </row>
    <row r="691">
      <c r="A691" s="17"/>
      <c r="B691" s="18"/>
    </row>
    <row r="692">
      <c r="A692" s="17"/>
      <c r="B692" s="18"/>
    </row>
    <row r="693">
      <c r="A693" s="17"/>
      <c r="B693" s="18"/>
    </row>
    <row r="694">
      <c r="A694" s="17"/>
      <c r="B694" s="18"/>
    </row>
    <row r="695">
      <c r="A695" s="17"/>
      <c r="B695" s="18"/>
    </row>
    <row r="696">
      <c r="A696" s="17"/>
      <c r="B696" s="18"/>
    </row>
    <row r="697">
      <c r="A697" s="17"/>
      <c r="B697" s="18"/>
    </row>
    <row r="698">
      <c r="A698" s="17"/>
      <c r="B698" s="18"/>
    </row>
    <row r="699">
      <c r="A699" s="17"/>
      <c r="B699" s="18"/>
    </row>
    <row r="700">
      <c r="A700" s="17"/>
      <c r="B700" s="18"/>
    </row>
    <row r="701">
      <c r="A701" s="17"/>
      <c r="B701" s="18"/>
    </row>
    <row r="702">
      <c r="A702" s="17"/>
      <c r="B702" s="18"/>
    </row>
    <row r="703">
      <c r="A703" s="17"/>
      <c r="B703" s="18"/>
    </row>
    <row r="704">
      <c r="A704" s="17"/>
      <c r="B704" s="18"/>
    </row>
    <row r="705">
      <c r="A705" s="17"/>
      <c r="B705" s="18"/>
    </row>
    <row r="706">
      <c r="A706" s="17"/>
      <c r="B706" s="18"/>
    </row>
    <row r="707">
      <c r="A707" s="17"/>
      <c r="B707" s="18"/>
    </row>
    <row r="708">
      <c r="A708" s="17"/>
      <c r="B708" s="18"/>
    </row>
    <row r="709">
      <c r="A709" s="17"/>
      <c r="B709" s="18"/>
    </row>
    <row r="710">
      <c r="A710" s="17"/>
      <c r="B710" s="18"/>
    </row>
    <row r="711">
      <c r="A711" s="17"/>
      <c r="B711" s="18"/>
    </row>
    <row r="712">
      <c r="A712" s="17"/>
      <c r="B712" s="18"/>
    </row>
    <row r="713">
      <c r="A713" s="17"/>
      <c r="B713" s="18"/>
    </row>
    <row r="714">
      <c r="A714" s="17"/>
      <c r="B714" s="18"/>
    </row>
    <row r="715">
      <c r="A715" s="17"/>
      <c r="B715" s="18"/>
    </row>
    <row r="716">
      <c r="A716" s="17"/>
      <c r="B716" s="18"/>
    </row>
    <row r="717">
      <c r="A717" s="17"/>
      <c r="B717" s="18"/>
    </row>
    <row r="718">
      <c r="A718" s="17"/>
      <c r="B718" s="18"/>
    </row>
    <row r="719">
      <c r="A719" s="17"/>
      <c r="B719" s="18"/>
    </row>
    <row r="720">
      <c r="A720" s="17"/>
      <c r="B720" s="18"/>
    </row>
    <row r="721">
      <c r="A721" s="17"/>
      <c r="B721" s="18"/>
    </row>
    <row r="722">
      <c r="A722" s="17"/>
      <c r="B722" s="18"/>
    </row>
    <row r="723">
      <c r="A723" s="17"/>
      <c r="B723" s="18"/>
    </row>
    <row r="724">
      <c r="A724" s="17"/>
      <c r="B724" s="18"/>
    </row>
    <row r="725">
      <c r="A725" s="17"/>
      <c r="B725" s="18"/>
    </row>
    <row r="726">
      <c r="A726" s="17"/>
      <c r="B726" s="18"/>
    </row>
    <row r="727">
      <c r="A727" s="17"/>
      <c r="B727" s="18"/>
    </row>
    <row r="728">
      <c r="A728" s="17"/>
      <c r="B728" s="18"/>
    </row>
    <row r="729">
      <c r="A729" s="17"/>
      <c r="B729" s="18"/>
    </row>
    <row r="730">
      <c r="A730" s="17"/>
      <c r="B730" s="18"/>
    </row>
    <row r="731">
      <c r="A731" s="17"/>
      <c r="B731" s="18"/>
    </row>
    <row r="732">
      <c r="A732" s="17"/>
      <c r="B732" s="18"/>
    </row>
    <row r="733">
      <c r="A733" s="17"/>
      <c r="B733" s="18"/>
    </row>
    <row r="734">
      <c r="A734" s="17"/>
      <c r="B734" s="18"/>
    </row>
    <row r="735">
      <c r="A735" s="17"/>
      <c r="B735" s="18"/>
    </row>
    <row r="736">
      <c r="A736" s="17"/>
      <c r="B736" s="18"/>
    </row>
    <row r="737">
      <c r="A737" s="17"/>
      <c r="B737" s="18"/>
    </row>
    <row r="738">
      <c r="A738" s="17"/>
      <c r="B738" s="18"/>
    </row>
    <row r="739">
      <c r="A739" s="17"/>
      <c r="B739" s="18"/>
    </row>
    <row r="740">
      <c r="A740" s="17"/>
      <c r="B740" s="18"/>
    </row>
    <row r="741">
      <c r="A741" s="17"/>
      <c r="B741" s="18"/>
    </row>
    <row r="742">
      <c r="A742" s="17"/>
      <c r="B742" s="18"/>
    </row>
    <row r="743">
      <c r="A743" s="17"/>
      <c r="B743" s="18"/>
    </row>
    <row r="744">
      <c r="A744" s="17"/>
      <c r="B744" s="18"/>
    </row>
    <row r="745">
      <c r="A745" s="17"/>
      <c r="B745" s="18"/>
    </row>
    <row r="746">
      <c r="A746" s="17"/>
      <c r="B746" s="18"/>
    </row>
    <row r="747">
      <c r="A747" s="17"/>
      <c r="B747" s="18"/>
    </row>
    <row r="748">
      <c r="A748" s="17"/>
      <c r="B748" s="18"/>
    </row>
    <row r="749">
      <c r="A749" s="17"/>
      <c r="B749" s="18"/>
    </row>
    <row r="750">
      <c r="A750" s="17"/>
      <c r="B750" s="18"/>
    </row>
    <row r="751">
      <c r="A751" s="17"/>
      <c r="B751" s="18"/>
    </row>
    <row r="752">
      <c r="A752" s="17"/>
      <c r="B752" s="18"/>
    </row>
    <row r="753">
      <c r="A753" s="17"/>
      <c r="B753" s="18"/>
    </row>
    <row r="754">
      <c r="A754" s="17"/>
      <c r="B754" s="18"/>
    </row>
    <row r="755">
      <c r="A755" s="17"/>
      <c r="B755" s="18"/>
    </row>
    <row r="756">
      <c r="A756" s="17"/>
      <c r="B756" s="18"/>
    </row>
    <row r="757">
      <c r="A757" s="17"/>
      <c r="B757" s="18"/>
    </row>
    <row r="758">
      <c r="A758" s="17"/>
      <c r="B758" s="18"/>
    </row>
    <row r="759">
      <c r="A759" s="17"/>
      <c r="B759" s="18"/>
    </row>
    <row r="760">
      <c r="A760" s="17"/>
      <c r="B760" s="18"/>
    </row>
    <row r="761">
      <c r="A761" s="17"/>
      <c r="B761" s="18"/>
    </row>
    <row r="762">
      <c r="A762" s="17"/>
      <c r="B762" s="18"/>
    </row>
    <row r="763">
      <c r="A763" s="17"/>
      <c r="B763" s="18"/>
    </row>
    <row r="764">
      <c r="A764" s="17"/>
      <c r="B764" s="18"/>
    </row>
    <row r="765">
      <c r="A765" s="17"/>
      <c r="B765" s="18"/>
    </row>
    <row r="766">
      <c r="A766" s="17"/>
      <c r="B766" s="18"/>
    </row>
    <row r="767">
      <c r="A767" s="17"/>
      <c r="B767" s="18"/>
    </row>
    <row r="768">
      <c r="A768" s="17"/>
      <c r="B768" s="18"/>
    </row>
    <row r="769">
      <c r="A769" s="17"/>
      <c r="B769" s="18"/>
    </row>
    <row r="770">
      <c r="A770" s="17"/>
      <c r="B770" s="18"/>
    </row>
    <row r="771">
      <c r="A771" s="17"/>
      <c r="B771" s="18"/>
    </row>
    <row r="772">
      <c r="A772" s="17"/>
      <c r="B772" s="18"/>
    </row>
    <row r="773">
      <c r="A773" s="17"/>
      <c r="B773" s="18"/>
    </row>
    <row r="774">
      <c r="A774" s="17"/>
      <c r="B774" s="18"/>
    </row>
    <row r="775">
      <c r="A775" s="17"/>
      <c r="B775" s="18"/>
    </row>
    <row r="776">
      <c r="A776" s="17"/>
      <c r="B776" s="18"/>
    </row>
    <row r="777">
      <c r="A777" s="17"/>
      <c r="B777" s="18"/>
    </row>
    <row r="778">
      <c r="A778" s="17"/>
      <c r="B778" s="18"/>
    </row>
    <row r="779">
      <c r="A779" s="17"/>
      <c r="B779" s="18"/>
    </row>
    <row r="780">
      <c r="A780" s="17"/>
      <c r="B780" s="18"/>
    </row>
    <row r="781">
      <c r="A781" s="17"/>
      <c r="B781" s="18"/>
    </row>
    <row r="782">
      <c r="A782" s="17"/>
      <c r="B782" s="18"/>
    </row>
    <row r="783">
      <c r="A783" s="17"/>
      <c r="B783" s="18"/>
    </row>
    <row r="784">
      <c r="A784" s="17"/>
      <c r="B784" s="18"/>
    </row>
    <row r="785">
      <c r="A785" s="17"/>
      <c r="B785" s="18"/>
    </row>
    <row r="786">
      <c r="A786" s="17"/>
      <c r="B786" s="18"/>
    </row>
    <row r="787">
      <c r="A787" s="17"/>
      <c r="B787" s="18"/>
    </row>
    <row r="788">
      <c r="A788" s="17"/>
      <c r="B788" s="18"/>
    </row>
    <row r="789">
      <c r="A789" s="17"/>
      <c r="B789" s="18"/>
    </row>
    <row r="790">
      <c r="A790" s="17"/>
      <c r="B790" s="18"/>
    </row>
    <row r="791">
      <c r="A791" s="17"/>
      <c r="B791" s="18"/>
    </row>
    <row r="792">
      <c r="A792" s="17"/>
      <c r="B792" s="18"/>
    </row>
    <row r="793">
      <c r="A793" s="17"/>
      <c r="B793" s="18"/>
    </row>
    <row r="794">
      <c r="A794" s="17"/>
      <c r="B794" s="18"/>
    </row>
    <row r="795">
      <c r="A795" s="17"/>
      <c r="B795" s="18"/>
    </row>
    <row r="796">
      <c r="A796" s="17"/>
      <c r="B796" s="18"/>
    </row>
    <row r="797">
      <c r="A797" s="17"/>
      <c r="B797" s="18"/>
    </row>
    <row r="798">
      <c r="A798" s="17"/>
      <c r="B798" s="18"/>
    </row>
    <row r="799">
      <c r="A799" s="17"/>
      <c r="B799" s="18"/>
    </row>
    <row r="800">
      <c r="A800" s="17"/>
      <c r="B800" s="18"/>
    </row>
    <row r="801">
      <c r="A801" s="17"/>
      <c r="B801" s="18"/>
    </row>
    <row r="802">
      <c r="A802" s="17"/>
      <c r="B802" s="18"/>
    </row>
    <row r="803">
      <c r="A803" s="17"/>
      <c r="B803" s="18"/>
    </row>
    <row r="804">
      <c r="A804" s="17"/>
      <c r="B804" s="18"/>
    </row>
    <row r="805">
      <c r="A805" s="17"/>
      <c r="B805" s="18"/>
    </row>
    <row r="806">
      <c r="A806" s="17"/>
      <c r="B806" s="18"/>
    </row>
    <row r="807">
      <c r="A807" s="17"/>
      <c r="B807" s="18"/>
    </row>
    <row r="808">
      <c r="A808" s="17"/>
      <c r="B808" s="18"/>
    </row>
    <row r="809">
      <c r="A809" s="17"/>
      <c r="B809" s="18"/>
    </row>
    <row r="810">
      <c r="A810" s="17"/>
      <c r="B810" s="18"/>
    </row>
    <row r="811">
      <c r="A811" s="17"/>
      <c r="B811" s="18"/>
    </row>
    <row r="812">
      <c r="A812" s="17"/>
      <c r="B812" s="18"/>
    </row>
    <row r="813">
      <c r="A813" s="17"/>
      <c r="B813" s="18"/>
    </row>
    <row r="814">
      <c r="A814" s="17"/>
      <c r="B814" s="18"/>
    </row>
    <row r="815">
      <c r="A815" s="17"/>
      <c r="B815" s="18"/>
    </row>
    <row r="816">
      <c r="A816" s="17"/>
      <c r="B816" s="18"/>
    </row>
    <row r="817">
      <c r="A817" s="17"/>
      <c r="B817" s="18"/>
    </row>
    <row r="818">
      <c r="A818" s="17"/>
      <c r="B818" s="18"/>
    </row>
    <row r="819">
      <c r="A819" s="17"/>
      <c r="B819" s="18"/>
    </row>
    <row r="820">
      <c r="A820" s="17"/>
      <c r="B820" s="18"/>
    </row>
    <row r="821">
      <c r="A821" s="17"/>
      <c r="B821" s="18"/>
    </row>
    <row r="822">
      <c r="A822" s="17"/>
      <c r="B822" s="18"/>
    </row>
    <row r="823">
      <c r="A823" s="17"/>
      <c r="B823" s="18"/>
    </row>
    <row r="824">
      <c r="A824" s="17"/>
      <c r="B824" s="18"/>
    </row>
    <row r="825">
      <c r="A825" s="17"/>
      <c r="B825" s="18"/>
    </row>
    <row r="826">
      <c r="A826" s="17"/>
      <c r="B826" s="18"/>
    </row>
    <row r="827">
      <c r="A827" s="17"/>
      <c r="B827" s="18"/>
    </row>
    <row r="828">
      <c r="A828" s="17"/>
      <c r="B828" s="18"/>
    </row>
    <row r="829">
      <c r="A829" s="17"/>
      <c r="B829" s="18"/>
    </row>
    <row r="830">
      <c r="A830" s="17"/>
      <c r="B830" s="18"/>
    </row>
    <row r="831">
      <c r="A831" s="17"/>
      <c r="B831" s="18"/>
    </row>
    <row r="832">
      <c r="A832" s="17"/>
      <c r="B832" s="18"/>
    </row>
    <row r="833">
      <c r="A833" s="17"/>
      <c r="B833" s="18"/>
    </row>
    <row r="834">
      <c r="A834" s="17"/>
      <c r="B834" s="18"/>
    </row>
    <row r="835">
      <c r="A835" s="17"/>
      <c r="B835" s="18"/>
    </row>
    <row r="836">
      <c r="A836" s="17"/>
      <c r="B836" s="18"/>
    </row>
    <row r="837">
      <c r="A837" s="17"/>
      <c r="B837" s="18"/>
    </row>
    <row r="838">
      <c r="A838" s="17"/>
      <c r="B838" s="18"/>
    </row>
    <row r="839">
      <c r="A839" s="17"/>
      <c r="B839" s="18"/>
    </row>
    <row r="840">
      <c r="A840" s="17"/>
      <c r="B840" s="18"/>
    </row>
    <row r="841">
      <c r="A841" s="17"/>
      <c r="B841" s="18"/>
    </row>
    <row r="842">
      <c r="A842" s="17"/>
      <c r="B842" s="18"/>
    </row>
    <row r="843">
      <c r="A843" s="17"/>
      <c r="B843" s="18"/>
    </row>
    <row r="844">
      <c r="A844" s="17"/>
      <c r="B844" s="18"/>
    </row>
    <row r="845">
      <c r="A845" s="17"/>
      <c r="B845" s="18"/>
    </row>
    <row r="846">
      <c r="A846" s="17"/>
      <c r="B846" s="18"/>
    </row>
    <row r="847">
      <c r="A847" s="17"/>
      <c r="B847" s="18"/>
    </row>
    <row r="848">
      <c r="A848" s="17"/>
      <c r="B848" s="18"/>
    </row>
    <row r="849">
      <c r="A849" s="17"/>
      <c r="B849" s="18"/>
    </row>
    <row r="850">
      <c r="A850" s="17"/>
      <c r="B850" s="18"/>
    </row>
    <row r="851">
      <c r="A851" s="17"/>
      <c r="B851" s="18"/>
    </row>
    <row r="852">
      <c r="A852" s="17"/>
      <c r="B852" s="18"/>
    </row>
    <row r="853">
      <c r="A853" s="17"/>
      <c r="B853" s="18"/>
    </row>
    <row r="854">
      <c r="A854" s="17"/>
      <c r="B854" s="18"/>
    </row>
    <row r="855">
      <c r="A855" s="17"/>
      <c r="B855" s="18"/>
    </row>
    <row r="856">
      <c r="A856" s="17"/>
      <c r="B856" s="18"/>
    </row>
    <row r="857">
      <c r="A857" s="17"/>
      <c r="B857" s="18"/>
    </row>
    <row r="858">
      <c r="A858" s="17"/>
      <c r="B858" s="18"/>
    </row>
    <row r="859">
      <c r="A859" s="17"/>
      <c r="B859" s="18"/>
    </row>
    <row r="860">
      <c r="A860" s="17"/>
      <c r="B860" s="18"/>
    </row>
    <row r="861">
      <c r="A861" s="17"/>
      <c r="B861" s="18"/>
    </row>
    <row r="862">
      <c r="A862" s="17"/>
      <c r="B862" s="18"/>
    </row>
    <row r="863">
      <c r="A863" s="17"/>
      <c r="B863" s="18"/>
    </row>
    <row r="864">
      <c r="A864" s="17"/>
      <c r="B864" s="18"/>
    </row>
    <row r="865">
      <c r="A865" s="17"/>
      <c r="B865" s="18"/>
    </row>
    <row r="866">
      <c r="A866" s="17"/>
      <c r="B866" s="18"/>
    </row>
    <row r="867">
      <c r="A867" s="17"/>
      <c r="B867" s="18"/>
    </row>
    <row r="868">
      <c r="A868" s="17"/>
      <c r="B868" s="18"/>
    </row>
    <row r="869">
      <c r="A869" s="17"/>
      <c r="B869" s="18"/>
    </row>
    <row r="870">
      <c r="A870" s="17"/>
      <c r="B870" s="18"/>
    </row>
    <row r="871">
      <c r="A871" s="17"/>
      <c r="B871" s="18"/>
    </row>
    <row r="872">
      <c r="A872" s="17"/>
      <c r="B872" s="18"/>
    </row>
    <row r="873">
      <c r="A873" s="17"/>
      <c r="B873" s="18"/>
    </row>
    <row r="874">
      <c r="A874" s="17"/>
      <c r="B874" s="18"/>
    </row>
    <row r="875">
      <c r="A875" s="17"/>
      <c r="B875" s="18"/>
    </row>
    <row r="876">
      <c r="A876" s="17"/>
      <c r="B876" s="18"/>
    </row>
    <row r="877">
      <c r="A877" s="17"/>
      <c r="B877" s="18"/>
    </row>
    <row r="878">
      <c r="A878" s="17"/>
      <c r="B878" s="18"/>
    </row>
    <row r="879">
      <c r="A879" s="17"/>
      <c r="B879" s="18"/>
    </row>
    <row r="880">
      <c r="A880" s="17"/>
      <c r="B880" s="18"/>
    </row>
    <row r="881">
      <c r="A881" s="17"/>
      <c r="B881" s="18"/>
    </row>
    <row r="882">
      <c r="A882" s="17"/>
      <c r="B882" s="18"/>
    </row>
    <row r="883">
      <c r="A883" s="17"/>
      <c r="B883" s="18"/>
    </row>
    <row r="884">
      <c r="A884" s="17"/>
      <c r="B884" s="18"/>
    </row>
    <row r="885">
      <c r="A885" s="17"/>
      <c r="B885" s="18"/>
    </row>
    <row r="886">
      <c r="A886" s="17"/>
      <c r="B886" s="18"/>
    </row>
    <row r="887">
      <c r="A887" s="17"/>
      <c r="B887" s="18"/>
    </row>
    <row r="888">
      <c r="A888" s="17"/>
      <c r="B888" s="18"/>
    </row>
    <row r="889">
      <c r="A889" s="17"/>
      <c r="B889" s="18"/>
    </row>
    <row r="890">
      <c r="A890" s="17"/>
      <c r="B890" s="18"/>
    </row>
    <row r="891">
      <c r="A891" s="17"/>
      <c r="B891" s="18"/>
    </row>
    <row r="892">
      <c r="A892" s="17"/>
      <c r="B892" s="18"/>
    </row>
    <row r="893">
      <c r="A893" s="17"/>
      <c r="B893" s="18"/>
    </row>
    <row r="894">
      <c r="A894" s="17"/>
      <c r="B894" s="18"/>
    </row>
    <row r="895">
      <c r="A895" s="17"/>
      <c r="B895" s="18"/>
    </row>
    <row r="896">
      <c r="A896" s="17"/>
      <c r="B896" s="18"/>
    </row>
    <row r="897">
      <c r="A897" s="17"/>
      <c r="B897" s="18"/>
    </row>
    <row r="898">
      <c r="A898" s="17"/>
      <c r="B898" s="18"/>
    </row>
    <row r="899">
      <c r="A899" s="17"/>
      <c r="B899" s="18"/>
    </row>
    <row r="900">
      <c r="A900" s="17"/>
      <c r="B900" s="18"/>
    </row>
    <row r="901">
      <c r="A901" s="17"/>
      <c r="B901" s="18"/>
    </row>
    <row r="902">
      <c r="A902" s="17"/>
      <c r="B902" s="18"/>
    </row>
    <row r="903">
      <c r="A903" s="17"/>
      <c r="B903" s="18"/>
    </row>
    <row r="904">
      <c r="A904" s="17"/>
      <c r="B904" s="18"/>
    </row>
    <row r="905">
      <c r="A905" s="17"/>
      <c r="B905" s="18"/>
    </row>
    <row r="906">
      <c r="A906" s="17"/>
      <c r="B906" s="18"/>
    </row>
    <row r="907">
      <c r="A907" s="17"/>
      <c r="B907" s="18"/>
    </row>
    <row r="908">
      <c r="A908" s="17"/>
      <c r="B908" s="18"/>
    </row>
    <row r="909">
      <c r="A909" s="17"/>
      <c r="B909" s="18"/>
    </row>
    <row r="910">
      <c r="A910" s="17"/>
      <c r="B910" s="18"/>
    </row>
    <row r="911">
      <c r="A911" s="17"/>
      <c r="B911" s="18"/>
    </row>
    <row r="912">
      <c r="A912" s="17"/>
      <c r="B912" s="18"/>
    </row>
    <row r="913">
      <c r="A913" s="17"/>
      <c r="B913" s="18"/>
    </row>
    <row r="914">
      <c r="A914" s="17"/>
      <c r="B914" s="18"/>
    </row>
    <row r="915">
      <c r="A915" s="17"/>
      <c r="B915" s="18"/>
    </row>
    <row r="916">
      <c r="A916" s="17"/>
      <c r="B916" s="18"/>
    </row>
    <row r="917">
      <c r="A917" s="17"/>
      <c r="B917" s="18"/>
    </row>
    <row r="918">
      <c r="A918" s="17"/>
      <c r="B918" s="18"/>
    </row>
    <row r="919">
      <c r="A919" s="17"/>
      <c r="B919" s="18"/>
    </row>
    <row r="920">
      <c r="A920" s="17"/>
      <c r="B920" s="18"/>
    </row>
    <row r="921">
      <c r="A921" s="17"/>
      <c r="B921" s="18"/>
    </row>
    <row r="922">
      <c r="A922" s="17"/>
      <c r="B922" s="18"/>
    </row>
    <row r="923">
      <c r="A923" s="17"/>
      <c r="B923" s="18"/>
    </row>
    <row r="924">
      <c r="A924" s="17"/>
      <c r="B924" s="18"/>
    </row>
    <row r="925">
      <c r="A925" s="17"/>
      <c r="B925" s="18"/>
    </row>
    <row r="926">
      <c r="A926" s="17"/>
      <c r="B926" s="18"/>
    </row>
    <row r="927">
      <c r="A927" s="17"/>
      <c r="B927" s="18"/>
    </row>
    <row r="928">
      <c r="A928" s="17"/>
      <c r="B928" s="18"/>
    </row>
    <row r="929">
      <c r="A929" s="17"/>
      <c r="B929" s="18"/>
    </row>
    <row r="930">
      <c r="A930" s="17"/>
      <c r="B930" s="18"/>
    </row>
    <row r="931">
      <c r="A931" s="17"/>
      <c r="B931" s="18"/>
    </row>
    <row r="932">
      <c r="A932" s="17"/>
      <c r="B932" s="18"/>
    </row>
    <row r="933">
      <c r="A933" s="17"/>
      <c r="B933" s="18"/>
    </row>
    <row r="934">
      <c r="A934" s="17"/>
      <c r="B934" s="18"/>
    </row>
    <row r="935">
      <c r="A935" s="17"/>
      <c r="B935" s="18"/>
    </row>
    <row r="936">
      <c r="A936" s="17"/>
      <c r="B936" s="18"/>
    </row>
    <row r="937">
      <c r="A937" s="17"/>
      <c r="B937" s="18"/>
    </row>
    <row r="938">
      <c r="A938" s="17"/>
      <c r="B938" s="18"/>
    </row>
    <row r="939">
      <c r="A939" s="17"/>
      <c r="B939" s="18"/>
    </row>
    <row r="940">
      <c r="A940" s="17"/>
      <c r="B940" s="18"/>
    </row>
    <row r="941">
      <c r="A941" s="17"/>
      <c r="B941" s="18"/>
    </row>
    <row r="942">
      <c r="A942" s="17"/>
      <c r="B942" s="18"/>
    </row>
    <row r="943">
      <c r="A943" s="17"/>
      <c r="B943" s="18"/>
    </row>
    <row r="944">
      <c r="A944" s="17"/>
      <c r="B944" s="18"/>
    </row>
    <row r="945">
      <c r="A945" s="17"/>
      <c r="B945" s="18"/>
    </row>
    <row r="946">
      <c r="A946" s="17"/>
      <c r="B946" s="18"/>
    </row>
    <row r="947">
      <c r="A947" s="17"/>
      <c r="B947" s="18"/>
    </row>
    <row r="948">
      <c r="A948" s="17"/>
      <c r="B948" s="18"/>
    </row>
    <row r="949">
      <c r="A949" s="17"/>
      <c r="B949" s="18"/>
    </row>
    <row r="950">
      <c r="A950" s="17"/>
      <c r="B950" s="18"/>
    </row>
    <row r="951">
      <c r="A951" s="17"/>
      <c r="B951" s="18"/>
    </row>
    <row r="952">
      <c r="A952" s="17"/>
      <c r="B952" s="18"/>
    </row>
    <row r="953">
      <c r="A953" s="17"/>
      <c r="B953" s="18"/>
    </row>
    <row r="954">
      <c r="A954" s="17"/>
      <c r="B954" s="18"/>
    </row>
    <row r="955">
      <c r="A955" s="17"/>
      <c r="B955" s="18"/>
    </row>
    <row r="956">
      <c r="A956" s="17"/>
      <c r="B956" s="18"/>
    </row>
    <row r="957">
      <c r="A957" s="17"/>
      <c r="B957" s="18"/>
    </row>
    <row r="958">
      <c r="A958" s="17"/>
      <c r="B958" s="18"/>
    </row>
    <row r="959">
      <c r="A959" s="17"/>
      <c r="B959" s="18"/>
    </row>
    <row r="960">
      <c r="A960" s="17"/>
      <c r="B960" s="18"/>
    </row>
    <row r="961">
      <c r="A961" s="17"/>
      <c r="B961" s="18"/>
    </row>
    <row r="962">
      <c r="A962" s="17"/>
      <c r="B962" s="18"/>
    </row>
    <row r="963">
      <c r="A963" s="17"/>
      <c r="B963" s="18"/>
    </row>
    <row r="964">
      <c r="A964" s="17"/>
      <c r="B964" s="18"/>
    </row>
    <row r="965">
      <c r="A965" s="17"/>
      <c r="B965" s="18"/>
    </row>
    <row r="966">
      <c r="A966" s="17"/>
      <c r="B966" s="18"/>
    </row>
    <row r="967">
      <c r="A967" s="17"/>
      <c r="B967" s="18"/>
    </row>
    <row r="968">
      <c r="A968" s="17"/>
      <c r="B968" s="18"/>
    </row>
    <row r="969">
      <c r="A969" s="17"/>
      <c r="B969" s="18"/>
    </row>
    <row r="970">
      <c r="A970" s="17"/>
      <c r="B970" s="18"/>
    </row>
    <row r="971">
      <c r="A971" s="17"/>
      <c r="B971" s="18"/>
    </row>
    <row r="972">
      <c r="A972" s="17"/>
      <c r="B972" s="18"/>
    </row>
    <row r="973">
      <c r="A973" s="17"/>
      <c r="B973" s="18"/>
    </row>
    <row r="974">
      <c r="A974" s="17"/>
      <c r="B974" s="18"/>
    </row>
    <row r="975">
      <c r="A975" s="17"/>
      <c r="B975" s="18"/>
    </row>
    <row r="976">
      <c r="A976" s="17"/>
      <c r="B976" s="18"/>
    </row>
    <row r="977">
      <c r="A977" s="17"/>
      <c r="B977" s="18"/>
    </row>
    <row r="978">
      <c r="A978" s="17"/>
      <c r="B978" s="18"/>
    </row>
    <row r="979">
      <c r="A979" s="17"/>
      <c r="B979" s="18"/>
    </row>
    <row r="980">
      <c r="A980" s="17"/>
      <c r="B980" s="18"/>
    </row>
    <row r="981">
      <c r="A981" s="17"/>
      <c r="B981" s="18"/>
    </row>
    <row r="982">
      <c r="A982" s="17"/>
      <c r="B982" s="18"/>
    </row>
    <row r="983">
      <c r="A983" s="17"/>
      <c r="B983" s="18"/>
    </row>
    <row r="984">
      <c r="A984" s="17"/>
      <c r="B984" s="18"/>
    </row>
    <row r="985">
      <c r="A985" s="17"/>
      <c r="B985" s="18"/>
    </row>
    <row r="986">
      <c r="A986" s="17"/>
      <c r="B986" s="18"/>
    </row>
    <row r="987">
      <c r="A987" s="17"/>
      <c r="B987" s="18"/>
    </row>
    <row r="988">
      <c r="A988" s="17"/>
      <c r="B988" s="18"/>
    </row>
    <row r="989">
      <c r="A989" s="17"/>
      <c r="B989" s="18"/>
    </row>
    <row r="990">
      <c r="A990" s="17"/>
      <c r="B990" s="18"/>
    </row>
    <row r="991">
      <c r="A991" s="17"/>
      <c r="B991" s="18"/>
    </row>
    <row r="992">
      <c r="A992" s="17"/>
      <c r="B992" s="18"/>
    </row>
    <row r="993">
      <c r="A993" s="17"/>
      <c r="B993" s="18"/>
    </row>
    <row r="994">
      <c r="A994" s="17"/>
      <c r="B994" s="18"/>
    </row>
    <row r="995">
      <c r="A995" s="17"/>
      <c r="B995" s="18"/>
    </row>
    <row r="996">
      <c r="A996" s="17"/>
      <c r="B996" s="18"/>
    </row>
    <row r="997">
      <c r="A997" s="17"/>
      <c r="B997" s="18"/>
    </row>
    <row r="998">
      <c r="A998" s="17"/>
      <c r="B998" s="18"/>
    </row>
    <row r="999">
      <c r="A999" s="17"/>
      <c r="B999" s="18"/>
    </row>
    <row r="1000">
      <c r="A1000" s="17"/>
      <c r="B1000" s="18"/>
    </row>
    <row r="1001">
      <c r="A1001" s="17"/>
      <c r="B1001" s="18"/>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1"/>
      <c r="B1" s="42" t="s">
        <v>6883</v>
      </c>
      <c r="C1" s="43" t="s">
        <v>6901</v>
      </c>
      <c r="D1" s="43" t="s">
        <v>6914</v>
      </c>
      <c r="E1" s="43" t="s">
        <v>6930</v>
      </c>
      <c r="F1" s="43" t="s">
        <v>6943</v>
      </c>
      <c r="G1" s="43" t="s">
        <v>6956</v>
      </c>
    </row>
    <row r="2">
      <c r="A2" s="14" t="s">
        <v>6883</v>
      </c>
      <c r="B2" s="44">
        <f>_xlfn.COVARIANCE.P(Reliance!K3:K496,Reliance!K3:K496)</f>
        <v>0.0001732365427</v>
      </c>
      <c r="C2" s="45">
        <f>_xlfn.COVARIANCE.P(Reliance!K3:K496,TCS!K3:K496)</f>
        <v>0.00005006757123</v>
      </c>
      <c r="D2" s="45">
        <f>_xlfn.COVARIANCE.P(Reliance!K3:K496,INFY!K3:K496)</f>
        <v>0.00004809996816</v>
      </c>
      <c r="E2" s="45">
        <f>_xlfn.COVARIANCE.P(Reliance!K3:K496,HDFCBANK!K3:K496)</f>
        <v>0.00008746237487</v>
      </c>
      <c r="F2" s="45">
        <f>_xlfn.COVARIANCE.P(Reliance!K3:K496,ICICIBANK!K3:K496)</f>
        <v>0.00004469799355</v>
      </c>
      <c r="G2" s="45">
        <f>_xlfn.COVARIANCE.P(Reliance!K3:K496,ITC!K3:K496)</f>
        <v>0.00005351747335</v>
      </c>
    </row>
    <row r="3">
      <c r="A3" s="14" t="s">
        <v>6901</v>
      </c>
      <c r="B3" s="44">
        <f>_xlfn.COVARIANCE.P(TCS!K3:K496,Reliance!K3:K496)</f>
        <v>0.00005006757123</v>
      </c>
      <c r="C3" s="45">
        <f>_xlfn.COVARIANCE.P(TCS!K3:K496,TCS!K3:K496)</f>
        <v>0.0002328125674</v>
      </c>
      <c r="D3" s="45">
        <f>_xlfn.COVARIANCE.P(TCS!K3:K496,INFY!K3:K496)</f>
        <v>0.0002042505748</v>
      </c>
      <c r="E3" s="45">
        <f>_xlfn.COVARIANCE.P(TCS!K3:K496,HDFCBANK!K3:K496)</f>
        <v>0.00003081418755</v>
      </c>
      <c r="F3" s="45">
        <f>_xlfn.COVARIANCE.P(TCS!K3:K496,ICICIBANK!K3:K496)</f>
        <v>0.00003267828309</v>
      </c>
      <c r="G3" s="45">
        <f>_xlfn.COVARIANCE.P(TCS!K3:K496,ITC!K3:K496)</f>
        <v>0.00003789818398</v>
      </c>
    </row>
    <row r="4">
      <c r="A4" s="14" t="s">
        <v>6914</v>
      </c>
      <c r="B4" s="44">
        <f>_xlfn.COVARIANCE.P(INFY!K3:K496,Reliance!K3:K496)</f>
        <v>0.00004809996816</v>
      </c>
      <c r="C4" s="45">
        <f>_xlfn.COVARIANCE.P(INFY!K3:K496,TCS!K3:K496)</f>
        <v>0.0002042505748</v>
      </c>
      <c r="D4" s="45">
        <f>_xlfn.COVARIANCE.P(INFY!K3:K496,INFY!K3:K496)</f>
        <v>0.0003055750955</v>
      </c>
      <c r="E4" s="45">
        <f>_xlfn.COVARIANCE.P(INFY!K3:K496,HDFCBANK!K3:K496)</f>
        <v>0.00003961829893</v>
      </c>
      <c r="F4" s="45">
        <f>_xlfn.COVARIANCE.P(INFY!K3:K496,ICICIBANK!K3:K496)</f>
        <v>0.00003380999137</v>
      </c>
      <c r="G4" s="45">
        <f>_xlfn.COVARIANCE.P(INFY!K3:K496,ITC!K3:K496)</f>
        <v>0.00002573238374</v>
      </c>
      <c r="H4" s="47"/>
    </row>
    <row r="5">
      <c r="A5" s="14" t="s">
        <v>6930</v>
      </c>
      <c r="B5" s="44">
        <f>_xlfn.COVARIANCE.P(HDFCBANK!K3:K496,Reliance!K3:K496)</f>
        <v>0.00008746237487</v>
      </c>
      <c r="C5" s="45">
        <f>_xlfn.COVARIANCE.P(HDFCBANK!K3:K496,TCS!K3:K496)</f>
        <v>0.00003081418755</v>
      </c>
      <c r="D5" s="45">
        <f>_xlfn.COVARIANCE.P(HDFCBANK!K3:K496,INFY!K3:K496)</f>
        <v>0.00003961829893</v>
      </c>
      <c r="E5" s="45">
        <f>_xlfn.COVARIANCE.P(HDFCBANK!K3:K496,HDFCBANK!K3:K496)</f>
        <v>0.0006676592818</v>
      </c>
      <c r="F5" s="45">
        <f>_xlfn.COVARIANCE.P(HDFCBANK!K3:K496,ICICIBANK!K3:K496)</f>
        <v>0.00009272584341</v>
      </c>
      <c r="G5" s="45">
        <f>_xlfn.COVARIANCE.P(HDFCBANK!K3:K496,ITC!K3:K496)</f>
        <v>0.00003268230806</v>
      </c>
    </row>
    <row r="6">
      <c r="A6" s="14" t="s">
        <v>6943</v>
      </c>
      <c r="B6" s="44">
        <f>_xlfn.COVARIANCE.P(ICICIBANK!K3:K496,Reliance!K3:K496)</f>
        <v>0.00004469799355</v>
      </c>
      <c r="C6" s="45">
        <f>_xlfn.COVARIANCE.P(ICICIBANK!K3:K496,TCS!K3:K496)</f>
        <v>0.00003267828309</v>
      </c>
      <c r="D6" s="45">
        <f>_xlfn.COVARIANCE.P(ICICIBANK!K3:K496,INFY!K3:K496)</f>
        <v>0.00003380999137</v>
      </c>
      <c r="E6" s="45">
        <f>_xlfn.COVARIANCE.P(ICICIBANK!K3:K496,HDFCBANK!K3:K496)</f>
        <v>0.00009272584341</v>
      </c>
      <c r="F6" s="45">
        <f>_xlfn.COVARIANCE.P(ICICIBANK!K3:K496,ICICIBANK!K3:K496)</f>
        <v>0.0001375435973</v>
      </c>
      <c r="G6" s="45">
        <f>_xlfn.COVARIANCE.P(ICICIBANK!K3:K496,ITC!K3:K496)</f>
        <v>0.00003536885759</v>
      </c>
    </row>
    <row r="7">
      <c r="A7" s="14" t="s">
        <v>6956</v>
      </c>
      <c r="B7" s="44">
        <f>_xlfn.COVARIANCE.P(ITC!K3:K496,Reliance!K3:K496)</f>
        <v>0.00005351747335</v>
      </c>
      <c r="C7" s="45">
        <f>_xlfn.COVARIANCE.P(ITC!K3:K496,TCS!K3:K496)</f>
        <v>0.00003789818398</v>
      </c>
      <c r="D7" s="45">
        <f>_xlfn.COVARIANCE.P(ITC!K3:K496,INFY!K3:K496)</f>
        <v>0.00002573238374</v>
      </c>
      <c r="E7" s="45">
        <f>_xlfn.COVARIANCE.P(ITC!K3:K496,HDFCBANK!K3:K496)</f>
        <v>0.00003268230806</v>
      </c>
      <c r="F7" s="45">
        <f>_xlfn.COVARIANCE.P(ITC!K3:K496,ICICIBANK!K3:K496)</f>
        <v>0.00003536885759</v>
      </c>
      <c r="G7" s="45">
        <f>_xlfn.COVARIANCE.P(ITC!K3:K496,ITC!K3:K496)</f>
        <v>0.0001477111235</v>
      </c>
    </row>
    <row r="8">
      <c r="B8" s="48"/>
      <c r="C8" s="45"/>
      <c r="D8" s="45"/>
      <c r="E8" s="45"/>
      <c r="F8" s="45"/>
      <c r="G8" s="45"/>
    </row>
    <row r="9">
      <c r="B9" s="44"/>
      <c r="C9" s="45"/>
      <c r="D9" s="45"/>
      <c r="E9" s="45"/>
      <c r="F9" s="45"/>
      <c r="G9" s="45"/>
    </row>
    <row r="10">
      <c r="B10" s="44"/>
      <c r="C10" s="45"/>
      <c r="D10" s="45"/>
      <c r="E10" s="45"/>
      <c r="F10" s="45"/>
      <c r="G10" s="45"/>
    </row>
    <row r="11">
      <c r="B11" s="44"/>
      <c r="C11" s="45"/>
      <c r="D11" s="45"/>
      <c r="E11" s="45"/>
      <c r="F11" s="45"/>
      <c r="G11" s="45"/>
    </row>
    <row r="12">
      <c r="B12" s="44"/>
      <c r="C12" s="45"/>
      <c r="D12" s="45"/>
      <c r="E12" s="45"/>
      <c r="F12" s="45"/>
      <c r="G12" s="45"/>
    </row>
    <row r="13">
      <c r="B13" s="44"/>
      <c r="C13" s="45"/>
      <c r="D13" s="45"/>
      <c r="E13" s="45"/>
      <c r="F13" s="45"/>
      <c r="G13" s="45"/>
    </row>
    <row r="14">
      <c r="B14" s="44"/>
      <c r="C14" s="45"/>
      <c r="D14" s="45"/>
      <c r="E14" s="45"/>
      <c r="F14" s="45"/>
      <c r="G14" s="45"/>
    </row>
    <row r="15">
      <c r="B15" s="44"/>
      <c r="C15" s="45"/>
      <c r="D15" s="45"/>
      <c r="E15" s="45"/>
      <c r="F15" s="45"/>
      <c r="G15" s="45"/>
    </row>
    <row r="16">
      <c r="B16" s="44"/>
      <c r="C16" s="45"/>
      <c r="D16" s="45"/>
      <c r="E16" s="45"/>
      <c r="F16" s="45"/>
      <c r="G16" s="45"/>
    </row>
    <row r="17">
      <c r="B17" s="44"/>
      <c r="C17" s="45"/>
      <c r="D17" s="45"/>
      <c r="E17" s="45"/>
      <c r="F17" s="45"/>
      <c r="G17" s="45"/>
    </row>
    <row r="18">
      <c r="B18" s="44"/>
      <c r="C18" s="45"/>
      <c r="D18" s="45"/>
      <c r="E18" s="45"/>
      <c r="F18" s="45"/>
      <c r="G18" s="45"/>
    </row>
    <row r="19">
      <c r="B19" s="44"/>
      <c r="C19" s="45"/>
      <c r="D19" s="45"/>
      <c r="E19" s="45"/>
      <c r="F19" s="45"/>
      <c r="G19" s="45"/>
    </row>
    <row r="20">
      <c r="B20" s="44"/>
      <c r="C20" s="45"/>
      <c r="D20" s="45"/>
      <c r="E20" s="45"/>
      <c r="F20" s="45"/>
      <c r="G20" s="45"/>
    </row>
    <row r="21">
      <c r="B21" s="44"/>
      <c r="C21" s="45"/>
      <c r="D21" s="45"/>
      <c r="E21" s="45"/>
      <c r="F21" s="45"/>
      <c r="G21" s="45"/>
    </row>
    <row r="22">
      <c r="B22" s="44"/>
      <c r="C22" s="45"/>
      <c r="D22" s="45"/>
      <c r="E22" s="45"/>
      <c r="F22" s="45"/>
      <c r="G22" s="45"/>
    </row>
    <row r="23">
      <c r="B23" s="44"/>
      <c r="C23" s="45"/>
      <c r="D23" s="45"/>
      <c r="E23" s="45"/>
      <c r="F23" s="45"/>
      <c r="G23" s="45"/>
    </row>
    <row r="24">
      <c r="B24" s="44"/>
      <c r="C24" s="45"/>
      <c r="D24" s="45"/>
      <c r="E24" s="45"/>
      <c r="F24" s="45"/>
      <c r="G24" s="45"/>
    </row>
    <row r="25">
      <c r="B25" s="44"/>
      <c r="C25" s="45"/>
      <c r="D25" s="45"/>
      <c r="E25" s="45"/>
      <c r="F25" s="45"/>
      <c r="G25" s="45"/>
    </row>
    <row r="26">
      <c r="B26" s="44"/>
      <c r="C26" s="45"/>
      <c r="D26" s="45"/>
      <c r="E26" s="45"/>
      <c r="F26" s="45"/>
      <c r="G26" s="45"/>
    </row>
    <row r="27">
      <c r="B27" s="44"/>
      <c r="C27" s="45"/>
      <c r="D27" s="45"/>
      <c r="E27" s="45"/>
      <c r="F27" s="45"/>
      <c r="G27" s="45"/>
    </row>
    <row r="28">
      <c r="B28" s="44"/>
      <c r="C28" s="45"/>
      <c r="D28" s="45"/>
      <c r="E28" s="45"/>
      <c r="F28" s="45"/>
      <c r="G28" s="45"/>
    </row>
    <row r="29">
      <c r="B29" s="44"/>
      <c r="C29" s="45"/>
      <c r="D29" s="45"/>
      <c r="E29" s="45"/>
      <c r="F29" s="45"/>
      <c r="G29" s="45"/>
    </row>
    <row r="30">
      <c r="B30" s="44"/>
      <c r="C30" s="45"/>
      <c r="D30" s="45"/>
      <c r="E30" s="45"/>
      <c r="F30" s="45"/>
      <c r="G30" s="45"/>
    </row>
    <row r="31">
      <c r="B31" s="44"/>
      <c r="C31" s="45"/>
      <c r="D31" s="45"/>
      <c r="E31" s="45"/>
      <c r="F31" s="45"/>
      <c r="G31" s="45"/>
    </row>
    <row r="32">
      <c r="B32" s="44"/>
      <c r="C32" s="45"/>
      <c r="D32" s="45"/>
      <c r="E32" s="45"/>
      <c r="F32" s="45"/>
      <c r="G32" s="45"/>
    </row>
    <row r="33">
      <c r="B33" s="44"/>
      <c r="C33" s="45"/>
      <c r="D33" s="45"/>
      <c r="E33" s="45"/>
      <c r="F33" s="45"/>
      <c r="G33" s="45"/>
    </row>
    <row r="34">
      <c r="B34" s="44"/>
      <c r="C34" s="45"/>
      <c r="D34" s="45"/>
      <c r="E34" s="45"/>
      <c r="F34" s="45"/>
      <c r="G34" s="45"/>
    </row>
    <row r="35">
      <c r="B35" s="44"/>
      <c r="C35" s="45"/>
      <c r="D35" s="45"/>
      <c r="E35" s="45"/>
      <c r="F35" s="45"/>
      <c r="G35" s="45"/>
    </row>
    <row r="36">
      <c r="B36" s="44"/>
      <c r="C36" s="45"/>
      <c r="D36" s="45"/>
      <c r="E36" s="45"/>
      <c r="F36" s="45"/>
      <c r="G36" s="45"/>
    </row>
    <row r="37">
      <c r="B37" s="44"/>
      <c r="C37" s="45"/>
      <c r="D37" s="45"/>
      <c r="E37" s="45"/>
      <c r="F37" s="45"/>
      <c r="G37" s="45"/>
    </row>
    <row r="38">
      <c r="B38" s="44"/>
      <c r="C38" s="45"/>
      <c r="D38" s="45"/>
      <c r="E38" s="45"/>
      <c r="F38" s="45"/>
      <c r="G38" s="45"/>
    </row>
    <row r="39">
      <c r="B39" s="44"/>
      <c r="C39" s="45"/>
      <c r="D39" s="45"/>
      <c r="E39" s="45"/>
      <c r="F39" s="45"/>
      <c r="G39" s="45"/>
    </row>
    <row r="40">
      <c r="B40" s="44"/>
      <c r="C40" s="45"/>
      <c r="D40" s="45"/>
      <c r="E40" s="45"/>
      <c r="F40" s="45"/>
      <c r="G40" s="45"/>
    </row>
    <row r="41">
      <c r="B41" s="44"/>
      <c r="C41" s="45"/>
      <c r="D41" s="45"/>
      <c r="E41" s="45"/>
      <c r="F41" s="45"/>
      <c r="G41" s="45"/>
    </row>
    <row r="42">
      <c r="B42" s="44"/>
      <c r="C42" s="45"/>
      <c r="D42" s="45"/>
      <c r="E42" s="45"/>
      <c r="F42" s="45"/>
      <c r="G42" s="45"/>
    </row>
    <row r="43">
      <c r="B43" s="44"/>
      <c r="C43" s="45"/>
      <c r="D43" s="45"/>
      <c r="E43" s="45"/>
      <c r="F43" s="45"/>
      <c r="G43" s="45"/>
    </row>
    <row r="44">
      <c r="B44" s="44"/>
      <c r="C44" s="45"/>
      <c r="D44" s="45"/>
      <c r="E44" s="45"/>
      <c r="F44" s="45"/>
      <c r="G44" s="45"/>
    </row>
    <row r="45">
      <c r="B45" s="44"/>
      <c r="C45" s="45"/>
      <c r="D45" s="45"/>
      <c r="E45" s="45"/>
      <c r="F45" s="45"/>
      <c r="G45" s="45"/>
    </row>
    <row r="46">
      <c r="B46" s="44"/>
      <c r="C46" s="45"/>
      <c r="D46" s="45"/>
      <c r="E46" s="45"/>
      <c r="F46" s="45"/>
      <c r="G46" s="45"/>
    </row>
    <row r="47">
      <c r="B47" s="44"/>
      <c r="C47" s="45"/>
      <c r="D47" s="45"/>
      <c r="E47" s="45"/>
      <c r="F47" s="45"/>
      <c r="G47" s="45"/>
    </row>
    <row r="48">
      <c r="B48" s="44"/>
      <c r="C48" s="45"/>
      <c r="D48" s="45"/>
      <c r="E48" s="45"/>
      <c r="F48" s="45"/>
      <c r="G48" s="45"/>
    </row>
    <row r="49">
      <c r="B49" s="44"/>
      <c r="C49" s="45"/>
      <c r="D49" s="45"/>
      <c r="E49" s="45"/>
      <c r="F49" s="45"/>
      <c r="G49" s="45"/>
    </row>
    <row r="50">
      <c r="B50" s="44"/>
      <c r="C50" s="45"/>
      <c r="D50" s="45"/>
      <c r="E50" s="45"/>
      <c r="F50" s="45"/>
      <c r="G50" s="45"/>
    </row>
    <row r="51">
      <c r="B51" s="44"/>
      <c r="C51" s="45"/>
      <c r="D51" s="45"/>
      <c r="E51" s="45"/>
      <c r="F51" s="45"/>
      <c r="G51" s="45"/>
    </row>
    <row r="52">
      <c r="B52" s="44"/>
      <c r="C52" s="45"/>
      <c r="D52" s="45"/>
      <c r="E52" s="45"/>
      <c r="F52" s="45"/>
      <c r="G52" s="45"/>
    </row>
    <row r="53">
      <c r="B53" s="44"/>
      <c r="C53" s="45"/>
      <c r="D53" s="45"/>
      <c r="E53" s="45"/>
      <c r="F53" s="45"/>
      <c r="G53" s="45"/>
    </row>
    <row r="54">
      <c r="B54" s="44"/>
      <c r="C54" s="45"/>
      <c r="D54" s="45"/>
      <c r="E54" s="45"/>
      <c r="F54" s="45"/>
      <c r="G54" s="45"/>
    </row>
    <row r="55">
      <c r="B55" s="44"/>
      <c r="C55" s="45"/>
      <c r="D55" s="45"/>
      <c r="E55" s="45"/>
      <c r="F55" s="45"/>
      <c r="G55" s="45"/>
    </row>
    <row r="56">
      <c r="B56" s="44"/>
      <c r="C56" s="45"/>
      <c r="D56" s="45"/>
      <c r="E56" s="45"/>
      <c r="F56" s="45"/>
      <c r="G56" s="45"/>
    </row>
    <row r="57">
      <c r="B57" s="44"/>
      <c r="C57" s="45"/>
      <c r="D57" s="45"/>
      <c r="E57" s="45"/>
      <c r="F57" s="45"/>
      <c r="G57" s="45"/>
    </row>
    <row r="58">
      <c r="B58" s="44"/>
      <c r="C58" s="45"/>
      <c r="D58" s="45"/>
      <c r="E58" s="45"/>
      <c r="F58" s="45"/>
      <c r="G58" s="45"/>
    </row>
    <row r="59">
      <c r="B59" s="44"/>
      <c r="C59" s="45"/>
      <c r="D59" s="45"/>
      <c r="E59" s="45"/>
      <c r="F59" s="45"/>
      <c r="G59" s="45"/>
    </row>
    <row r="60">
      <c r="B60" s="44"/>
      <c r="C60" s="45"/>
      <c r="D60" s="45"/>
      <c r="E60" s="45"/>
      <c r="F60" s="45"/>
      <c r="G60" s="45"/>
    </row>
    <row r="61">
      <c r="B61" s="44"/>
      <c r="C61" s="45"/>
      <c r="D61" s="45"/>
      <c r="E61" s="45"/>
      <c r="F61" s="45"/>
      <c r="G61" s="45"/>
    </row>
    <row r="62">
      <c r="B62" s="44"/>
      <c r="C62" s="45"/>
      <c r="D62" s="45"/>
      <c r="E62" s="45"/>
      <c r="F62" s="45"/>
      <c r="G62" s="45"/>
    </row>
    <row r="63">
      <c r="B63" s="44"/>
      <c r="C63" s="45"/>
      <c r="D63" s="45"/>
      <c r="E63" s="45"/>
      <c r="F63" s="45"/>
      <c r="G63" s="45"/>
    </row>
    <row r="64">
      <c r="B64" s="44"/>
      <c r="C64" s="45"/>
      <c r="D64" s="45"/>
      <c r="E64" s="45"/>
      <c r="F64" s="45"/>
      <c r="G64" s="45"/>
    </row>
    <row r="65">
      <c r="B65" s="44"/>
      <c r="C65" s="45"/>
      <c r="D65" s="45"/>
      <c r="E65" s="45"/>
      <c r="F65" s="45"/>
      <c r="G65" s="45"/>
    </row>
    <row r="66">
      <c r="B66" s="44"/>
      <c r="C66" s="45"/>
      <c r="D66" s="45"/>
      <c r="E66" s="45"/>
      <c r="F66" s="45"/>
      <c r="G66" s="45"/>
    </row>
    <row r="67">
      <c r="B67" s="44"/>
      <c r="C67" s="45"/>
      <c r="D67" s="45"/>
      <c r="E67" s="45"/>
      <c r="F67" s="45"/>
      <c r="G67" s="45"/>
    </row>
    <row r="68">
      <c r="B68" s="44"/>
      <c r="C68" s="45"/>
      <c r="D68" s="45"/>
      <c r="E68" s="45"/>
      <c r="F68" s="45"/>
      <c r="G68" s="45"/>
    </row>
    <row r="69">
      <c r="B69" s="44"/>
      <c r="C69" s="45"/>
      <c r="D69" s="45"/>
      <c r="E69" s="45"/>
      <c r="F69" s="45"/>
      <c r="G69" s="45"/>
    </row>
    <row r="70">
      <c r="B70" s="44"/>
      <c r="C70" s="45"/>
      <c r="D70" s="45"/>
      <c r="E70" s="45"/>
      <c r="F70" s="45"/>
      <c r="G70" s="45"/>
    </row>
    <row r="71">
      <c r="B71" s="44"/>
      <c r="C71" s="45"/>
      <c r="D71" s="45"/>
      <c r="E71" s="45"/>
      <c r="F71" s="45"/>
      <c r="G71" s="45"/>
    </row>
    <row r="72">
      <c r="B72" s="44"/>
      <c r="C72" s="45"/>
      <c r="D72" s="45"/>
      <c r="E72" s="45"/>
      <c r="F72" s="45"/>
      <c r="G72" s="45"/>
    </row>
    <row r="73">
      <c r="B73" s="44"/>
      <c r="C73" s="45"/>
      <c r="D73" s="45"/>
      <c r="E73" s="45"/>
      <c r="F73" s="45"/>
      <c r="G73" s="45"/>
    </row>
    <row r="74">
      <c r="B74" s="44"/>
      <c r="C74" s="45"/>
      <c r="D74" s="45"/>
      <c r="E74" s="45"/>
      <c r="F74" s="45"/>
      <c r="G74" s="45"/>
    </row>
    <row r="75">
      <c r="B75" s="44"/>
      <c r="C75" s="45"/>
      <c r="D75" s="45"/>
      <c r="E75" s="45"/>
      <c r="F75" s="45"/>
      <c r="G75" s="45"/>
    </row>
    <row r="76">
      <c r="B76" s="44"/>
      <c r="C76" s="45"/>
      <c r="D76" s="45"/>
      <c r="E76" s="45"/>
      <c r="F76" s="45"/>
      <c r="G76" s="45"/>
    </row>
    <row r="77">
      <c r="B77" s="44"/>
      <c r="C77" s="45"/>
      <c r="D77" s="45"/>
      <c r="E77" s="45"/>
      <c r="F77" s="45"/>
      <c r="G77" s="45"/>
    </row>
    <row r="78">
      <c r="B78" s="44"/>
      <c r="C78" s="45"/>
      <c r="D78" s="45"/>
      <c r="E78" s="45"/>
      <c r="F78" s="45"/>
      <c r="G78" s="45"/>
    </row>
    <row r="79">
      <c r="B79" s="44"/>
      <c r="C79" s="45"/>
      <c r="D79" s="45"/>
      <c r="E79" s="45"/>
      <c r="F79" s="45"/>
      <c r="G79" s="45"/>
    </row>
    <row r="80">
      <c r="B80" s="44"/>
      <c r="C80" s="45"/>
      <c r="D80" s="45"/>
      <c r="E80" s="45"/>
      <c r="F80" s="45"/>
      <c r="G80" s="45"/>
    </row>
    <row r="81">
      <c r="B81" s="44"/>
      <c r="C81" s="45"/>
      <c r="D81" s="45"/>
      <c r="E81" s="45"/>
      <c r="F81" s="45"/>
      <c r="G81" s="45"/>
    </row>
    <row r="82">
      <c r="B82" s="44"/>
      <c r="C82" s="45"/>
      <c r="D82" s="45"/>
      <c r="E82" s="45"/>
      <c r="F82" s="45"/>
      <c r="G82" s="45"/>
    </row>
    <row r="83">
      <c r="B83" s="44"/>
      <c r="C83" s="45"/>
      <c r="D83" s="45"/>
      <c r="E83" s="45"/>
      <c r="F83" s="45"/>
      <c r="G83" s="45"/>
    </row>
    <row r="84">
      <c r="B84" s="44"/>
      <c r="C84" s="45"/>
      <c r="D84" s="45"/>
      <c r="E84" s="45"/>
      <c r="F84" s="45"/>
      <c r="G84" s="45"/>
    </row>
    <row r="85">
      <c r="B85" s="44"/>
      <c r="C85" s="45"/>
      <c r="D85" s="45"/>
      <c r="E85" s="45"/>
      <c r="F85" s="45"/>
      <c r="G85" s="45"/>
    </row>
    <row r="86">
      <c r="B86" s="44"/>
      <c r="C86" s="45"/>
      <c r="D86" s="45"/>
      <c r="E86" s="45"/>
      <c r="F86" s="45"/>
      <c r="G86" s="45"/>
    </row>
    <row r="87">
      <c r="B87" s="44"/>
      <c r="C87" s="45"/>
      <c r="D87" s="45"/>
      <c r="E87" s="45"/>
      <c r="F87" s="45"/>
      <c r="G87" s="45"/>
    </row>
    <row r="88">
      <c r="B88" s="44"/>
      <c r="C88" s="45"/>
      <c r="D88" s="45"/>
      <c r="E88" s="45"/>
      <c r="F88" s="45"/>
      <c r="G88" s="45"/>
    </row>
    <row r="89">
      <c r="B89" s="44"/>
      <c r="C89" s="45"/>
      <c r="D89" s="45"/>
      <c r="E89" s="45"/>
      <c r="F89" s="45"/>
      <c r="G89" s="45"/>
    </row>
    <row r="90">
      <c r="B90" s="44"/>
      <c r="C90" s="45"/>
      <c r="D90" s="45"/>
      <c r="E90" s="45"/>
      <c r="F90" s="45"/>
      <c r="G90" s="45"/>
    </row>
    <row r="91">
      <c r="B91" s="44"/>
      <c r="C91" s="45"/>
      <c r="D91" s="45"/>
      <c r="E91" s="45"/>
      <c r="F91" s="45"/>
      <c r="G91" s="45"/>
    </row>
    <row r="92">
      <c r="B92" s="44"/>
      <c r="C92" s="45"/>
      <c r="D92" s="45"/>
      <c r="E92" s="45"/>
      <c r="F92" s="45"/>
      <c r="G92" s="45"/>
    </row>
    <row r="93">
      <c r="B93" s="44"/>
      <c r="C93" s="45"/>
      <c r="D93" s="45"/>
      <c r="E93" s="45"/>
      <c r="F93" s="45"/>
      <c r="G93" s="45"/>
    </row>
    <row r="94">
      <c r="B94" s="44"/>
      <c r="C94" s="45"/>
      <c r="D94" s="45"/>
      <c r="E94" s="45"/>
      <c r="F94" s="45"/>
      <c r="G94" s="45"/>
    </row>
    <row r="95">
      <c r="B95" s="44"/>
      <c r="C95" s="45"/>
      <c r="D95" s="45"/>
      <c r="E95" s="45"/>
      <c r="F95" s="45"/>
      <c r="G95" s="45"/>
    </row>
    <row r="96">
      <c r="B96" s="44"/>
      <c r="C96" s="45"/>
      <c r="D96" s="45"/>
      <c r="E96" s="45"/>
      <c r="F96" s="45"/>
      <c r="G96" s="45"/>
    </row>
    <row r="97">
      <c r="B97" s="44"/>
      <c r="C97" s="45"/>
      <c r="D97" s="45"/>
      <c r="E97" s="45"/>
      <c r="F97" s="45"/>
      <c r="G97" s="45"/>
    </row>
    <row r="98">
      <c r="B98" s="44"/>
      <c r="C98" s="45"/>
      <c r="D98" s="45"/>
      <c r="E98" s="45"/>
      <c r="F98" s="45"/>
      <c r="G98" s="45"/>
    </row>
    <row r="99">
      <c r="B99" s="44"/>
      <c r="C99" s="45"/>
      <c r="D99" s="45"/>
      <c r="E99" s="45"/>
      <c r="F99" s="45"/>
      <c r="G99" s="45"/>
    </row>
    <row r="100">
      <c r="B100" s="44"/>
      <c r="C100" s="45"/>
      <c r="D100" s="45"/>
      <c r="E100" s="45"/>
      <c r="F100" s="45"/>
      <c r="G100" s="45"/>
    </row>
    <row r="101">
      <c r="B101" s="44"/>
      <c r="C101" s="45"/>
      <c r="D101" s="45"/>
      <c r="E101" s="45"/>
      <c r="F101" s="45"/>
      <c r="G101" s="45"/>
    </row>
    <row r="102">
      <c r="B102" s="44"/>
      <c r="C102" s="45"/>
      <c r="D102" s="45"/>
      <c r="E102" s="45"/>
      <c r="F102" s="45"/>
      <c r="G102" s="45"/>
    </row>
    <row r="103">
      <c r="B103" s="44"/>
      <c r="C103" s="45"/>
      <c r="D103" s="45"/>
      <c r="E103" s="45"/>
      <c r="F103" s="45"/>
      <c r="G103" s="45"/>
    </row>
    <row r="104">
      <c r="B104" s="44"/>
      <c r="C104" s="45"/>
      <c r="D104" s="45"/>
      <c r="E104" s="45"/>
      <c r="F104" s="45"/>
      <c r="G104" s="45"/>
    </row>
    <row r="105">
      <c r="B105" s="44"/>
      <c r="C105" s="45"/>
      <c r="D105" s="45"/>
      <c r="E105" s="45"/>
      <c r="F105" s="45"/>
      <c r="G105" s="45"/>
    </row>
    <row r="106">
      <c r="B106" s="44"/>
      <c r="C106" s="45"/>
      <c r="D106" s="45"/>
      <c r="E106" s="45"/>
      <c r="F106" s="45"/>
      <c r="G106" s="45"/>
    </row>
    <row r="107">
      <c r="B107" s="44"/>
      <c r="C107" s="45"/>
      <c r="D107" s="45"/>
      <c r="E107" s="45"/>
      <c r="F107" s="45"/>
      <c r="G107" s="45"/>
    </row>
    <row r="108">
      <c r="B108" s="44"/>
      <c r="C108" s="45"/>
      <c r="D108" s="45"/>
      <c r="E108" s="45"/>
      <c r="F108" s="45"/>
      <c r="G108" s="45"/>
    </row>
    <row r="109">
      <c r="B109" s="44"/>
      <c r="C109" s="45"/>
      <c r="D109" s="45"/>
      <c r="E109" s="45"/>
      <c r="F109" s="45"/>
      <c r="G109" s="45"/>
    </row>
    <row r="110">
      <c r="B110" s="44"/>
      <c r="C110" s="45"/>
      <c r="D110" s="45"/>
      <c r="E110" s="45"/>
      <c r="F110" s="45"/>
      <c r="G110" s="45"/>
    </row>
    <row r="111">
      <c r="B111" s="44"/>
      <c r="C111" s="45"/>
      <c r="D111" s="45"/>
      <c r="E111" s="45"/>
      <c r="F111" s="45"/>
      <c r="G111" s="45"/>
    </row>
    <row r="112">
      <c r="B112" s="44"/>
      <c r="C112" s="45"/>
      <c r="D112" s="45"/>
      <c r="E112" s="45"/>
      <c r="F112" s="45"/>
      <c r="G112" s="45"/>
    </row>
    <row r="113">
      <c r="B113" s="44"/>
      <c r="C113" s="45"/>
      <c r="D113" s="45"/>
      <c r="E113" s="45"/>
      <c r="F113" s="45"/>
      <c r="G113" s="45"/>
    </row>
    <row r="114">
      <c r="B114" s="44"/>
      <c r="C114" s="45"/>
      <c r="D114" s="45"/>
      <c r="E114" s="45"/>
      <c r="F114" s="45"/>
      <c r="G114" s="45"/>
    </row>
    <row r="115">
      <c r="B115" s="44"/>
      <c r="C115" s="45"/>
      <c r="D115" s="45"/>
      <c r="E115" s="45"/>
      <c r="F115" s="45"/>
      <c r="G115" s="45"/>
    </row>
    <row r="116">
      <c r="B116" s="44"/>
      <c r="C116" s="45"/>
      <c r="D116" s="45"/>
      <c r="E116" s="45"/>
      <c r="F116" s="45"/>
      <c r="G116" s="45"/>
    </row>
    <row r="117">
      <c r="B117" s="44"/>
      <c r="C117" s="45"/>
      <c r="D117" s="45"/>
      <c r="E117" s="45"/>
      <c r="F117" s="45"/>
      <c r="G117" s="45"/>
    </row>
    <row r="118">
      <c r="B118" s="44"/>
      <c r="C118" s="45"/>
      <c r="D118" s="45"/>
      <c r="E118" s="45"/>
      <c r="F118" s="45"/>
      <c r="G118" s="45"/>
    </row>
    <row r="119">
      <c r="B119" s="44"/>
      <c r="C119" s="45"/>
      <c r="D119" s="45"/>
      <c r="E119" s="45"/>
      <c r="F119" s="45"/>
      <c r="G119" s="45"/>
    </row>
    <row r="120">
      <c r="B120" s="44"/>
      <c r="C120" s="45"/>
      <c r="D120" s="45"/>
      <c r="E120" s="45"/>
      <c r="F120" s="45"/>
      <c r="G120" s="45"/>
    </row>
    <row r="121">
      <c r="B121" s="44"/>
      <c r="C121" s="45"/>
      <c r="D121" s="45"/>
      <c r="E121" s="45"/>
      <c r="F121" s="45"/>
      <c r="G121" s="45"/>
    </row>
    <row r="122">
      <c r="B122" s="44"/>
      <c r="C122" s="45"/>
      <c r="D122" s="45"/>
      <c r="E122" s="45"/>
      <c r="F122" s="45"/>
      <c r="G122" s="45"/>
    </row>
    <row r="123">
      <c r="B123" s="44"/>
      <c r="C123" s="45"/>
      <c r="D123" s="45"/>
      <c r="E123" s="45"/>
      <c r="F123" s="45"/>
      <c r="G123" s="45"/>
    </row>
    <row r="124">
      <c r="B124" s="44"/>
      <c r="C124" s="45"/>
      <c r="D124" s="45"/>
      <c r="E124" s="45"/>
      <c r="F124" s="45"/>
      <c r="G124" s="45"/>
    </row>
    <row r="125">
      <c r="B125" s="44"/>
      <c r="C125" s="45"/>
      <c r="D125" s="45"/>
      <c r="E125" s="45"/>
      <c r="F125" s="45"/>
      <c r="G125" s="45"/>
    </row>
    <row r="126">
      <c r="B126" s="44"/>
      <c r="C126" s="45"/>
      <c r="D126" s="45"/>
      <c r="E126" s="45"/>
      <c r="F126" s="45"/>
      <c r="G126" s="45"/>
    </row>
    <row r="127">
      <c r="B127" s="44"/>
      <c r="C127" s="45"/>
      <c r="D127" s="45"/>
      <c r="E127" s="45"/>
      <c r="F127" s="45"/>
      <c r="G127" s="45"/>
    </row>
    <row r="128">
      <c r="B128" s="44"/>
      <c r="C128" s="45"/>
      <c r="D128" s="45"/>
      <c r="E128" s="45"/>
      <c r="F128" s="45"/>
      <c r="G128" s="45"/>
    </row>
    <row r="129">
      <c r="B129" s="44"/>
      <c r="C129" s="45"/>
      <c r="D129" s="45"/>
      <c r="E129" s="45"/>
      <c r="F129" s="45"/>
      <c r="G129" s="45"/>
    </row>
    <row r="130">
      <c r="B130" s="44"/>
      <c r="C130" s="45"/>
      <c r="D130" s="45"/>
      <c r="E130" s="45"/>
      <c r="F130" s="45"/>
      <c r="G130" s="45"/>
    </row>
    <row r="131">
      <c r="B131" s="44"/>
      <c r="C131" s="45"/>
      <c r="D131" s="45"/>
      <c r="E131" s="45"/>
      <c r="F131" s="45"/>
      <c r="G131" s="45"/>
    </row>
    <row r="132">
      <c r="B132" s="44"/>
      <c r="C132" s="45"/>
      <c r="D132" s="45"/>
      <c r="E132" s="45"/>
      <c r="F132" s="45"/>
      <c r="G132" s="45"/>
    </row>
    <row r="133">
      <c r="B133" s="44"/>
      <c r="C133" s="45"/>
      <c r="D133" s="45"/>
      <c r="E133" s="45"/>
      <c r="F133" s="45"/>
      <c r="G133" s="45"/>
    </row>
    <row r="134">
      <c r="B134" s="44"/>
      <c r="C134" s="45"/>
      <c r="D134" s="45"/>
      <c r="E134" s="45"/>
      <c r="F134" s="45"/>
      <c r="G134" s="45"/>
    </row>
    <row r="135">
      <c r="B135" s="44"/>
      <c r="C135" s="45"/>
      <c r="D135" s="45"/>
      <c r="E135" s="45"/>
      <c r="F135" s="45"/>
      <c r="G135" s="45"/>
    </row>
    <row r="136">
      <c r="B136" s="44"/>
      <c r="C136" s="45"/>
      <c r="D136" s="45"/>
      <c r="E136" s="45"/>
      <c r="F136" s="45"/>
      <c r="G136" s="45"/>
    </row>
    <row r="137">
      <c r="B137" s="44"/>
      <c r="C137" s="45"/>
      <c r="D137" s="45"/>
      <c r="E137" s="45"/>
      <c r="F137" s="45"/>
      <c r="G137" s="45"/>
    </row>
    <row r="138">
      <c r="B138" s="44"/>
      <c r="C138" s="45"/>
      <c r="D138" s="45"/>
      <c r="E138" s="45"/>
      <c r="F138" s="45"/>
      <c r="G138" s="45"/>
    </row>
    <row r="139">
      <c r="B139" s="44"/>
      <c r="C139" s="45"/>
      <c r="D139" s="45"/>
      <c r="E139" s="45"/>
      <c r="F139" s="45"/>
      <c r="G139" s="45"/>
    </row>
    <row r="140">
      <c r="B140" s="44"/>
      <c r="C140" s="45"/>
      <c r="D140" s="45"/>
      <c r="E140" s="45"/>
      <c r="F140" s="45"/>
      <c r="G140" s="45"/>
    </row>
    <row r="141">
      <c r="B141" s="44"/>
      <c r="C141" s="45"/>
      <c r="D141" s="45"/>
      <c r="E141" s="45"/>
      <c r="F141" s="45"/>
      <c r="G141" s="45"/>
    </row>
    <row r="142">
      <c r="B142" s="44"/>
      <c r="C142" s="45"/>
      <c r="D142" s="45"/>
      <c r="E142" s="45"/>
      <c r="F142" s="45"/>
      <c r="G142" s="45"/>
    </row>
    <row r="143">
      <c r="B143" s="44"/>
      <c r="C143" s="45"/>
      <c r="D143" s="45"/>
      <c r="E143" s="45"/>
      <c r="F143" s="45"/>
      <c r="G143" s="45"/>
    </row>
    <row r="144">
      <c r="B144" s="44"/>
      <c r="C144" s="45"/>
      <c r="D144" s="45"/>
      <c r="E144" s="45"/>
      <c r="F144" s="45"/>
      <c r="G144" s="45"/>
    </row>
    <row r="145">
      <c r="B145" s="44"/>
      <c r="C145" s="45"/>
      <c r="D145" s="45"/>
      <c r="E145" s="45"/>
      <c r="F145" s="45"/>
      <c r="G145" s="45"/>
    </row>
    <row r="146">
      <c r="B146" s="44"/>
      <c r="C146" s="45"/>
      <c r="D146" s="45"/>
      <c r="E146" s="45"/>
      <c r="F146" s="45"/>
      <c r="G146" s="45"/>
    </row>
    <row r="147">
      <c r="B147" s="44"/>
      <c r="C147" s="45"/>
      <c r="D147" s="45"/>
      <c r="E147" s="45"/>
      <c r="F147" s="45"/>
      <c r="G147" s="45"/>
    </row>
    <row r="148">
      <c r="B148" s="44"/>
      <c r="C148" s="45"/>
      <c r="D148" s="45"/>
      <c r="E148" s="45"/>
      <c r="F148" s="45"/>
      <c r="G148" s="45"/>
    </row>
    <row r="149">
      <c r="B149" s="44"/>
      <c r="C149" s="45"/>
      <c r="D149" s="45"/>
      <c r="E149" s="45"/>
      <c r="F149" s="45"/>
      <c r="G149" s="45"/>
    </row>
    <row r="150">
      <c r="B150" s="44"/>
      <c r="C150" s="45"/>
      <c r="D150" s="45"/>
      <c r="E150" s="45"/>
      <c r="F150" s="45"/>
      <c r="G150" s="45"/>
    </row>
    <row r="151">
      <c r="B151" s="44"/>
      <c r="C151" s="45"/>
      <c r="D151" s="45"/>
      <c r="E151" s="45"/>
      <c r="F151" s="45"/>
      <c r="G151" s="45"/>
    </row>
    <row r="152">
      <c r="B152" s="44"/>
      <c r="C152" s="45"/>
      <c r="D152" s="45"/>
      <c r="E152" s="45"/>
      <c r="F152" s="45"/>
      <c r="G152" s="45"/>
    </row>
    <row r="153">
      <c r="B153" s="44"/>
      <c r="C153" s="45"/>
      <c r="D153" s="45"/>
      <c r="E153" s="45"/>
      <c r="F153" s="45"/>
      <c r="G153" s="45"/>
    </row>
    <row r="154">
      <c r="B154" s="44"/>
      <c r="C154" s="45"/>
      <c r="D154" s="45"/>
      <c r="E154" s="45"/>
      <c r="F154" s="45"/>
      <c r="G154" s="45"/>
    </row>
    <row r="155">
      <c r="B155" s="44"/>
      <c r="C155" s="45"/>
      <c r="D155" s="45"/>
      <c r="E155" s="45"/>
      <c r="F155" s="45"/>
      <c r="G155" s="45"/>
    </row>
    <row r="156">
      <c r="B156" s="44"/>
      <c r="C156" s="45"/>
      <c r="D156" s="45"/>
      <c r="E156" s="45"/>
      <c r="F156" s="45"/>
      <c r="G156" s="45"/>
    </row>
    <row r="157">
      <c r="B157" s="44"/>
      <c r="C157" s="45"/>
      <c r="D157" s="45"/>
      <c r="E157" s="45"/>
      <c r="F157" s="45"/>
      <c r="G157" s="45"/>
    </row>
    <row r="158">
      <c r="B158" s="44"/>
      <c r="C158" s="45"/>
      <c r="D158" s="45"/>
      <c r="E158" s="45"/>
      <c r="F158" s="45"/>
      <c r="G158" s="45"/>
    </row>
    <row r="159">
      <c r="B159" s="44"/>
      <c r="C159" s="45"/>
      <c r="D159" s="45"/>
      <c r="E159" s="45"/>
      <c r="F159" s="45"/>
      <c r="G159" s="45"/>
    </row>
    <row r="160">
      <c r="B160" s="44"/>
      <c r="C160" s="45"/>
      <c r="D160" s="45"/>
      <c r="E160" s="45"/>
      <c r="F160" s="45"/>
      <c r="G160" s="45"/>
    </row>
    <row r="161">
      <c r="B161" s="44"/>
      <c r="C161" s="45"/>
      <c r="D161" s="45"/>
      <c r="E161" s="45"/>
      <c r="F161" s="45"/>
      <c r="G161" s="45"/>
    </row>
    <row r="162">
      <c r="B162" s="44"/>
      <c r="C162" s="45"/>
      <c r="D162" s="45"/>
      <c r="E162" s="45"/>
      <c r="F162" s="45"/>
      <c r="G162" s="45"/>
    </row>
    <row r="163">
      <c r="B163" s="44"/>
      <c r="C163" s="45"/>
      <c r="D163" s="45"/>
      <c r="E163" s="45"/>
      <c r="F163" s="45"/>
      <c r="G163" s="45"/>
    </row>
    <row r="164">
      <c r="B164" s="44"/>
      <c r="C164" s="45"/>
      <c r="D164" s="45"/>
      <c r="E164" s="45"/>
      <c r="F164" s="45"/>
      <c r="G164" s="45"/>
    </row>
    <row r="165">
      <c r="B165" s="44"/>
      <c r="C165" s="45"/>
      <c r="D165" s="45"/>
      <c r="E165" s="45"/>
      <c r="F165" s="45"/>
      <c r="G165" s="45"/>
    </row>
    <row r="166">
      <c r="B166" s="44"/>
      <c r="C166" s="45"/>
      <c r="D166" s="45"/>
      <c r="E166" s="45"/>
      <c r="F166" s="45"/>
      <c r="G166" s="45"/>
    </row>
    <row r="167">
      <c r="B167" s="44"/>
      <c r="C167" s="45"/>
      <c r="D167" s="45"/>
      <c r="E167" s="45"/>
      <c r="F167" s="45"/>
      <c r="G167" s="45"/>
    </row>
    <row r="168">
      <c r="B168" s="44"/>
      <c r="C168" s="45"/>
      <c r="D168" s="45"/>
      <c r="E168" s="45"/>
      <c r="F168" s="45"/>
      <c r="G168" s="45"/>
    </row>
    <row r="169">
      <c r="B169" s="44"/>
      <c r="C169" s="45"/>
      <c r="D169" s="45"/>
      <c r="E169" s="45"/>
      <c r="F169" s="45"/>
      <c r="G169" s="45"/>
    </row>
    <row r="170">
      <c r="B170" s="44"/>
      <c r="C170" s="45"/>
      <c r="D170" s="45"/>
      <c r="E170" s="45"/>
      <c r="F170" s="45"/>
      <c r="G170" s="45"/>
    </row>
    <row r="171">
      <c r="B171" s="44"/>
      <c r="C171" s="45"/>
      <c r="D171" s="45"/>
      <c r="E171" s="45"/>
      <c r="F171" s="45"/>
      <c r="G171" s="45"/>
    </row>
    <row r="172">
      <c r="B172" s="44"/>
      <c r="C172" s="45"/>
      <c r="D172" s="45"/>
      <c r="E172" s="45"/>
      <c r="F172" s="45"/>
      <c r="G172" s="45"/>
    </row>
    <row r="173">
      <c r="B173" s="44"/>
      <c r="C173" s="45"/>
      <c r="D173" s="45"/>
      <c r="E173" s="45"/>
      <c r="F173" s="45"/>
      <c r="G173" s="45"/>
    </row>
    <row r="174">
      <c r="B174" s="44"/>
      <c r="C174" s="45"/>
      <c r="D174" s="45"/>
      <c r="E174" s="45"/>
      <c r="F174" s="45"/>
      <c r="G174" s="45"/>
    </row>
    <row r="175">
      <c r="B175" s="44"/>
      <c r="C175" s="45"/>
      <c r="D175" s="45"/>
      <c r="E175" s="45"/>
      <c r="F175" s="45"/>
      <c r="G175" s="45"/>
    </row>
    <row r="176">
      <c r="B176" s="44"/>
      <c r="C176" s="45"/>
      <c r="D176" s="45"/>
      <c r="E176" s="45"/>
      <c r="F176" s="45"/>
      <c r="G176" s="45"/>
    </row>
    <row r="177">
      <c r="B177" s="44"/>
      <c r="C177" s="45"/>
      <c r="D177" s="45"/>
      <c r="E177" s="45"/>
      <c r="F177" s="45"/>
      <c r="G177" s="45"/>
    </row>
    <row r="178">
      <c r="B178" s="44"/>
      <c r="C178" s="45"/>
      <c r="D178" s="45"/>
      <c r="E178" s="45"/>
      <c r="F178" s="45"/>
      <c r="G178" s="45"/>
    </row>
    <row r="179">
      <c r="B179" s="44"/>
      <c r="C179" s="45"/>
      <c r="D179" s="45"/>
      <c r="E179" s="45"/>
      <c r="F179" s="45"/>
      <c r="G179" s="45"/>
    </row>
    <row r="180">
      <c r="B180" s="44"/>
      <c r="C180" s="45"/>
      <c r="D180" s="45"/>
      <c r="E180" s="45"/>
      <c r="F180" s="45"/>
      <c r="G180" s="45"/>
    </row>
    <row r="181">
      <c r="B181" s="44"/>
      <c r="C181" s="45"/>
      <c r="D181" s="45"/>
      <c r="E181" s="45"/>
      <c r="F181" s="45"/>
      <c r="G181" s="45"/>
    </row>
    <row r="182">
      <c r="B182" s="44"/>
      <c r="C182" s="45"/>
      <c r="D182" s="45"/>
      <c r="E182" s="45"/>
      <c r="F182" s="45"/>
      <c r="G182" s="45"/>
    </row>
    <row r="183">
      <c r="B183" s="44"/>
      <c r="C183" s="45"/>
      <c r="D183" s="45"/>
      <c r="E183" s="45"/>
      <c r="F183" s="45"/>
      <c r="G183" s="45"/>
    </row>
    <row r="184">
      <c r="B184" s="44"/>
      <c r="C184" s="45"/>
      <c r="D184" s="45"/>
      <c r="E184" s="45"/>
      <c r="F184" s="45"/>
      <c r="G184" s="45"/>
    </row>
    <row r="185">
      <c r="B185" s="44"/>
      <c r="C185" s="45"/>
      <c r="D185" s="45"/>
      <c r="E185" s="45"/>
      <c r="F185" s="45"/>
      <c r="G185" s="45"/>
    </row>
    <row r="186">
      <c r="B186" s="44"/>
      <c r="C186" s="45"/>
      <c r="D186" s="45"/>
      <c r="E186" s="45"/>
      <c r="F186" s="45"/>
      <c r="G186" s="45"/>
    </row>
    <row r="187">
      <c r="B187" s="44"/>
      <c r="C187" s="45"/>
      <c r="D187" s="45"/>
      <c r="E187" s="45"/>
      <c r="F187" s="45"/>
      <c r="G187" s="45"/>
    </row>
    <row r="188">
      <c r="B188" s="44"/>
      <c r="C188" s="45"/>
      <c r="D188" s="45"/>
      <c r="E188" s="45"/>
      <c r="F188" s="45"/>
      <c r="G188" s="45"/>
    </row>
    <row r="189">
      <c r="B189" s="44"/>
      <c r="C189" s="45"/>
      <c r="D189" s="45"/>
      <c r="E189" s="45"/>
      <c r="F189" s="45"/>
      <c r="G189" s="45"/>
    </row>
    <row r="190">
      <c r="B190" s="44"/>
      <c r="C190" s="45"/>
      <c r="D190" s="45"/>
      <c r="E190" s="45"/>
      <c r="F190" s="45"/>
      <c r="G190" s="45"/>
    </row>
    <row r="191">
      <c r="B191" s="44"/>
      <c r="C191" s="45"/>
      <c r="D191" s="45"/>
      <c r="E191" s="45"/>
      <c r="F191" s="45"/>
      <c r="G191" s="45"/>
    </row>
    <row r="192">
      <c r="B192" s="44"/>
      <c r="C192" s="45"/>
      <c r="D192" s="45"/>
      <c r="E192" s="45"/>
      <c r="F192" s="45"/>
      <c r="G192" s="45"/>
    </row>
    <row r="193">
      <c r="B193" s="44"/>
      <c r="C193" s="45"/>
      <c r="D193" s="45"/>
      <c r="E193" s="45"/>
      <c r="F193" s="45"/>
      <c r="G193" s="45"/>
    </row>
    <row r="194">
      <c r="B194" s="44"/>
      <c r="C194" s="45"/>
      <c r="D194" s="45"/>
      <c r="E194" s="45"/>
      <c r="F194" s="45"/>
      <c r="G194" s="45"/>
    </row>
    <row r="195">
      <c r="B195" s="44"/>
      <c r="C195" s="45"/>
      <c r="D195" s="45"/>
      <c r="E195" s="45"/>
      <c r="F195" s="45"/>
      <c r="G195" s="45"/>
    </row>
    <row r="196">
      <c r="B196" s="44"/>
      <c r="C196" s="45"/>
      <c r="D196" s="45"/>
      <c r="E196" s="45"/>
      <c r="F196" s="45"/>
      <c r="G196" s="45"/>
    </row>
    <row r="197">
      <c r="B197" s="44"/>
      <c r="C197" s="45"/>
      <c r="D197" s="45"/>
      <c r="E197" s="45"/>
      <c r="F197" s="45"/>
      <c r="G197" s="45"/>
    </row>
    <row r="198">
      <c r="B198" s="44"/>
      <c r="C198" s="45"/>
      <c r="D198" s="45"/>
      <c r="E198" s="45"/>
      <c r="F198" s="45"/>
      <c r="G198" s="45"/>
    </row>
    <row r="199">
      <c r="B199" s="44"/>
      <c r="C199" s="45"/>
      <c r="D199" s="45"/>
      <c r="E199" s="45"/>
      <c r="F199" s="45"/>
      <c r="G199" s="45"/>
    </row>
    <row r="200">
      <c r="B200" s="44"/>
      <c r="C200" s="45"/>
      <c r="D200" s="45"/>
      <c r="E200" s="45"/>
      <c r="F200" s="45"/>
      <c r="G200" s="45"/>
    </row>
    <row r="201">
      <c r="B201" s="44"/>
      <c r="C201" s="45"/>
      <c r="D201" s="45"/>
      <c r="E201" s="45"/>
      <c r="F201" s="45"/>
      <c r="G201" s="45"/>
    </row>
    <row r="202">
      <c r="B202" s="44"/>
      <c r="C202" s="45"/>
      <c r="D202" s="45"/>
      <c r="E202" s="45"/>
      <c r="F202" s="45"/>
      <c r="G202" s="45"/>
    </row>
    <row r="203">
      <c r="B203" s="44"/>
      <c r="C203" s="45"/>
      <c r="D203" s="45"/>
      <c r="E203" s="45"/>
      <c r="F203" s="45"/>
      <c r="G203" s="45"/>
    </row>
    <row r="204">
      <c r="B204" s="44"/>
      <c r="C204" s="45"/>
      <c r="D204" s="45"/>
      <c r="E204" s="45"/>
      <c r="F204" s="45"/>
      <c r="G204" s="45"/>
    </row>
    <row r="205">
      <c r="B205" s="44"/>
      <c r="C205" s="45"/>
      <c r="D205" s="45"/>
      <c r="E205" s="45"/>
      <c r="F205" s="45"/>
      <c r="G205" s="45"/>
    </row>
    <row r="206">
      <c r="B206" s="44"/>
      <c r="C206" s="45"/>
      <c r="D206" s="45"/>
      <c r="E206" s="45"/>
      <c r="F206" s="45"/>
      <c r="G206" s="45"/>
    </row>
    <row r="207">
      <c r="B207" s="44"/>
      <c r="C207" s="45"/>
      <c r="D207" s="45"/>
      <c r="E207" s="45"/>
      <c r="F207" s="45"/>
      <c r="G207" s="45"/>
    </row>
    <row r="208">
      <c r="B208" s="44"/>
      <c r="C208" s="45"/>
      <c r="D208" s="45"/>
      <c r="E208" s="45"/>
      <c r="F208" s="45"/>
      <c r="G208" s="45"/>
    </row>
    <row r="209">
      <c r="B209" s="44"/>
      <c r="C209" s="45"/>
      <c r="D209" s="45"/>
      <c r="E209" s="45"/>
      <c r="F209" s="45"/>
      <c r="G209" s="45"/>
    </row>
    <row r="210">
      <c r="B210" s="44"/>
      <c r="C210" s="45"/>
      <c r="D210" s="45"/>
      <c r="E210" s="45"/>
      <c r="F210" s="45"/>
      <c r="G210" s="45"/>
    </row>
    <row r="211">
      <c r="B211" s="44"/>
      <c r="C211" s="45"/>
      <c r="D211" s="45"/>
      <c r="E211" s="45"/>
      <c r="F211" s="45"/>
      <c r="G211" s="45"/>
    </row>
    <row r="212">
      <c r="B212" s="44"/>
      <c r="C212" s="45"/>
      <c r="D212" s="45"/>
      <c r="E212" s="45"/>
      <c r="F212" s="45"/>
      <c r="G212" s="45"/>
    </row>
    <row r="213">
      <c r="B213" s="44"/>
      <c r="C213" s="45"/>
      <c r="D213" s="45"/>
      <c r="E213" s="45"/>
      <c r="F213" s="45"/>
      <c r="G213" s="45"/>
    </row>
    <row r="214">
      <c r="B214" s="44"/>
      <c r="C214" s="45"/>
      <c r="D214" s="45"/>
      <c r="E214" s="45"/>
      <c r="F214" s="45"/>
      <c r="G214" s="45"/>
    </row>
    <row r="215">
      <c r="B215" s="44"/>
      <c r="C215" s="45"/>
      <c r="D215" s="45"/>
      <c r="E215" s="45"/>
      <c r="F215" s="45"/>
      <c r="G215" s="45"/>
    </row>
    <row r="216">
      <c r="B216" s="44"/>
      <c r="C216" s="45"/>
      <c r="D216" s="45"/>
      <c r="E216" s="45"/>
      <c r="F216" s="45"/>
      <c r="G216" s="45"/>
    </row>
    <row r="217">
      <c r="B217" s="44"/>
      <c r="C217" s="45"/>
      <c r="D217" s="45"/>
      <c r="E217" s="45"/>
      <c r="F217" s="45"/>
      <c r="G217" s="45"/>
    </row>
    <row r="218">
      <c r="B218" s="44"/>
      <c r="C218" s="45"/>
      <c r="D218" s="45"/>
      <c r="E218" s="45"/>
      <c r="F218" s="45"/>
      <c r="G218" s="45"/>
    </row>
    <row r="219">
      <c r="B219" s="44"/>
      <c r="C219" s="45"/>
      <c r="D219" s="45"/>
      <c r="E219" s="45"/>
      <c r="F219" s="45"/>
      <c r="G219" s="45"/>
    </row>
    <row r="220">
      <c r="B220" s="44"/>
      <c r="C220" s="45"/>
      <c r="D220" s="45"/>
      <c r="E220" s="45"/>
      <c r="F220" s="45"/>
      <c r="G220" s="45"/>
    </row>
    <row r="221">
      <c r="B221" s="44"/>
      <c r="C221" s="45"/>
      <c r="D221" s="45"/>
      <c r="E221" s="45"/>
      <c r="F221" s="45"/>
      <c r="G221" s="45"/>
    </row>
    <row r="222">
      <c r="B222" s="44"/>
      <c r="C222" s="45"/>
      <c r="D222" s="45"/>
      <c r="E222" s="45"/>
      <c r="F222" s="45"/>
      <c r="G222" s="45"/>
    </row>
    <row r="223">
      <c r="B223" s="44"/>
      <c r="C223" s="45"/>
      <c r="D223" s="45"/>
      <c r="E223" s="45"/>
      <c r="F223" s="45"/>
      <c r="G223" s="45"/>
    </row>
    <row r="224">
      <c r="B224" s="44"/>
      <c r="C224" s="45"/>
      <c r="D224" s="45"/>
      <c r="E224" s="45"/>
      <c r="F224" s="45"/>
      <c r="G224" s="45"/>
    </row>
    <row r="225">
      <c r="B225" s="44"/>
      <c r="C225" s="45"/>
      <c r="D225" s="45"/>
      <c r="E225" s="45"/>
      <c r="F225" s="45"/>
      <c r="G225" s="45"/>
    </row>
    <row r="226">
      <c r="B226" s="44"/>
      <c r="C226" s="45"/>
      <c r="D226" s="45"/>
      <c r="E226" s="45"/>
      <c r="F226" s="45"/>
      <c r="G226" s="45"/>
    </row>
    <row r="227">
      <c r="B227" s="44"/>
      <c r="C227" s="45"/>
      <c r="D227" s="45"/>
      <c r="E227" s="45"/>
      <c r="F227" s="45"/>
      <c r="G227" s="45"/>
    </row>
    <row r="228">
      <c r="B228" s="44"/>
      <c r="C228" s="45"/>
      <c r="D228" s="45"/>
      <c r="E228" s="45"/>
      <c r="F228" s="45"/>
      <c r="G228" s="45"/>
    </row>
    <row r="229">
      <c r="B229" s="44"/>
      <c r="C229" s="45"/>
      <c r="D229" s="45"/>
      <c r="E229" s="45"/>
      <c r="F229" s="45"/>
      <c r="G229" s="45"/>
    </row>
    <row r="230">
      <c r="B230" s="44"/>
      <c r="C230" s="45"/>
      <c r="D230" s="45"/>
      <c r="E230" s="45"/>
      <c r="F230" s="45"/>
      <c r="G230" s="45"/>
    </row>
    <row r="231">
      <c r="B231" s="44"/>
      <c r="C231" s="45"/>
      <c r="D231" s="45"/>
      <c r="E231" s="45"/>
      <c r="F231" s="45"/>
      <c r="G231" s="45"/>
    </row>
    <row r="232">
      <c r="B232" s="44"/>
      <c r="C232" s="45"/>
      <c r="D232" s="45"/>
      <c r="E232" s="45"/>
      <c r="F232" s="45"/>
      <c r="G232" s="45"/>
    </row>
    <row r="233">
      <c r="B233" s="44"/>
      <c r="C233" s="45"/>
      <c r="D233" s="45"/>
      <c r="E233" s="45"/>
      <c r="F233" s="45"/>
      <c r="G233" s="45"/>
    </row>
    <row r="234">
      <c r="B234" s="44"/>
      <c r="C234" s="45"/>
      <c r="D234" s="45"/>
      <c r="E234" s="45"/>
      <c r="F234" s="45"/>
      <c r="G234" s="45"/>
    </row>
    <row r="235">
      <c r="B235" s="44"/>
      <c r="C235" s="45"/>
      <c r="D235" s="45"/>
      <c r="E235" s="45"/>
      <c r="F235" s="45"/>
      <c r="G235" s="45"/>
    </row>
    <row r="236">
      <c r="B236" s="44"/>
      <c r="C236" s="45"/>
      <c r="D236" s="45"/>
      <c r="E236" s="45"/>
      <c r="F236" s="45"/>
      <c r="G236" s="45"/>
    </row>
    <row r="237">
      <c r="B237" s="44"/>
      <c r="C237" s="45"/>
      <c r="D237" s="45"/>
      <c r="E237" s="45"/>
      <c r="F237" s="45"/>
      <c r="G237" s="45"/>
    </row>
    <row r="238">
      <c r="B238" s="44"/>
      <c r="C238" s="45"/>
      <c r="D238" s="45"/>
      <c r="E238" s="45"/>
      <c r="F238" s="45"/>
      <c r="G238" s="45"/>
    </row>
    <row r="239">
      <c r="B239" s="44"/>
      <c r="C239" s="45"/>
      <c r="D239" s="45"/>
      <c r="E239" s="45"/>
      <c r="F239" s="45"/>
      <c r="G239" s="45"/>
    </row>
    <row r="240">
      <c r="B240" s="44"/>
      <c r="C240" s="45"/>
      <c r="D240" s="45"/>
      <c r="E240" s="45"/>
      <c r="F240" s="45"/>
      <c r="G240" s="45"/>
    </row>
    <row r="241">
      <c r="B241" s="44"/>
      <c r="C241" s="45"/>
      <c r="D241" s="45"/>
      <c r="E241" s="45"/>
      <c r="F241" s="45"/>
      <c r="G241" s="45"/>
    </row>
    <row r="242">
      <c r="B242" s="44"/>
      <c r="C242" s="45"/>
      <c r="D242" s="45"/>
      <c r="E242" s="45"/>
      <c r="F242" s="45"/>
      <c r="G242" s="45"/>
    </row>
    <row r="243">
      <c r="B243" s="44"/>
      <c r="C243" s="45"/>
      <c r="D243" s="45"/>
      <c r="E243" s="45"/>
      <c r="F243" s="45"/>
      <c r="G243" s="45"/>
    </row>
    <row r="244">
      <c r="B244" s="44"/>
      <c r="C244" s="45"/>
      <c r="D244" s="45"/>
      <c r="E244" s="45"/>
      <c r="F244" s="45"/>
      <c r="G244" s="45"/>
    </row>
    <row r="245">
      <c r="B245" s="44"/>
      <c r="C245" s="45"/>
      <c r="D245" s="45"/>
      <c r="E245" s="45"/>
      <c r="F245" s="45"/>
      <c r="G245" s="45"/>
    </row>
    <row r="246">
      <c r="B246" s="44"/>
      <c r="C246" s="45"/>
      <c r="D246" s="45"/>
      <c r="E246" s="45"/>
      <c r="F246" s="45"/>
      <c r="G246" s="45"/>
    </row>
    <row r="247">
      <c r="B247" s="44"/>
      <c r="C247" s="45"/>
      <c r="D247" s="45"/>
      <c r="E247" s="45"/>
      <c r="F247" s="45"/>
      <c r="G247" s="45"/>
    </row>
    <row r="248">
      <c r="B248" s="44"/>
      <c r="C248" s="45"/>
      <c r="D248" s="45"/>
      <c r="E248" s="45"/>
      <c r="F248" s="45"/>
      <c r="G248" s="45"/>
    </row>
    <row r="249">
      <c r="B249" s="44"/>
      <c r="C249" s="45"/>
      <c r="D249" s="45"/>
      <c r="E249" s="45"/>
      <c r="F249" s="45"/>
      <c r="G249" s="45"/>
    </row>
    <row r="250">
      <c r="B250" s="44"/>
      <c r="C250" s="45"/>
      <c r="D250" s="45"/>
      <c r="E250" s="45"/>
      <c r="F250" s="45"/>
      <c r="G250" s="45"/>
    </row>
    <row r="251">
      <c r="B251" s="44"/>
      <c r="C251" s="45"/>
      <c r="D251" s="45"/>
      <c r="E251" s="45"/>
      <c r="F251" s="45"/>
      <c r="G251" s="45"/>
    </row>
    <row r="252">
      <c r="B252" s="44"/>
      <c r="C252" s="45"/>
      <c r="D252" s="45"/>
      <c r="E252" s="45"/>
      <c r="F252" s="45"/>
      <c r="G252" s="45"/>
    </row>
    <row r="253">
      <c r="B253" s="44"/>
      <c r="C253" s="45"/>
      <c r="D253" s="45"/>
      <c r="E253" s="45"/>
      <c r="F253" s="45"/>
      <c r="G253" s="45"/>
    </row>
    <row r="254">
      <c r="B254" s="44"/>
      <c r="C254" s="45"/>
      <c r="D254" s="45"/>
      <c r="E254" s="45"/>
      <c r="F254" s="45"/>
      <c r="G254" s="45"/>
    </row>
    <row r="255">
      <c r="B255" s="44"/>
      <c r="C255" s="45"/>
      <c r="D255" s="45"/>
      <c r="E255" s="45"/>
      <c r="F255" s="45"/>
      <c r="G255" s="45"/>
    </row>
    <row r="256">
      <c r="B256" s="44"/>
      <c r="C256" s="45"/>
      <c r="D256" s="45"/>
      <c r="E256" s="45"/>
      <c r="F256" s="45"/>
      <c r="G256" s="45"/>
    </row>
    <row r="257">
      <c r="B257" s="44"/>
      <c r="C257" s="45"/>
      <c r="D257" s="45"/>
      <c r="E257" s="45"/>
      <c r="F257" s="45"/>
      <c r="G257" s="45"/>
    </row>
    <row r="258">
      <c r="B258" s="44"/>
      <c r="C258" s="45"/>
      <c r="D258" s="45"/>
      <c r="E258" s="45"/>
      <c r="F258" s="45"/>
      <c r="G258" s="45"/>
    </row>
    <row r="259">
      <c r="B259" s="44"/>
      <c r="C259" s="45"/>
      <c r="D259" s="45"/>
      <c r="E259" s="45"/>
      <c r="F259" s="45"/>
      <c r="G259" s="45"/>
    </row>
    <row r="260">
      <c r="B260" s="44"/>
      <c r="C260" s="45"/>
      <c r="D260" s="45"/>
      <c r="E260" s="45"/>
      <c r="F260" s="45"/>
      <c r="G260" s="45"/>
    </row>
    <row r="261">
      <c r="B261" s="44"/>
      <c r="C261" s="45"/>
      <c r="D261" s="45"/>
      <c r="E261" s="45"/>
      <c r="F261" s="45"/>
      <c r="G261" s="45"/>
    </row>
    <row r="262">
      <c r="B262" s="44"/>
      <c r="C262" s="45"/>
      <c r="D262" s="45"/>
      <c r="E262" s="45"/>
      <c r="F262" s="45"/>
      <c r="G262" s="45"/>
    </row>
    <row r="263">
      <c r="B263" s="44"/>
      <c r="C263" s="45"/>
      <c r="D263" s="45"/>
      <c r="E263" s="45"/>
      <c r="F263" s="45"/>
      <c r="G263" s="45"/>
    </row>
    <row r="264">
      <c r="B264" s="44"/>
      <c r="C264" s="45"/>
      <c r="D264" s="45"/>
      <c r="E264" s="45"/>
      <c r="F264" s="45"/>
      <c r="G264" s="45"/>
    </row>
    <row r="265">
      <c r="B265" s="44"/>
      <c r="C265" s="45"/>
      <c r="D265" s="45"/>
      <c r="E265" s="45"/>
      <c r="F265" s="45"/>
      <c r="G265" s="45"/>
    </row>
    <row r="266">
      <c r="B266" s="44"/>
      <c r="C266" s="45"/>
      <c r="D266" s="45"/>
      <c r="E266" s="45"/>
      <c r="F266" s="45"/>
      <c r="G266" s="45"/>
    </row>
    <row r="267">
      <c r="B267" s="44"/>
      <c r="C267" s="45"/>
      <c r="D267" s="45"/>
      <c r="E267" s="45"/>
      <c r="F267" s="45"/>
      <c r="G267" s="45"/>
    </row>
    <row r="268">
      <c r="B268" s="44"/>
      <c r="C268" s="45"/>
      <c r="D268" s="45"/>
      <c r="E268" s="45"/>
      <c r="F268" s="45"/>
      <c r="G268" s="45"/>
    </row>
    <row r="269">
      <c r="B269" s="44"/>
      <c r="C269" s="45"/>
      <c r="D269" s="45"/>
      <c r="E269" s="45"/>
      <c r="F269" s="45"/>
      <c r="G269" s="45"/>
    </row>
    <row r="270">
      <c r="B270" s="44"/>
      <c r="C270" s="45"/>
      <c r="D270" s="45"/>
      <c r="E270" s="45"/>
      <c r="F270" s="45"/>
      <c r="G270" s="45"/>
    </row>
    <row r="271">
      <c r="B271" s="44"/>
      <c r="C271" s="45"/>
      <c r="D271" s="45"/>
      <c r="E271" s="45"/>
      <c r="F271" s="45"/>
      <c r="G271" s="45"/>
    </row>
    <row r="272">
      <c r="B272" s="44"/>
      <c r="C272" s="45"/>
      <c r="D272" s="45"/>
      <c r="E272" s="45"/>
      <c r="F272" s="45"/>
      <c r="G272" s="45"/>
    </row>
    <row r="273">
      <c r="B273" s="44"/>
      <c r="C273" s="45"/>
      <c r="D273" s="45"/>
      <c r="E273" s="45"/>
      <c r="F273" s="45"/>
      <c r="G273" s="45"/>
    </row>
    <row r="274">
      <c r="B274" s="44"/>
      <c r="C274" s="45"/>
      <c r="D274" s="45"/>
      <c r="E274" s="45"/>
      <c r="F274" s="45"/>
      <c r="G274" s="45"/>
    </row>
    <row r="275">
      <c r="B275" s="44"/>
      <c r="C275" s="45"/>
      <c r="D275" s="45"/>
      <c r="E275" s="45"/>
      <c r="F275" s="45"/>
      <c r="G275" s="45"/>
    </row>
    <row r="276">
      <c r="B276" s="44"/>
      <c r="C276" s="45"/>
      <c r="D276" s="45"/>
      <c r="E276" s="45"/>
      <c r="F276" s="45"/>
      <c r="G276" s="45"/>
    </row>
    <row r="277">
      <c r="B277" s="44"/>
      <c r="C277" s="45"/>
      <c r="D277" s="45"/>
      <c r="E277" s="45"/>
      <c r="F277" s="45"/>
      <c r="G277" s="45"/>
    </row>
    <row r="278">
      <c r="B278" s="44"/>
      <c r="C278" s="45"/>
      <c r="D278" s="45"/>
      <c r="E278" s="45"/>
      <c r="F278" s="45"/>
      <c r="G278" s="45"/>
    </row>
    <row r="279">
      <c r="B279" s="44"/>
      <c r="C279" s="45"/>
      <c r="D279" s="45"/>
      <c r="E279" s="45"/>
      <c r="F279" s="45"/>
      <c r="G279" s="45"/>
    </row>
    <row r="280">
      <c r="B280" s="44"/>
      <c r="C280" s="45"/>
      <c r="D280" s="45"/>
      <c r="E280" s="45"/>
      <c r="F280" s="45"/>
      <c r="G280" s="45"/>
    </row>
    <row r="281">
      <c r="B281" s="44"/>
      <c r="C281" s="45"/>
      <c r="D281" s="45"/>
      <c r="E281" s="45"/>
      <c r="F281" s="45"/>
      <c r="G281" s="45"/>
    </row>
    <row r="282">
      <c r="B282" s="44"/>
      <c r="C282" s="45"/>
      <c r="D282" s="45"/>
      <c r="E282" s="45"/>
      <c r="F282" s="45"/>
      <c r="G282" s="45"/>
    </row>
    <row r="283">
      <c r="B283" s="44"/>
      <c r="C283" s="45"/>
      <c r="D283" s="45"/>
      <c r="E283" s="45"/>
      <c r="F283" s="45"/>
      <c r="G283" s="45"/>
    </row>
    <row r="284">
      <c r="B284" s="44"/>
      <c r="C284" s="45"/>
      <c r="D284" s="45"/>
      <c r="E284" s="45"/>
      <c r="F284" s="45"/>
      <c r="G284" s="45"/>
    </row>
    <row r="285">
      <c r="B285" s="44"/>
      <c r="C285" s="45"/>
      <c r="D285" s="45"/>
      <c r="E285" s="45"/>
      <c r="F285" s="45"/>
      <c r="G285" s="45"/>
    </row>
    <row r="286">
      <c r="B286" s="44"/>
      <c r="C286" s="45"/>
      <c r="D286" s="45"/>
      <c r="E286" s="45"/>
      <c r="F286" s="45"/>
      <c r="G286" s="45"/>
    </row>
    <row r="287">
      <c r="B287" s="44"/>
      <c r="C287" s="45"/>
      <c r="D287" s="45"/>
      <c r="E287" s="45"/>
      <c r="F287" s="45"/>
      <c r="G287" s="45"/>
    </row>
    <row r="288">
      <c r="B288" s="44"/>
      <c r="C288" s="45"/>
      <c r="D288" s="45"/>
      <c r="E288" s="45"/>
      <c r="F288" s="45"/>
      <c r="G288" s="45"/>
    </row>
    <row r="289">
      <c r="B289" s="44"/>
      <c r="C289" s="45"/>
      <c r="D289" s="45"/>
      <c r="E289" s="45"/>
      <c r="F289" s="45"/>
      <c r="G289" s="45"/>
    </row>
    <row r="290">
      <c r="B290" s="44"/>
      <c r="C290" s="45"/>
      <c r="D290" s="45"/>
      <c r="E290" s="45"/>
      <c r="F290" s="45"/>
      <c r="G290" s="45"/>
    </row>
    <row r="291">
      <c r="B291" s="44"/>
      <c r="C291" s="45"/>
      <c r="D291" s="45"/>
      <c r="E291" s="45"/>
      <c r="F291" s="45"/>
      <c r="G291" s="45"/>
    </row>
    <row r="292">
      <c r="B292" s="44"/>
      <c r="C292" s="45"/>
      <c r="D292" s="45"/>
      <c r="E292" s="45"/>
      <c r="F292" s="45"/>
      <c r="G292" s="45"/>
    </row>
    <row r="293">
      <c r="B293" s="44"/>
      <c r="C293" s="45"/>
      <c r="D293" s="45"/>
      <c r="E293" s="45"/>
      <c r="F293" s="45"/>
      <c r="G293" s="45"/>
    </row>
    <row r="294">
      <c r="B294" s="44"/>
      <c r="C294" s="45"/>
      <c r="D294" s="45"/>
      <c r="E294" s="45"/>
      <c r="F294" s="45"/>
      <c r="G294" s="45"/>
    </row>
    <row r="295">
      <c r="B295" s="44"/>
      <c r="C295" s="45"/>
      <c r="D295" s="45"/>
      <c r="E295" s="45"/>
      <c r="F295" s="45"/>
      <c r="G295" s="45"/>
    </row>
    <row r="296">
      <c r="B296" s="44"/>
      <c r="C296" s="45"/>
      <c r="D296" s="45"/>
      <c r="E296" s="45"/>
      <c r="F296" s="45"/>
      <c r="G296" s="45"/>
    </row>
    <row r="297">
      <c r="B297" s="44"/>
      <c r="C297" s="45"/>
      <c r="D297" s="45"/>
      <c r="E297" s="45"/>
      <c r="F297" s="45"/>
      <c r="G297" s="45"/>
    </row>
    <row r="298">
      <c r="B298" s="44"/>
      <c r="C298" s="45"/>
      <c r="D298" s="45"/>
      <c r="E298" s="45"/>
      <c r="F298" s="45"/>
      <c r="G298" s="45"/>
    </row>
    <row r="299">
      <c r="B299" s="44"/>
      <c r="C299" s="45"/>
      <c r="D299" s="45"/>
      <c r="E299" s="45"/>
      <c r="F299" s="45"/>
      <c r="G299" s="45"/>
    </row>
    <row r="300">
      <c r="B300" s="44"/>
      <c r="C300" s="45"/>
      <c r="D300" s="45"/>
      <c r="E300" s="45"/>
      <c r="F300" s="45"/>
      <c r="G300" s="45"/>
    </row>
    <row r="301">
      <c r="B301" s="44"/>
      <c r="C301" s="45"/>
      <c r="D301" s="45"/>
      <c r="E301" s="45"/>
      <c r="F301" s="45"/>
      <c r="G301" s="45"/>
    </row>
    <row r="302">
      <c r="B302" s="44"/>
      <c r="C302" s="45"/>
      <c r="D302" s="45"/>
      <c r="E302" s="45"/>
      <c r="F302" s="45"/>
      <c r="G302" s="45"/>
    </row>
    <row r="303">
      <c r="B303" s="44"/>
      <c r="C303" s="45"/>
      <c r="D303" s="45"/>
      <c r="E303" s="45"/>
      <c r="F303" s="45"/>
      <c r="G303" s="45"/>
    </row>
    <row r="304">
      <c r="B304" s="44"/>
      <c r="C304" s="45"/>
      <c r="D304" s="45"/>
      <c r="E304" s="45"/>
      <c r="F304" s="45"/>
      <c r="G304" s="45"/>
    </row>
    <row r="305">
      <c r="B305" s="44"/>
      <c r="C305" s="45"/>
      <c r="D305" s="45"/>
      <c r="E305" s="45"/>
      <c r="F305" s="45"/>
      <c r="G305" s="45"/>
    </row>
    <row r="306">
      <c r="B306" s="44"/>
      <c r="C306" s="45"/>
      <c r="D306" s="45"/>
      <c r="E306" s="45"/>
      <c r="F306" s="45"/>
      <c r="G306" s="45"/>
    </row>
    <row r="307">
      <c r="B307" s="44"/>
      <c r="C307" s="45"/>
      <c r="D307" s="45"/>
      <c r="E307" s="45"/>
      <c r="F307" s="45"/>
      <c r="G307" s="45"/>
    </row>
    <row r="308">
      <c r="B308" s="44"/>
      <c r="C308" s="45"/>
      <c r="D308" s="45"/>
      <c r="E308" s="45"/>
      <c r="F308" s="45"/>
      <c r="G308" s="45"/>
    </row>
    <row r="309">
      <c r="B309" s="44"/>
      <c r="C309" s="45"/>
      <c r="D309" s="45"/>
      <c r="E309" s="45"/>
      <c r="F309" s="45"/>
      <c r="G309" s="45"/>
    </row>
    <row r="310">
      <c r="B310" s="44"/>
      <c r="C310" s="45"/>
      <c r="D310" s="45"/>
      <c r="E310" s="45"/>
      <c r="F310" s="45"/>
      <c r="G310" s="45"/>
    </row>
    <row r="311">
      <c r="B311" s="44"/>
      <c r="C311" s="45"/>
      <c r="D311" s="45"/>
      <c r="E311" s="45"/>
      <c r="F311" s="45"/>
      <c r="G311" s="45"/>
    </row>
    <row r="312">
      <c r="B312" s="44"/>
      <c r="C312" s="45"/>
      <c r="D312" s="45"/>
      <c r="E312" s="45"/>
      <c r="F312" s="45"/>
      <c r="G312" s="45"/>
    </row>
    <row r="313">
      <c r="B313" s="44"/>
      <c r="C313" s="45"/>
      <c r="D313" s="45"/>
      <c r="E313" s="45"/>
      <c r="F313" s="45"/>
      <c r="G313" s="45"/>
    </row>
    <row r="314">
      <c r="B314" s="44"/>
      <c r="C314" s="45"/>
      <c r="D314" s="45"/>
      <c r="E314" s="45"/>
      <c r="F314" s="45"/>
      <c r="G314" s="45"/>
    </row>
    <row r="315">
      <c r="B315" s="44"/>
      <c r="C315" s="45"/>
      <c r="D315" s="45"/>
      <c r="E315" s="45"/>
      <c r="F315" s="45"/>
      <c r="G315" s="45"/>
    </row>
    <row r="316">
      <c r="B316" s="44"/>
      <c r="C316" s="45"/>
      <c r="D316" s="45"/>
      <c r="E316" s="45"/>
      <c r="F316" s="45"/>
      <c r="G316" s="45"/>
    </row>
    <row r="317">
      <c r="B317" s="44"/>
      <c r="C317" s="45"/>
      <c r="D317" s="45"/>
      <c r="E317" s="45"/>
      <c r="F317" s="45"/>
      <c r="G317" s="45"/>
    </row>
    <row r="318">
      <c r="B318" s="44"/>
      <c r="C318" s="45"/>
      <c r="D318" s="45"/>
      <c r="E318" s="45"/>
      <c r="F318" s="45"/>
      <c r="G318" s="45"/>
    </row>
    <row r="319">
      <c r="B319" s="44"/>
      <c r="C319" s="45"/>
      <c r="D319" s="45"/>
      <c r="E319" s="45"/>
      <c r="F319" s="45"/>
      <c r="G319" s="45"/>
    </row>
    <row r="320">
      <c r="B320" s="44"/>
      <c r="C320" s="45"/>
      <c r="D320" s="45"/>
      <c r="E320" s="45"/>
      <c r="F320" s="45"/>
      <c r="G320" s="45"/>
    </row>
    <row r="321">
      <c r="B321" s="44"/>
      <c r="C321" s="45"/>
      <c r="D321" s="45"/>
      <c r="E321" s="45"/>
      <c r="F321" s="45"/>
      <c r="G321" s="45"/>
    </row>
    <row r="322">
      <c r="B322" s="44"/>
      <c r="C322" s="45"/>
      <c r="D322" s="45"/>
      <c r="E322" s="45"/>
      <c r="F322" s="45"/>
      <c r="G322" s="45"/>
    </row>
    <row r="323">
      <c r="B323" s="44"/>
      <c r="C323" s="45"/>
      <c r="D323" s="45"/>
      <c r="E323" s="45"/>
      <c r="F323" s="45"/>
      <c r="G323" s="45"/>
    </row>
    <row r="324">
      <c r="B324" s="44"/>
      <c r="C324" s="45"/>
      <c r="D324" s="45"/>
      <c r="E324" s="45"/>
      <c r="F324" s="45"/>
      <c r="G324" s="45"/>
    </row>
    <row r="325">
      <c r="B325" s="44"/>
      <c r="C325" s="45"/>
      <c r="D325" s="45"/>
      <c r="E325" s="45"/>
      <c r="F325" s="45"/>
      <c r="G325" s="45"/>
    </row>
    <row r="326">
      <c r="B326" s="44"/>
      <c r="C326" s="45"/>
      <c r="D326" s="45"/>
      <c r="E326" s="45"/>
      <c r="F326" s="45"/>
      <c r="G326" s="45"/>
    </row>
    <row r="327">
      <c r="B327" s="44"/>
      <c r="C327" s="45"/>
      <c r="D327" s="45"/>
      <c r="E327" s="45"/>
      <c r="F327" s="45"/>
      <c r="G327" s="45"/>
    </row>
    <row r="328">
      <c r="B328" s="44"/>
      <c r="C328" s="45"/>
      <c r="D328" s="45"/>
      <c r="E328" s="45"/>
      <c r="F328" s="45"/>
      <c r="G328" s="45"/>
    </row>
    <row r="329">
      <c r="B329" s="44"/>
      <c r="C329" s="45"/>
      <c r="D329" s="45"/>
      <c r="E329" s="45"/>
      <c r="F329" s="45"/>
      <c r="G329" s="45"/>
    </row>
    <row r="330">
      <c r="B330" s="44"/>
      <c r="C330" s="45"/>
      <c r="D330" s="45"/>
      <c r="E330" s="45"/>
      <c r="F330" s="45"/>
      <c r="G330" s="45"/>
    </row>
    <row r="331">
      <c r="B331" s="44"/>
      <c r="C331" s="45"/>
      <c r="D331" s="45"/>
      <c r="E331" s="45"/>
      <c r="F331" s="45"/>
      <c r="G331" s="45"/>
    </row>
    <row r="332">
      <c r="B332" s="44"/>
      <c r="C332" s="45"/>
      <c r="D332" s="45"/>
      <c r="E332" s="45"/>
      <c r="F332" s="45"/>
      <c r="G332" s="45"/>
    </row>
    <row r="333">
      <c r="B333" s="44"/>
      <c r="C333" s="45"/>
      <c r="D333" s="45"/>
      <c r="E333" s="45"/>
      <c r="F333" s="45"/>
      <c r="G333" s="45"/>
    </row>
    <row r="334">
      <c r="B334" s="44"/>
      <c r="C334" s="45"/>
      <c r="D334" s="45"/>
      <c r="E334" s="45"/>
      <c r="F334" s="45"/>
      <c r="G334" s="45"/>
    </row>
    <row r="335">
      <c r="B335" s="44"/>
      <c r="C335" s="45"/>
      <c r="D335" s="45"/>
      <c r="E335" s="45"/>
      <c r="F335" s="45"/>
      <c r="G335" s="45"/>
    </row>
    <row r="336">
      <c r="B336" s="44"/>
      <c r="C336" s="45"/>
      <c r="D336" s="45"/>
      <c r="E336" s="45"/>
      <c r="F336" s="45"/>
      <c r="G336" s="45"/>
    </row>
    <row r="337">
      <c r="B337" s="44"/>
      <c r="C337" s="45"/>
      <c r="D337" s="45"/>
      <c r="E337" s="45"/>
      <c r="F337" s="45"/>
      <c r="G337" s="45"/>
    </row>
    <row r="338">
      <c r="B338" s="44"/>
      <c r="C338" s="45"/>
      <c r="D338" s="45"/>
      <c r="E338" s="45"/>
      <c r="F338" s="45"/>
      <c r="G338" s="45"/>
    </row>
    <row r="339">
      <c r="B339" s="44"/>
      <c r="C339" s="45"/>
      <c r="D339" s="45"/>
      <c r="E339" s="45"/>
      <c r="F339" s="45"/>
      <c r="G339" s="45"/>
    </row>
    <row r="340">
      <c r="B340" s="44"/>
      <c r="C340" s="45"/>
      <c r="D340" s="45"/>
      <c r="E340" s="45"/>
      <c r="F340" s="45"/>
      <c r="G340" s="45"/>
    </row>
    <row r="341">
      <c r="B341" s="44"/>
      <c r="C341" s="45"/>
      <c r="D341" s="45"/>
      <c r="E341" s="45"/>
      <c r="F341" s="45"/>
      <c r="G341" s="45"/>
    </row>
    <row r="342">
      <c r="B342" s="44"/>
      <c r="C342" s="45"/>
      <c r="D342" s="45"/>
      <c r="E342" s="45"/>
      <c r="F342" s="45"/>
      <c r="G342" s="45"/>
    </row>
    <row r="343">
      <c r="B343" s="44"/>
      <c r="C343" s="45"/>
      <c r="D343" s="45"/>
      <c r="E343" s="45"/>
      <c r="F343" s="45"/>
      <c r="G343" s="45"/>
    </row>
    <row r="344">
      <c r="B344" s="44"/>
      <c r="C344" s="45"/>
      <c r="D344" s="45"/>
      <c r="E344" s="45"/>
      <c r="F344" s="45"/>
      <c r="G344" s="45"/>
    </row>
    <row r="345">
      <c r="B345" s="44"/>
      <c r="C345" s="45"/>
      <c r="D345" s="45"/>
      <c r="E345" s="45"/>
      <c r="F345" s="45"/>
      <c r="G345" s="45"/>
    </row>
    <row r="346">
      <c r="B346" s="44"/>
      <c r="C346" s="45"/>
      <c r="D346" s="45"/>
      <c r="E346" s="45"/>
      <c r="F346" s="45"/>
      <c r="G346" s="45"/>
    </row>
    <row r="347">
      <c r="B347" s="44"/>
      <c r="C347" s="45"/>
      <c r="D347" s="45"/>
      <c r="E347" s="45"/>
      <c r="F347" s="45"/>
      <c r="G347" s="45"/>
    </row>
    <row r="348">
      <c r="B348" s="44"/>
      <c r="C348" s="45"/>
      <c r="D348" s="45"/>
      <c r="E348" s="45"/>
      <c r="F348" s="45"/>
      <c r="G348" s="45"/>
    </row>
    <row r="349">
      <c r="B349" s="44"/>
      <c r="C349" s="45"/>
      <c r="D349" s="45"/>
      <c r="E349" s="45"/>
      <c r="F349" s="45"/>
      <c r="G349" s="45"/>
    </row>
    <row r="350">
      <c r="B350" s="44"/>
      <c r="C350" s="45"/>
      <c r="D350" s="45"/>
      <c r="E350" s="45"/>
      <c r="F350" s="45"/>
      <c r="G350" s="45"/>
    </row>
    <row r="351">
      <c r="B351" s="44"/>
      <c r="C351" s="45"/>
      <c r="D351" s="45"/>
      <c r="E351" s="45"/>
      <c r="F351" s="45"/>
      <c r="G351" s="45"/>
    </row>
    <row r="352">
      <c r="B352" s="44"/>
      <c r="C352" s="45"/>
      <c r="D352" s="45"/>
      <c r="E352" s="45"/>
      <c r="F352" s="45"/>
      <c r="G352" s="45"/>
    </row>
    <row r="353">
      <c r="B353" s="44"/>
      <c r="C353" s="45"/>
      <c r="D353" s="45"/>
      <c r="E353" s="45"/>
      <c r="F353" s="45"/>
      <c r="G353" s="45"/>
    </row>
    <row r="354">
      <c r="B354" s="44"/>
      <c r="C354" s="45"/>
      <c r="D354" s="45"/>
      <c r="E354" s="45"/>
      <c r="F354" s="45"/>
      <c r="G354" s="45"/>
    </row>
    <row r="355">
      <c r="B355" s="44"/>
      <c r="C355" s="45"/>
      <c r="D355" s="45"/>
      <c r="E355" s="45"/>
      <c r="F355" s="45"/>
      <c r="G355" s="45"/>
    </row>
    <row r="356">
      <c r="B356" s="44"/>
      <c r="C356" s="45"/>
      <c r="D356" s="45"/>
      <c r="E356" s="45"/>
      <c r="F356" s="45"/>
      <c r="G356" s="45"/>
    </row>
    <row r="357">
      <c r="B357" s="44"/>
      <c r="C357" s="45"/>
      <c r="D357" s="45"/>
      <c r="E357" s="45"/>
      <c r="F357" s="45"/>
      <c r="G357" s="45"/>
    </row>
    <row r="358">
      <c r="B358" s="44"/>
      <c r="C358" s="45"/>
      <c r="D358" s="45"/>
      <c r="E358" s="45"/>
      <c r="F358" s="45"/>
      <c r="G358" s="45"/>
    </row>
    <row r="359">
      <c r="B359" s="44"/>
      <c r="C359" s="45"/>
      <c r="D359" s="45"/>
      <c r="E359" s="45"/>
      <c r="F359" s="45"/>
      <c r="G359" s="45"/>
    </row>
    <row r="360">
      <c r="B360" s="44"/>
      <c r="C360" s="45"/>
      <c r="D360" s="45"/>
      <c r="E360" s="45"/>
      <c r="F360" s="45"/>
      <c r="G360" s="45"/>
    </row>
    <row r="361">
      <c r="B361" s="44"/>
      <c r="C361" s="45"/>
      <c r="D361" s="45"/>
      <c r="E361" s="45"/>
      <c r="F361" s="45"/>
      <c r="G361" s="45"/>
    </row>
    <row r="362">
      <c r="B362" s="44"/>
      <c r="C362" s="45"/>
      <c r="D362" s="45"/>
      <c r="E362" s="45"/>
      <c r="F362" s="45"/>
      <c r="G362" s="45"/>
    </row>
    <row r="363">
      <c r="B363" s="44"/>
      <c r="C363" s="45"/>
      <c r="D363" s="45"/>
      <c r="E363" s="45"/>
      <c r="F363" s="45"/>
      <c r="G363" s="45"/>
    </row>
    <row r="364">
      <c r="B364" s="44"/>
      <c r="C364" s="45"/>
      <c r="D364" s="45"/>
      <c r="E364" s="45"/>
      <c r="F364" s="45"/>
      <c r="G364" s="45"/>
    </row>
    <row r="365">
      <c r="B365" s="44"/>
      <c r="C365" s="45"/>
      <c r="D365" s="45"/>
      <c r="E365" s="45"/>
      <c r="F365" s="45"/>
      <c r="G365" s="45"/>
    </row>
    <row r="366">
      <c r="B366" s="44"/>
      <c r="C366" s="45"/>
      <c r="D366" s="45"/>
      <c r="E366" s="45"/>
      <c r="F366" s="45"/>
      <c r="G366" s="45"/>
    </row>
    <row r="367">
      <c r="B367" s="44"/>
      <c r="C367" s="45"/>
      <c r="D367" s="45"/>
      <c r="E367" s="45"/>
      <c r="F367" s="45"/>
      <c r="G367" s="45"/>
    </row>
    <row r="368">
      <c r="B368" s="44"/>
      <c r="C368" s="45"/>
      <c r="D368" s="45"/>
      <c r="E368" s="45"/>
      <c r="F368" s="45"/>
      <c r="G368" s="45"/>
    </row>
    <row r="369">
      <c r="B369" s="44"/>
      <c r="C369" s="45"/>
      <c r="D369" s="45"/>
      <c r="E369" s="45"/>
      <c r="F369" s="45"/>
      <c r="G369" s="45"/>
    </row>
    <row r="370">
      <c r="B370" s="44"/>
      <c r="C370" s="45"/>
      <c r="D370" s="45"/>
      <c r="E370" s="45"/>
      <c r="F370" s="45"/>
      <c r="G370" s="45"/>
    </row>
    <row r="371">
      <c r="B371" s="44"/>
      <c r="C371" s="45"/>
      <c r="D371" s="45"/>
      <c r="E371" s="45"/>
      <c r="F371" s="45"/>
      <c r="G371" s="45"/>
    </row>
    <row r="372">
      <c r="B372" s="44"/>
      <c r="C372" s="45"/>
      <c r="D372" s="45"/>
      <c r="E372" s="45"/>
      <c r="F372" s="45"/>
      <c r="G372" s="45"/>
    </row>
    <row r="373">
      <c r="B373" s="44"/>
      <c r="C373" s="45"/>
      <c r="D373" s="45"/>
      <c r="E373" s="45"/>
      <c r="F373" s="45"/>
      <c r="G373" s="45"/>
    </row>
    <row r="374">
      <c r="B374" s="44"/>
      <c r="C374" s="45"/>
      <c r="D374" s="45"/>
      <c r="E374" s="45"/>
      <c r="F374" s="45"/>
      <c r="G374" s="45"/>
    </row>
    <row r="375">
      <c r="B375" s="44"/>
      <c r="C375" s="45"/>
      <c r="D375" s="45"/>
      <c r="E375" s="45"/>
      <c r="F375" s="45"/>
      <c r="G375" s="45"/>
    </row>
    <row r="376">
      <c r="B376" s="44"/>
      <c r="C376" s="45"/>
      <c r="D376" s="45"/>
      <c r="E376" s="45"/>
      <c r="F376" s="45"/>
      <c r="G376" s="45"/>
    </row>
    <row r="377">
      <c r="B377" s="44"/>
      <c r="C377" s="45"/>
      <c r="D377" s="45"/>
      <c r="E377" s="45"/>
      <c r="F377" s="45"/>
      <c r="G377" s="45"/>
    </row>
    <row r="378">
      <c r="B378" s="44"/>
      <c r="C378" s="45"/>
      <c r="D378" s="45"/>
      <c r="E378" s="45"/>
      <c r="F378" s="45"/>
      <c r="G378" s="45"/>
    </row>
    <row r="379">
      <c r="B379" s="44"/>
      <c r="C379" s="45"/>
      <c r="D379" s="45"/>
      <c r="E379" s="45"/>
      <c r="F379" s="45"/>
      <c r="G379" s="45"/>
    </row>
    <row r="380">
      <c r="B380" s="44"/>
      <c r="C380" s="45"/>
      <c r="D380" s="45"/>
      <c r="E380" s="45"/>
      <c r="F380" s="45"/>
      <c r="G380" s="45"/>
    </row>
    <row r="381">
      <c r="B381" s="44"/>
      <c r="C381" s="45"/>
      <c r="D381" s="45"/>
      <c r="E381" s="45"/>
      <c r="F381" s="45"/>
      <c r="G381" s="45"/>
    </row>
    <row r="382">
      <c r="B382" s="44"/>
      <c r="C382" s="45"/>
      <c r="D382" s="45"/>
      <c r="E382" s="45"/>
      <c r="F382" s="45"/>
      <c r="G382" s="45"/>
    </row>
    <row r="383">
      <c r="B383" s="44"/>
      <c r="C383" s="45"/>
      <c r="D383" s="45"/>
      <c r="E383" s="45"/>
      <c r="F383" s="45"/>
      <c r="G383" s="45"/>
    </row>
    <row r="384">
      <c r="B384" s="44"/>
      <c r="C384" s="45"/>
      <c r="D384" s="45"/>
      <c r="E384" s="45"/>
      <c r="F384" s="45"/>
      <c r="G384" s="45"/>
    </row>
    <row r="385">
      <c r="B385" s="44"/>
      <c r="C385" s="45"/>
      <c r="D385" s="45"/>
      <c r="E385" s="45"/>
      <c r="F385" s="45"/>
      <c r="G385" s="45"/>
    </row>
    <row r="386">
      <c r="B386" s="44"/>
      <c r="C386" s="45"/>
      <c r="D386" s="45"/>
      <c r="E386" s="45"/>
      <c r="F386" s="45"/>
      <c r="G386" s="45"/>
    </row>
    <row r="387">
      <c r="B387" s="44"/>
      <c r="C387" s="45"/>
      <c r="D387" s="45"/>
      <c r="E387" s="45"/>
      <c r="F387" s="45"/>
      <c r="G387" s="45"/>
    </row>
    <row r="388">
      <c r="B388" s="44"/>
      <c r="C388" s="45"/>
      <c r="D388" s="45"/>
      <c r="E388" s="45"/>
      <c r="F388" s="45"/>
      <c r="G388" s="45"/>
    </row>
    <row r="389">
      <c r="B389" s="44"/>
      <c r="C389" s="45"/>
      <c r="D389" s="45"/>
      <c r="E389" s="45"/>
      <c r="F389" s="45"/>
      <c r="G389" s="45"/>
    </row>
    <row r="390">
      <c r="B390" s="44"/>
      <c r="C390" s="45"/>
      <c r="D390" s="45"/>
      <c r="E390" s="45"/>
      <c r="F390" s="45"/>
      <c r="G390" s="45"/>
    </row>
    <row r="391">
      <c r="B391" s="44"/>
      <c r="C391" s="45"/>
      <c r="D391" s="45"/>
      <c r="E391" s="45"/>
      <c r="F391" s="45"/>
      <c r="G391" s="45"/>
    </row>
    <row r="392">
      <c r="B392" s="44"/>
      <c r="C392" s="45"/>
      <c r="D392" s="45"/>
      <c r="E392" s="45"/>
      <c r="F392" s="45"/>
      <c r="G392" s="45"/>
    </row>
    <row r="393">
      <c r="B393" s="44"/>
      <c r="C393" s="45"/>
      <c r="D393" s="45"/>
      <c r="E393" s="45"/>
      <c r="F393" s="45"/>
      <c r="G393" s="45"/>
    </row>
    <row r="394">
      <c r="B394" s="44"/>
      <c r="C394" s="45"/>
      <c r="D394" s="45"/>
      <c r="E394" s="45"/>
      <c r="F394" s="45"/>
      <c r="G394" s="45"/>
    </row>
    <row r="395">
      <c r="B395" s="44"/>
      <c r="C395" s="45"/>
      <c r="D395" s="45"/>
      <c r="E395" s="45"/>
      <c r="F395" s="45"/>
      <c r="G395" s="45"/>
    </row>
    <row r="396">
      <c r="B396" s="44"/>
      <c r="C396" s="45"/>
      <c r="D396" s="45"/>
      <c r="E396" s="45"/>
      <c r="F396" s="45"/>
      <c r="G396" s="45"/>
    </row>
    <row r="397">
      <c r="B397" s="44"/>
      <c r="C397" s="45"/>
      <c r="D397" s="45"/>
      <c r="E397" s="45"/>
      <c r="F397" s="45"/>
      <c r="G397" s="45"/>
    </row>
    <row r="398">
      <c r="B398" s="44"/>
      <c r="C398" s="45"/>
      <c r="D398" s="45"/>
      <c r="E398" s="45"/>
      <c r="F398" s="45"/>
      <c r="G398" s="45"/>
    </row>
    <row r="399">
      <c r="B399" s="44"/>
      <c r="C399" s="45"/>
      <c r="D399" s="45"/>
      <c r="E399" s="45"/>
      <c r="F399" s="45"/>
      <c r="G399" s="45"/>
    </row>
    <row r="400">
      <c r="B400" s="44"/>
      <c r="C400" s="45"/>
      <c r="D400" s="45"/>
      <c r="E400" s="45"/>
      <c r="F400" s="45"/>
      <c r="G400" s="45"/>
    </row>
    <row r="401">
      <c r="B401" s="44"/>
      <c r="C401" s="45"/>
      <c r="D401" s="45"/>
      <c r="E401" s="45"/>
      <c r="F401" s="45"/>
      <c r="G401" s="45"/>
    </row>
    <row r="402">
      <c r="B402" s="44"/>
      <c r="C402" s="45"/>
      <c r="D402" s="45"/>
      <c r="E402" s="45"/>
      <c r="F402" s="45"/>
      <c r="G402" s="45"/>
    </row>
    <row r="403">
      <c r="B403" s="44"/>
      <c r="C403" s="45"/>
      <c r="D403" s="45"/>
      <c r="E403" s="45"/>
      <c r="F403" s="45"/>
      <c r="G403" s="45"/>
    </row>
    <row r="404">
      <c r="B404" s="44"/>
      <c r="C404" s="45"/>
      <c r="D404" s="45"/>
      <c r="E404" s="45"/>
      <c r="F404" s="45"/>
      <c r="G404" s="45"/>
    </row>
    <row r="405">
      <c r="B405" s="44"/>
      <c r="C405" s="45"/>
      <c r="D405" s="45"/>
      <c r="E405" s="45"/>
      <c r="F405" s="45"/>
      <c r="G405" s="45"/>
    </row>
    <row r="406">
      <c r="B406" s="44"/>
      <c r="C406" s="45"/>
      <c r="D406" s="45"/>
      <c r="E406" s="45"/>
      <c r="F406" s="45"/>
      <c r="G406" s="45"/>
    </row>
    <row r="407">
      <c r="B407" s="44"/>
      <c r="C407" s="45"/>
      <c r="D407" s="45"/>
      <c r="E407" s="45"/>
      <c r="F407" s="45"/>
      <c r="G407" s="45"/>
    </row>
    <row r="408">
      <c r="B408" s="44"/>
      <c r="C408" s="45"/>
      <c r="D408" s="45"/>
      <c r="E408" s="45"/>
      <c r="F408" s="45"/>
      <c r="G408" s="45"/>
    </row>
    <row r="409">
      <c r="B409" s="44"/>
      <c r="C409" s="45"/>
      <c r="D409" s="45"/>
      <c r="E409" s="45"/>
      <c r="F409" s="45"/>
      <c r="G409" s="45"/>
    </row>
    <row r="410">
      <c r="B410" s="44"/>
      <c r="C410" s="45"/>
      <c r="D410" s="45"/>
      <c r="E410" s="45"/>
      <c r="F410" s="45"/>
      <c r="G410" s="45"/>
    </row>
    <row r="411">
      <c r="B411" s="44"/>
      <c r="C411" s="45"/>
      <c r="D411" s="45"/>
      <c r="E411" s="45"/>
      <c r="F411" s="45"/>
      <c r="G411" s="45"/>
    </row>
    <row r="412">
      <c r="B412" s="44"/>
      <c r="C412" s="45"/>
      <c r="D412" s="45"/>
      <c r="E412" s="45"/>
      <c r="F412" s="45"/>
      <c r="G412" s="45"/>
    </row>
    <row r="413">
      <c r="B413" s="44"/>
      <c r="C413" s="45"/>
      <c r="D413" s="45"/>
      <c r="E413" s="45"/>
      <c r="F413" s="45"/>
      <c r="G413" s="45"/>
    </row>
    <row r="414">
      <c r="B414" s="44"/>
      <c r="C414" s="45"/>
      <c r="D414" s="45"/>
      <c r="E414" s="45"/>
      <c r="F414" s="45"/>
      <c r="G414" s="45"/>
    </row>
    <row r="415">
      <c r="B415" s="44"/>
      <c r="C415" s="45"/>
      <c r="D415" s="45"/>
      <c r="E415" s="45"/>
      <c r="F415" s="45"/>
      <c r="G415" s="45"/>
    </row>
    <row r="416">
      <c r="B416" s="44"/>
      <c r="C416" s="45"/>
      <c r="D416" s="45"/>
      <c r="E416" s="45"/>
      <c r="F416" s="45"/>
      <c r="G416" s="45"/>
    </row>
    <row r="417">
      <c r="B417" s="44"/>
      <c r="C417" s="45"/>
      <c r="D417" s="45"/>
      <c r="E417" s="45"/>
      <c r="F417" s="45"/>
      <c r="G417" s="45"/>
    </row>
    <row r="418">
      <c r="B418" s="44"/>
      <c r="C418" s="45"/>
      <c r="D418" s="45"/>
      <c r="E418" s="45"/>
      <c r="F418" s="45"/>
      <c r="G418" s="45"/>
    </row>
    <row r="419">
      <c r="B419" s="44"/>
      <c r="C419" s="45"/>
      <c r="D419" s="45"/>
      <c r="E419" s="45"/>
      <c r="F419" s="45"/>
      <c r="G419" s="45"/>
    </row>
    <row r="420">
      <c r="B420" s="44"/>
      <c r="C420" s="45"/>
      <c r="D420" s="45"/>
      <c r="E420" s="45"/>
      <c r="F420" s="45"/>
      <c r="G420" s="45"/>
    </row>
    <row r="421">
      <c r="B421" s="44"/>
      <c r="C421" s="45"/>
      <c r="D421" s="45"/>
      <c r="E421" s="45"/>
      <c r="F421" s="45"/>
      <c r="G421" s="45"/>
    </row>
    <row r="422">
      <c r="B422" s="44"/>
      <c r="C422" s="45"/>
      <c r="D422" s="45"/>
      <c r="E422" s="45"/>
      <c r="F422" s="45"/>
      <c r="G422" s="45"/>
    </row>
    <row r="423">
      <c r="B423" s="44"/>
      <c r="C423" s="45"/>
      <c r="D423" s="45"/>
      <c r="E423" s="45"/>
      <c r="F423" s="45"/>
      <c r="G423" s="45"/>
    </row>
    <row r="424">
      <c r="B424" s="44"/>
      <c r="C424" s="45"/>
      <c r="D424" s="45"/>
      <c r="E424" s="45"/>
      <c r="F424" s="45"/>
      <c r="G424" s="45"/>
    </row>
    <row r="425">
      <c r="B425" s="44"/>
      <c r="C425" s="45"/>
      <c r="D425" s="45"/>
      <c r="E425" s="45"/>
      <c r="F425" s="45"/>
      <c r="G425" s="45"/>
    </row>
    <row r="426">
      <c r="B426" s="44"/>
      <c r="C426" s="45"/>
      <c r="D426" s="45"/>
      <c r="E426" s="45"/>
      <c r="F426" s="45"/>
      <c r="G426" s="45"/>
    </row>
    <row r="427">
      <c r="B427" s="44"/>
      <c r="C427" s="45"/>
      <c r="D427" s="45"/>
      <c r="E427" s="45"/>
      <c r="F427" s="45"/>
      <c r="G427" s="45"/>
    </row>
    <row r="428">
      <c r="B428" s="44"/>
      <c r="C428" s="45"/>
      <c r="D428" s="45"/>
      <c r="E428" s="45"/>
      <c r="F428" s="45"/>
      <c r="G428" s="45"/>
    </row>
    <row r="429">
      <c r="B429" s="44"/>
      <c r="C429" s="45"/>
      <c r="D429" s="45"/>
      <c r="E429" s="45"/>
      <c r="F429" s="45"/>
      <c r="G429" s="45"/>
    </row>
    <row r="430">
      <c r="B430" s="44"/>
      <c r="C430" s="45"/>
      <c r="D430" s="45"/>
      <c r="E430" s="45"/>
      <c r="F430" s="45"/>
      <c r="G430" s="45"/>
    </row>
    <row r="431">
      <c r="B431" s="44"/>
      <c r="C431" s="45"/>
      <c r="D431" s="45"/>
      <c r="E431" s="45"/>
      <c r="F431" s="45"/>
      <c r="G431" s="45"/>
    </row>
    <row r="432">
      <c r="B432" s="44"/>
      <c r="C432" s="45"/>
      <c r="D432" s="45"/>
      <c r="E432" s="45"/>
      <c r="F432" s="45"/>
      <c r="G432" s="45"/>
    </row>
    <row r="433">
      <c r="B433" s="44"/>
      <c r="C433" s="45"/>
      <c r="D433" s="45"/>
      <c r="E433" s="45"/>
      <c r="F433" s="45"/>
      <c r="G433" s="45"/>
    </row>
    <row r="434">
      <c r="B434" s="44"/>
      <c r="C434" s="45"/>
      <c r="D434" s="45"/>
      <c r="E434" s="45"/>
      <c r="F434" s="45"/>
      <c r="G434" s="45"/>
    </row>
    <row r="435">
      <c r="B435" s="44"/>
      <c r="C435" s="45"/>
      <c r="D435" s="45"/>
      <c r="E435" s="45"/>
      <c r="F435" s="45"/>
      <c r="G435" s="45"/>
    </row>
    <row r="436">
      <c r="B436" s="44"/>
      <c r="C436" s="45"/>
      <c r="D436" s="45"/>
      <c r="E436" s="45"/>
      <c r="F436" s="45"/>
      <c r="G436" s="45"/>
    </row>
    <row r="437">
      <c r="B437" s="44"/>
      <c r="C437" s="45"/>
      <c r="D437" s="45"/>
      <c r="E437" s="45"/>
      <c r="F437" s="45"/>
      <c r="G437" s="45"/>
    </row>
    <row r="438">
      <c r="B438" s="44"/>
      <c r="C438" s="45"/>
      <c r="D438" s="45"/>
      <c r="E438" s="45"/>
      <c r="F438" s="45"/>
      <c r="G438" s="45"/>
    </row>
    <row r="439">
      <c r="B439" s="44"/>
      <c r="C439" s="45"/>
      <c r="D439" s="45"/>
      <c r="E439" s="45"/>
      <c r="F439" s="45"/>
      <c r="G439" s="45"/>
    </row>
    <row r="440">
      <c r="B440" s="44"/>
      <c r="C440" s="45"/>
      <c r="D440" s="45"/>
      <c r="E440" s="45"/>
      <c r="F440" s="45"/>
      <c r="G440" s="45"/>
    </row>
    <row r="441">
      <c r="B441" s="44"/>
      <c r="C441" s="45"/>
      <c r="D441" s="45"/>
      <c r="E441" s="45"/>
      <c r="F441" s="45"/>
      <c r="G441" s="45"/>
    </row>
    <row r="442">
      <c r="B442" s="44"/>
      <c r="C442" s="45"/>
      <c r="D442" s="45"/>
      <c r="E442" s="45"/>
      <c r="F442" s="45"/>
      <c r="G442" s="45"/>
    </row>
    <row r="443">
      <c r="B443" s="44"/>
      <c r="C443" s="45"/>
      <c r="D443" s="45"/>
      <c r="E443" s="45"/>
      <c r="F443" s="45"/>
      <c r="G443" s="45"/>
    </row>
    <row r="444">
      <c r="B444" s="44"/>
      <c r="C444" s="45"/>
      <c r="D444" s="45"/>
      <c r="E444" s="45"/>
      <c r="F444" s="45"/>
      <c r="G444" s="45"/>
    </row>
    <row r="445">
      <c r="B445" s="44"/>
      <c r="C445" s="45"/>
      <c r="D445" s="45"/>
      <c r="E445" s="45"/>
      <c r="F445" s="45"/>
      <c r="G445" s="45"/>
    </row>
    <row r="446">
      <c r="B446" s="44"/>
      <c r="C446" s="45"/>
      <c r="D446" s="45"/>
      <c r="E446" s="45"/>
      <c r="F446" s="45"/>
      <c r="G446" s="45"/>
    </row>
    <row r="447">
      <c r="B447" s="44"/>
      <c r="C447" s="45"/>
      <c r="D447" s="45"/>
      <c r="E447" s="45"/>
      <c r="F447" s="45"/>
      <c r="G447" s="45"/>
    </row>
    <row r="448">
      <c r="B448" s="44"/>
      <c r="C448" s="45"/>
      <c r="D448" s="45"/>
      <c r="E448" s="45"/>
      <c r="F448" s="45"/>
      <c r="G448" s="45"/>
    </row>
    <row r="449">
      <c r="B449" s="44"/>
      <c r="C449" s="45"/>
      <c r="D449" s="45"/>
      <c r="E449" s="45"/>
      <c r="F449" s="45"/>
      <c r="G449" s="45"/>
    </row>
    <row r="450">
      <c r="B450" s="44"/>
      <c r="C450" s="45"/>
      <c r="D450" s="45"/>
      <c r="E450" s="45"/>
      <c r="F450" s="45"/>
      <c r="G450" s="45"/>
    </row>
    <row r="451">
      <c r="B451" s="44"/>
      <c r="C451" s="45"/>
      <c r="D451" s="45"/>
      <c r="E451" s="45"/>
      <c r="F451" s="45"/>
      <c r="G451" s="45"/>
    </row>
    <row r="452">
      <c r="B452" s="44"/>
      <c r="C452" s="45"/>
      <c r="D452" s="45"/>
      <c r="E452" s="45"/>
      <c r="F452" s="45"/>
      <c r="G452" s="45"/>
    </row>
    <row r="453">
      <c r="B453" s="44"/>
      <c r="C453" s="45"/>
      <c r="D453" s="45"/>
      <c r="E453" s="45"/>
      <c r="F453" s="45"/>
      <c r="G453" s="45"/>
    </row>
    <row r="454">
      <c r="B454" s="44"/>
      <c r="C454" s="45"/>
      <c r="D454" s="45"/>
      <c r="E454" s="45"/>
      <c r="F454" s="45"/>
      <c r="G454" s="45"/>
    </row>
    <row r="455">
      <c r="B455" s="44"/>
      <c r="C455" s="45"/>
      <c r="D455" s="45"/>
      <c r="E455" s="45"/>
      <c r="F455" s="45"/>
      <c r="G455" s="45"/>
    </row>
    <row r="456">
      <c r="B456" s="44"/>
      <c r="C456" s="45"/>
      <c r="D456" s="45"/>
      <c r="E456" s="45"/>
      <c r="F456" s="45"/>
      <c r="G456" s="45"/>
    </row>
    <row r="457">
      <c r="B457" s="44"/>
      <c r="C457" s="45"/>
      <c r="D457" s="45"/>
      <c r="E457" s="45"/>
      <c r="F457" s="45"/>
      <c r="G457" s="45"/>
    </row>
    <row r="458">
      <c r="B458" s="44"/>
      <c r="C458" s="45"/>
      <c r="D458" s="45"/>
      <c r="E458" s="45"/>
      <c r="F458" s="45"/>
      <c r="G458" s="45"/>
    </row>
    <row r="459">
      <c r="B459" s="44"/>
      <c r="C459" s="45"/>
      <c r="D459" s="45"/>
      <c r="E459" s="45"/>
      <c r="F459" s="45"/>
      <c r="G459" s="45"/>
    </row>
    <row r="460">
      <c r="B460" s="44"/>
      <c r="C460" s="45"/>
      <c r="D460" s="45"/>
      <c r="E460" s="45"/>
      <c r="F460" s="45"/>
      <c r="G460" s="45"/>
    </row>
    <row r="461">
      <c r="B461" s="44"/>
      <c r="C461" s="45"/>
      <c r="D461" s="45"/>
      <c r="E461" s="45"/>
      <c r="F461" s="45"/>
      <c r="G461" s="45"/>
    </row>
    <row r="462">
      <c r="B462" s="44"/>
      <c r="C462" s="45"/>
      <c r="D462" s="45"/>
      <c r="E462" s="45"/>
      <c r="F462" s="45"/>
      <c r="G462" s="45"/>
    </row>
    <row r="463">
      <c r="B463" s="44"/>
      <c r="C463" s="45"/>
      <c r="D463" s="45"/>
      <c r="E463" s="45"/>
      <c r="F463" s="45"/>
      <c r="G463" s="45"/>
    </row>
    <row r="464">
      <c r="B464" s="44"/>
      <c r="C464" s="45"/>
      <c r="D464" s="45"/>
      <c r="E464" s="45"/>
      <c r="F464" s="45"/>
      <c r="G464" s="45"/>
    </row>
    <row r="465">
      <c r="B465" s="44"/>
      <c r="C465" s="45"/>
      <c r="D465" s="45"/>
      <c r="E465" s="45"/>
      <c r="F465" s="45"/>
      <c r="G465" s="45"/>
    </row>
    <row r="466">
      <c r="B466" s="44"/>
      <c r="C466" s="45"/>
      <c r="D466" s="45"/>
      <c r="E466" s="45"/>
      <c r="F466" s="45"/>
      <c r="G466" s="45"/>
    </row>
    <row r="467">
      <c r="B467" s="44"/>
      <c r="C467" s="45"/>
      <c r="D467" s="45"/>
      <c r="E467" s="45"/>
      <c r="F467" s="45"/>
      <c r="G467" s="45"/>
    </row>
    <row r="468">
      <c r="B468" s="44"/>
      <c r="C468" s="45"/>
      <c r="D468" s="45"/>
      <c r="E468" s="45"/>
      <c r="F468" s="45"/>
      <c r="G468" s="45"/>
    </row>
    <row r="469">
      <c r="B469" s="44"/>
      <c r="C469" s="45"/>
      <c r="D469" s="45"/>
      <c r="E469" s="45"/>
      <c r="F469" s="45"/>
      <c r="G469" s="45"/>
    </row>
    <row r="470">
      <c r="B470" s="44"/>
      <c r="C470" s="45"/>
      <c r="D470" s="45"/>
      <c r="E470" s="45"/>
      <c r="F470" s="45"/>
      <c r="G470" s="45"/>
    </row>
    <row r="471">
      <c r="B471" s="44"/>
      <c r="C471" s="45"/>
      <c r="D471" s="45"/>
      <c r="E471" s="45"/>
      <c r="F471" s="45"/>
      <c r="G471" s="45"/>
    </row>
    <row r="472">
      <c r="B472" s="44"/>
      <c r="C472" s="45"/>
      <c r="D472" s="45"/>
      <c r="E472" s="45"/>
      <c r="F472" s="45"/>
      <c r="G472" s="45"/>
    </row>
    <row r="473">
      <c r="B473" s="44"/>
      <c r="C473" s="45"/>
      <c r="D473" s="45"/>
      <c r="E473" s="45"/>
      <c r="F473" s="45"/>
      <c r="G473" s="45"/>
    </row>
    <row r="474">
      <c r="B474" s="44"/>
      <c r="C474" s="45"/>
      <c r="D474" s="45"/>
      <c r="E474" s="45"/>
      <c r="F474" s="45"/>
      <c r="G474" s="45"/>
    </row>
    <row r="475">
      <c r="B475" s="44"/>
      <c r="C475" s="45"/>
      <c r="D475" s="45"/>
      <c r="E475" s="45"/>
      <c r="F475" s="45"/>
      <c r="G475" s="45"/>
    </row>
    <row r="476">
      <c r="B476" s="44"/>
      <c r="C476" s="45"/>
      <c r="D476" s="45"/>
      <c r="E476" s="45"/>
      <c r="F476" s="45"/>
      <c r="G476" s="45"/>
    </row>
    <row r="477">
      <c r="B477" s="44"/>
      <c r="C477" s="45"/>
      <c r="D477" s="45"/>
      <c r="E477" s="45"/>
      <c r="F477" s="45"/>
      <c r="G477" s="45"/>
    </row>
    <row r="478">
      <c r="B478" s="44"/>
      <c r="C478" s="45"/>
      <c r="D478" s="45"/>
      <c r="E478" s="45"/>
      <c r="F478" s="45"/>
      <c r="G478" s="45"/>
    </row>
    <row r="479">
      <c r="B479" s="44"/>
      <c r="C479" s="45"/>
      <c r="D479" s="45"/>
      <c r="E479" s="45"/>
      <c r="F479" s="45"/>
      <c r="G479" s="45"/>
    </row>
    <row r="480">
      <c r="B480" s="44"/>
      <c r="C480" s="45"/>
      <c r="D480" s="45"/>
      <c r="E480" s="45"/>
      <c r="F480" s="45"/>
      <c r="G480" s="45"/>
    </row>
    <row r="481">
      <c r="B481" s="44"/>
      <c r="C481" s="45"/>
      <c r="D481" s="45"/>
      <c r="E481" s="45"/>
      <c r="F481" s="45"/>
      <c r="G481" s="45"/>
    </row>
    <row r="482">
      <c r="B482" s="44"/>
      <c r="C482" s="45"/>
      <c r="D482" s="45"/>
      <c r="E482" s="45"/>
      <c r="F482" s="45"/>
      <c r="G482" s="45"/>
    </row>
    <row r="483">
      <c r="B483" s="44"/>
      <c r="C483" s="45"/>
      <c r="D483" s="45"/>
      <c r="E483" s="45"/>
      <c r="F483" s="45"/>
      <c r="G483" s="45"/>
    </row>
    <row r="484">
      <c r="B484" s="44"/>
      <c r="C484" s="45"/>
      <c r="D484" s="45"/>
      <c r="E484" s="45"/>
      <c r="F484" s="45"/>
      <c r="G484" s="45"/>
    </row>
    <row r="485">
      <c r="B485" s="44"/>
      <c r="C485" s="45"/>
      <c r="D485" s="45"/>
      <c r="E485" s="45"/>
      <c r="F485" s="45"/>
      <c r="G485" s="45"/>
    </row>
    <row r="486">
      <c r="B486" s="44"/>
      <c r="C486" s="45"/>
      <c r="D486" s="45"/>
      <c r="E486" s="45"/>
      <c r="F486" s="45"/>
      <c r="G486" s="45"/>
    </row>
    <row r="487">
      <c r="B487" s="44"/>
      <c r="C487" s="45"/>
      <c r="D487" s="45"/>
      <c r="E487" s="45"/>
      <c r="F487" s="45"/>
      <c r="G487" s="45"/>
    </row>
    <row r="488">
      <c r="B488" s="44"/>
      <c r="C488" s="45"/>
      <c r="D488" s="45"/>
      <c r="E488" s="45"/>
      <c r="F488" s="45"/>
      <c r="G488" s="45"/>
    </row>
    <row r="489">
      <c r="B489" s="44"/>
      <c r="C489" s="45"/>
      <c r="D489" s="45"/>
      <c r="E489" s="45"/>
      <c r="F489" s="45"/>
      <c r="G489" s="45"/>
    </row>
    <row r="490">
      <c r="B490" s="44"/>
      <c r="C490" s="45"/>
      <c r="D490" s="45"/>
      <c r="E490" s="45"/>
      <c r="F490" s="45"/>
      <c r="G490" s="45"/>
    </row>
    <row r="491">
      <c r="B491" s="44"/>
      <c r="C491" s="45"/>
      <c r="D491" s="45"/>
      <c r="E491" s="45"/>
      <c r="F491" s="45"/>
      <c r="G491" s="45"/>
    </row>
    <row r="492">
      <c r="B492" s="44"/>
      <c r="C492" s="45"/>
      <c r="D492" s="45"/>
      <c r="E492" s="45"/>
      <c r="F492" s="45"/>
      <c r="G492" s="45"/>
    </row>
    <row r="493">
      <c r="B493" s="44"/>
      <c r="C493" s="45"/>
      <c r="D493" s="45"/>
      <c r="E493" s="45"/>
      <c r="F493" s="45"/>
      <c r="G493" s="45"/>
    </row>
    <row r="494">
      <c r="B494" s="44"/>
      <c r="C494" s="45"/>
      <c r="D494" s="45"/>
      <c r="E494" s="45"/>
      <c r="F494" s="45"/>
      <c r="G494" s="45"/>
    </row>
    <row r="495">
      <c r="B495" s="44"/>
      <c r="C495" s="45"/>
      <c r="D495" s="45"/>
      <c r="E495" s="45"/>
      <c r="F495" s="45"/>
      <c r="G495" s="45"/>
    </row>
    <row r="496">
      <c r="B496" s="44"/>
      <c r="C496" s="45"/>
      <c r="D496" s="45"/>
      <c r="E496" s="45"/>
      <c r="F496" s="45"/>
      <c r="G496" s="45"/>
    </row>
    <row r="497">
      <c r="B497" s="44"/>
      <c r="C497" s="45"/>
      <c r="D497" s="45"/>
      <c r="E497" s="45"/>
      <c r="F497" s="45"/>
      <c r="G497" s="45"/>
    </row>
    <row r="498">
      <c r="B498" s="44"/>
      <c r="C498" s="45"/>
      <c r="D498" s="45"/>
      <c r="E498" s="45"/>
      <c r="F498" s="45"/>
      <c r="G498" s="45"/>
    </row>
    <row r="499">
      <c r="B499" s="44"/>
      <c r="C499" s="45"/>
      <c r="D499" s="45"/>
      <c r="E499" s="45"/>
      <c r="F499" s="45"/>
      <c r="G499" s="45"/>
    </row>
    <row r="500">
      <c r="B500" s="44"/>
      <c r="C500" s="45"/>
      <c r="D500" s="45"/>
      <c r="E500" s="45"/>
      <c r="F500" s="45"/>
      <c r="G500" s="45"/>
    </row>
    <row r="501">
      <c r="B501" s="44"/>
      <c r="C501" s="45"/>
      <c r="D501" s="45"/>
      <c r="E501" s="45"/>
      <c r="F501" s="45"/>
      <c r="G501" s="45"/>
    </row>
    <row r="502">
      <c r="B502" s="44"/>
      <c r="C502" s="45"/>
      <c r="D502" s="45"/>
      <c r="E502" s="45"/>
      <c r="F502" s="45"/>
      <c r="G502" s="45"/>
    </row>
    <row r="503">
      <c r="B503" s="44"/>
      <c r="C503" s="45"/>
      <c r="D503" s="45"/>
      <c r="E503" s="45"/>
      <c r="F503" s="45"/>
      <c r="G503" s="45"/>
    </row>
    <row r="504">
      <c r="B504" s="44"/>
      <c r="C504" s="45"/>
      <c r="D504" s="45"/>
      <c r="E504" s="45"/>
      <c r="F504" s="45"/>
      <c r="G504" s="45"/>
    </row>
    <row r="505">
      <c r="B505" s="44"/>
      <c r="C505" s="45"/>
      <c r="D505" s="45"/>
      <c r="E505" s="45"/>
      <c r="F505" s="45"/>
      <c r="G505" s="45"/>
    </row>
    <row r="506">
      <c r="B506" s="44"/>
      <c r="C506" s="45"/>
      <c r="D506" s="45"/>
      <c r="E506" s="45"/>
      <c r="F506" s="45"/>
      <c r="G506" s="45"/>
    </row>
    <row r="507">
      <c r="B507" s="44"/>
      <c r="C507" s="45"/>
      <c r="D507" s="45"/>
      <c r="E507" s="45"/>
      <c r="F507" s="45"/>
      <c r="G507" s="45"/>
    </row>
    <row r="508">
      <c r="B508" s="44"/>
      <c r="C508" s="45"/>
      <c r="D508" s="45"/>
      <c r="E508" s="45"/>
      <c r="F508" s="45"/>
      <c r="G508" s="45"/>
    </row>
    <row r="509">
      <c r="B509" s="44"/>
      <c r="C509" s="45"/>
      <c r="D509" s="45"/>
      <c r="E509" s="45"/>
      <c r="F509" s="45"/>
      <c r="G509" s="45"/>
    </row>
    <row r="510">
      <c r="B510" s="44"/>
      <c r="C510" s="45"/>
      <c r="D510" s="45"/>
      <c r="E510" s="45"/>
      <c r="F510" s="45"/>
      <c r="G510" s="45"/>
    </row>
    <row r="511">
      <c r="B511" s="44"/>
      <c r="C511" s="45"/>
      <c r="D511" s="45"/>
      <c r="E511" s="45"/>
      <c r="F511" s="45"/>
      <c r="G511" s="45"/>
    </row>
    <row r="512">
      <c r="B512" s="44"/>
      <c r="C512" s="45"/>
      <c r="D512" s="45"/>
      <c r="E512" s="45"/>
      <c r="F512" s="45"/>
      <c r="G512" s="45"/>
    </row>
    <row r="513">
      <c r="B513" s="44"/>
      <c r="C513" s="45"/>
      <c r="D513" s="45"/>
      <c r="E513" s="45"/>
      <c r="F513" s="45"/>
      <c r="G513" s="45"/>
    </row>
    <row r="514">
      <c r="B514" s="44"/>
      <c r="C514" s="45"/>
      <c r="D514" s="45"/>
      <c r="E514" s="45"/>
      <c r="F514" s="45"/>
      <c r="G514" s="45"/>
    </row>
    <row r="515">
      <c r="B515" s="44"/>
      <c r="C515" s="45"/>
      <c r="D515" s="45"/>
      <c r="E515" s="45"/>
      <c r="F515" s="45"/>
      <c r="G515" s="45"/>
    </row>
    <row r="516">
      <c r="B516" s="44"/>
      <c r="C516" s="45"/>
      <c r="D516" s="45"/>
      <c r="E516" s="45"/>
      <c r="F516" s="45"/>
      <c r="G516" s="45"/>
    </row>
    <row r="517">
      <c r="B517" s="44"/>
      <c r="C517" s="45"/>
      <c r="D517" s="45"/>
      <c r="E517" s="45"/>
      <c r="F517" s="45"/>
      <c r="G517" s="45"/>
    </row>
    <row r="518">
      <c r="B518" s="44"/>
      <c r="C518" s="45"/>
      <c r="D518" s="45"/>
      <c r="E518" s="45"/>
      <c r="F518" s="45"/>
      <c r="G518" s="45"/>
    </row>
    <row r="519">
      <c r="B519" s="44"/>
      <c r="C519" s="45"/>
      <c r="D519" s="45"/>
      <c r="E519" s="45"/>
      <c r="F519" s="45"/>
      <c r="G519" s="45"/>
    </row>
    <row r="520">
      <c r="B520" s="44"/>
      <c r="C520" s="45"/>
      <c r="D520" s="45"/>
      <c r="E520" s="45"/>
      <c r="F520" s="45"/>
      <c r="G520" s="45"/>
    </row>
    <row r="521">
      <c r="B521" s="44"/>
      <c r="C521" s="45"/>
      <c r="D521" s="45"/>
      <c r="E521" s="45"/>
      <c r="F521" s="45"/>
      <c r="G521" s="45"/>
    </row>
    <row r="522">
      <c r="B522" s="44"/>
      <c r="C522" s="45"/>
      <c r="D522" s="45"/>
      <c r="E522" s="45"/>
      <c r="F522" s="45"/>
      <c r="G522" s="45"/>
    </row>
    <row r="523">
      <c r="B523" s="44"/>
      <c r="C523" s="45"/>
      <c r="D523" s="45"/>
      <c r="E523" s="45"/>
      <c r="F523" s="45"/>
      <c r="G523" s="45"/>
    </row>
    <row r="524">
      <c r="B524" s="44"/>
      <c r="C524" s="45"/>
      <c r="D524" s="45"/>
      <c r="E524" s="45"/>
      <c r="F524" s="45"/>
      <c r="G524" s="45"/>
    </row>
    <row r="525">
      <c r="B525" s="44"/>
      <c r="C525" s="45"/>
      <c r="D525" s="45"/>
      <c r="E525" s="45"/>
      <c r="F525" s="45"/>
      <c r="G525" s="45"/>
    </row>
    <row r="526">
      <c r="B526" s="44"/>
      <c r="C526" s="45"/>
      <c r="D526" s="45"/>
      <c r="E526" s="45"/>
      <c r="F526" s="45"/>
      <c r="G526" s="45"/>
    </row>
    <row r="527">
      <c r="B527" s="44"/>
      <c r="C527" s="45"/>
      <c r="D527" s="45"/>
      <c r="E527" s="45"/>
      <c r="F527" s="45"/>
      <c r="G527" s="45"/>
    </row>
    <row r="528">
      <c r="B528" s="44"/>
      <c r="C528" s="45"/>
      <c r="D528" s="45"/>
      <c r="E528" s="45"/>
      <c r="F528" s="45"/>
      <c r="G528" s="45"/>
    </row>
    <row r="529">
      <c r="B529" s="44"/>
      <c r="C529" s="45"/>
      <c r="D529" s="45"/>
      <c r="E529" s="45"/>
      <c r="F529" s="45"/>
      <c r="G529" s="45"/>
    </row>
    <row r="530">
      <c r="B530" s="44"/>
      <c r="C530" s="45"/>
      <c r="D530" s="45"/>
      <c r="E530" s="45"/>
      <c r="F530" s="45"/>
      <c r="G530" s="45"/>
    </row>
    <row r="531">
      <c r="B531" s="44"/>
      <c r="C531" s="45"/>
      <c r="D531" s="45"/>
      <c r="E531" s="45"/>
      <c r="F531" s="45"/>
      <c r="G531" s="45"/>
    </row>
    <row r="532">
      <c r="B532" s="44"/>
      <c r="C532" s="45"/>
      <c r="D532" s="45"/>
      <c r="E532" s="45"/>
      <c r="F532" s="45"/>
      <c r="G532" s="45"/>
    </row>
    <row r="533">
      <c r="B533" s="44"/>
      <c r="C533" s="45"/>
      <c r="D533" s="45"/>
      <c r="E533" s="45"/>
      <c r="F533" s="45"/>
      <c r="G533" s="45"/>
    </row>
    <row r="534">
      <c r="B534" s="44"/>
      <c r="C534" s="45"/>
      <c r="D534" s="45"/>
      <c r="E534" s="45"/>
      <c r="F534" s="45"/>
      <c r="G534" s="45"/>
    </row>
    <row r="535">
      <c r="B535" s="44"/>
      <c r="C535" s="45"/>
      <c r="D535" s="45"/>
      <c r="E535" s="45"/>
      <c r="F535" s="45"/>
      <c r="G535" s="45"/>
    </row>
    <row r="536">
      <c r="B536" s="44"/>
      <c r="C536" s="45"/>
      <c r="D536" s="45"/>
      <c r="E536" s="45"/>
      <c r="F536" s="45"/>
      <c r="G536" s="45"/>
    </row>
    <row r="537">
      <c r="B537" s="44"/>
      <c r="C537" s="45"/>
      <c r="D537" s="45"/>
      <c r="E537" s="45"/>
      <c r="F537" s="45"/>
      <c r="G537" s="45"/>
    </row>
    <row r="538">
      <c r="B538" s="44"/>
      <c r="C538" s="45"/>
      <c r="D538" s="45"/>
      <c r="E538" s="45"/>
      <c r="F538" s="45"/>
      <c r="G538" s="45"/>
    </row>
    <row r="539">
      <c r="B539" s="44"/>
      <c r="C539" s="45"/>
      <c r="D539" s="45"/>
      <c r="E539" s="45"/>
      <c r="F539" s="45"/>
      <c r="G539" s="45"/>
    </row>
    <row r="540">
      <c r="B540" s="44"/>
      <c r="C540" s="45"/>
      <c r="D540" s="45"/>
      <c r="E540" s="45"/>
      <c r="F540" s="45"/>
      <c r="G540" s="45"/>
    </row>
    <row r="541">
      <c r="B541" s="44"/>
      <c r="C541" s="45"/>
      <c r="D541" s="45"/>
      <c r="E541" s="45"/>
      <c r="F541" s="45"/>
      <c r="G541" s="45"/>
    </row>
    <row r="542">
      <c r="B542" s="44"/>
      <c r="C542" s="45"/>
      <c r="D542" s="45"/>
      <c r="E542" s="45"/>
      <c r="F542" s="45"/>
      <c r="G542" s="45"/>
    </row>
    <row r="543">
      <c r="B543" s="44"/>
      <c r="C543" s="45"/>
      <c r="D543" s="45"/>
      <c r="E543" s="45"/>
      <c r="F543" s="45"/>
      <c r="G543" s="45"/>
    </row>
    <row r="544">
      <c r="B544" s="44"/>
      <c r="C544" s="45"/>
      <c r="D544" s="45"/>
      <c r="E544" s="45"/>
      <c r="F544" s="45"/>
      <c r="G544" s="45"/>
    </row>
    <row r="545">
      <c r="B545" s="44"/>
      <c r="C545" s="45"/>
      <c r="D545" s="45"/>
      <c r="E545" s="45"/>
      <c r="F545" s="45"/>
      <c r="G545" s="45"/>
    </row>
    <row r="546">
      <c r="B546" s="44"/>
      <c r="C546" s="45"/>
      <c r="D546" s="45"/>
      <c r="E546" s="45"/>
      <c r="F546" s="45"/>
      <c r="G546" s="45"/>
    </row>
    <row r="547">
      <c r="B547" s="44"/>
      <c r="C547" s="45"/>
      <c r="D547" s="45"/>
      <c r="E547" s="45"/>
      <c r="F547" s="45"/>
      <c r="G547" s="45"/>
    </row>
    <row r="548">
      <c r="B548" s="44"/>
      <c r="C548" s="45"/>
      <c r="D548" s="45"/>
      <c r="E548" s="45"/>
      <c r="F548" s="45"/>
      <c r="G548" s="45"/>
    </row>
    <row r="549">
      <c r="B549" s="44"/>
      <c r="C549" s="45"/>
      <c r="D549" s="45"/>
      <c r="E549" s="45"/>
      <c r="F549" s="45"/>
      <c r="G549" s="45"/>
    </row>
    <row r="550">
      <c r="B550" s="44"/>
      <c r="C550" s="45"/>
      <c r="D550" s="45"/>
      <c r="E550" s="45"/>
      <c r="F550" s="45"/>
      <c r="G550" s="45"/>
    </row>
    <row r="551">
      <c r="B551" s="44"/>
      <c r="C551" s="45"/>
      <c r="D551" s="45"/>
      <c r="E551" s="45"/>
      <c r="F551" s="45"/>
      <c r="G551" s="45"/>
    </row>
    <row r="552">
      <c r="B552" s="44"/>
      <c r="C552" s="45"/>
      <c r="D552" s="45"/>
      <c r="E552" s="45"/>
      <c r="F552" s="45"/>
      <c r="G552" s="45"/>
    </row>
    <row r="553">
      <c r="B553" s="44"/>
      <c r="C553" s="45"/>
      <c r="D553" s="45"/>
      <c r="E553" s="45"/>
      <c r="F553" s="45"/>
      <c r="G553" s="45"/>
    </row>
    <row r="554">
      <c r="B554" s="44"/>
      <c r="C554" s="45"/>
      <c r="D554" s="45"/>
      <c r="E554" s="45"/>
      <c r="F554" s="45"/>
      <c r="G554" s="45"/>
    </row>
    <row r="555">
      <c r="B555" s="44"/>
      <c r="C555" s="45"/>
      <c r="D555" s="45"/>
      <c r="E555" s="45"/>
      <c r="F555" s="45"/>
      <c r="G555" s="45"/>
    </row>
    <row r="556">
      <c r="B556" s="44"/>
      <c r="C556" s="45"/>
      <c r="D556" s="45"/>
      <c r="E556" s="45"/>
      <c r="F556" s="45"/>
      <c r="G556" s="45"/>
    </row>
    <row r="557">
      <c r="B557" s="44"/>
      <c r="C557" s="45"/>
      <c r="D557" s="45"/>
      <c r="E557" s="45"/>
      <c r="F557" s="45"/>
      <c r="G557" s="45"/>
    </row>
    <row r="558">
      <c r="B558" s="44"/>
      <c r="C558" s="45"/>
      <c r="D558" s="45"/>
      <c r="E558" s="45"/>
      <c r="F558" s="45"/>
      <c r="G558" s="45"/>
    </row>
    <row r="559">
      <c r="B559" s="44"/>
      <c r="C559" s="45"/>
      <c r="D559" s="45"/>
      <c r="E559" s="45"/>
      <c r="F559" s="45"/>
      <c r="G559" s="45"/>
    </row>
    <row r="560">
      <c r="B560" s="44"/>
      <c r="C560" s="45"/>
      <c r="D560" s="45"/>
      <c r="E560" s="45"/>
      <c r="F560" s="45"/>
      <c r="G560" s="45"/>
    </row>
    <row r="561">
      <c r="B561" s="44"/>
      <c r="C561" s="45"/>
      <c r="D561" s="45"/>
      <c r="E561" s="45"/>
      <c r="F561" s="45"/>
      <c r="G561" s="45"/>
    </row>
    <row r="562">
      <c r="B562" s="44"/>
      <c r="C562" s="45"/>
      <c r="D562" s="45"/>
      <c r="E562" s="45"/>
      <c r="F562" s="45"/>
      <c r="G562" s="45"/>
    </row>
    <row r="563">
      <c r="B563" s="44"/>
      <c r="C563" s="45"/>
      <c r="D563" s="45"/>
      <c r="E563" s="45"/>
      <c r="F563" s="45"/>
      <c r="G563" s="45"/>
    </row>
    <row r="564">
      <c r="B564" s="44"/>
      <c r="C564" s="45"/>
      <c r="D564" s="45"/>
      <c r="E564" s="45"/>
      <c r="F564" s="45"/>
      <c r="G564" s="45"/>
    </row>
    <row r="565">
      <c r="B565" s="44"/>
      <c r="C565" s="45"/>
      <c r="D565" s="45"/>
      <c r="E565" s="45"/>
      <c r="F565" s="45"/>
      <c r="G565" s="45"/>
    </row>
    <row r="566">
      <c r="B566" s="44"/>
      <c r="C566" s="45"/>
      <c r="D566" s="45"/>
      <c r="E566" s="45"/>
      <c r="F566" s="45"/>
      <c r="G566" s="45"/>
    </row>
    <row r="567">
      <c r="B567" s="44"/>
      <c r="C567" s="45"/>
      <c r="D567" s="45"/>
      <c r="E567" s="45"/>
      <c r="F567" s="45"/>
      <c r="G567" s="45"/>
    </row>
    <row r="568">
      <c r="B568" s="44"/>
      <c r="C568" s="45"/>
      <c r="D568" s="45"/>
      <c r="E568" s="45"/>
      <c r="F568" s="45"/>
      <c r="G568" s="45"/>
    </row>
    <row r="569">
      <c r="B569" s="44"/>
      <c r="C569" s="45"/>
      <c r="D569" s="45"/>
      <c r="E569" s="45"/>
      <c r="F569" s="45"/>
      <c r="G569" s="45"/>
    </row>
    <row r="570">
      <c r="B570" s="44"/>
      <c r="C570" s="45"/>
      <c r="D570" s="45"/>
      <c r="E570" s="45"/>
      <c r="F570" s="45"/>
      <c r="G570" s="45"/>
    </row>
    <row r="571">
      <c r="B571" s="44"/>
      <c r="C571" s="45"/>
      <c r="D571" s="45"/>
      <c r="E571" s="45"/>
      <c r="F571" s="45"/>
      <c r="G571" s="45"/>
    </row>
    <row r="572">
      <c r="B572" s="44"/>
      <c r="C572" s="45"/>
      <c r="D572" s="45"/>
      <c r="E572" s="45"/>
      <c r="F572" s="45"/>
      <c r="G572" s="45"/>
    </row>
    <row r="573">
      <c r="B573" s="44"/>
      <c r="C573" s="45"/>
      <c r="D573" s="45"/>
      <c r="E573" s="45"/>
      <c r="F573" s="45"/>
      <c r="G573" s="45"/>
    </row>
    <row r="574">
      <c r="B574" s="44"/>
      <c r="C574" s="45"/>
      <c r="D574" s="45"/>
      <c r="E574" s="45"/>
      <c r="F574" s="45"/>
      <c r="G574" s="45"/>
    </row>
    <row r="575">
      <c r="B575" s="44"/>
      <c r="C575" s="45"/>
      <c r="D575" s="45"/>
      <c r="E575" s="45"/>
      <c r="F575" s="45"/>
      <c r="G575" s="45"/>
    </row>
    <row r="576">
      <c r="B576" s="44"/>
      <c r="C576" s="45"/>
      <c r="D576" s="45"/>
      <c r="E576" s="45"/>
      <c r="F576" s="45"/>
      <c r="G576" s="45"/>
    </row>
    <row r="577">
      <c r="B577" s="44"/>
      <c r="C577" s="45"/>
      <c r="D577" s="45"/>
      <c r="E577" s="45"/>
      <c r="F577" s="45"/>
      <c r="G577" s="45"/>
    </row>
    <row r="578">
      <c r="B578" s="44"/>
      <c r="C578" s="45"/>
      <c r="D578" s="45"/>
      <c r="E578" s="45"/>
      <c r="F578" s="45"/>
      <c r="G578" s="45"/>
    </row>
    <row r="579">
      <c r="B579" s="44"/>
      <c r="C579" s="45"/>
      <c r="D579" s="45"/>
      <c r="E579" s="45"/>
      <c r="F579" s="45"/>
      <c r="G579" s="45"/>
    </row>
    <row r="580">
      <c r="B580" s="44"/>
      <c r="C580" s="45"/>
      <c r="D580" s="45"/>
      <c r="E580" s="45"/>
      <c r="F580" s="45"/>
      <c r="G580" s="45"/>
    </row>
    <row r="581">
      <c r="B581" s="44"/>
      <c r="C581" s="45"/>
      <c r="D581" s="45"/>
      <c r="E581" s="45"/>
      <c r="F581" s="45"/>
      <c r="G581" s="45"/>
    </row>
    <row r="582">
      <c r="B582" s="44"/>
      <c r="C582" s="45"/>
      <c r="D582" s="45"/>
      <c r="E582" s="45"/>
      <c r="F582" s="45"/>
      <c r="G582" s="45"/>
    </row>
    <row r="583">
      <c r="B583" s="44"/>
      <c r="C583" s="45"/>
      <c r="D583" s="45"/>
      <c r="E583" s="45"/>
      <c r="F583" s="45"/>
      <c r="G583" s="45"/>
    </row>
    <row r="584">
      <c r="B584" s="44"/>
      <c r="C584" s="45"/>
      <c r="D584" s="45"/>
      <c r="E584" s="45"/>
      <c r="F584" s="45"/>
      <c r="G584" s="45"/>
    </row>
    <row r="585">
      <c r="B585" s="44"/>
      <c r="C585" s="45"/>
      <c r="D585" s="45"/>
      <c r="E585" s="45"/>
      <c r="F585" s="45"/>
      <c r="G585" s="45"/>
    </row>
    <row r="586">
      <c r="B586" s="44"/>
      <c r="C586" s="45"/>
      <c r="D586" s="45"/>
      <c r="E586" s="45"/>
      <c r="F586" s="45"/>
      <c r="G586" s="45"/>
    </row>
    <row r="587">
      <c r="B587" s="44"/>
      <c r="C587" s="45"/>
      <c r="D587" s="45"/>
      <c r="E587" s="45"/>
      <c r="F587" s="45"/>
      <c r="G587" s="45"/>
    </row>
    <row r="588">
      <c r="B588" s="44"/>
      <c r="C588" s="45"/>
      <c r="D588" s="45"/>
      <c r="E588" s="45"/>
      <c r="F588" s="45"/>
      <c r="G588" s="45"/>
    </row>
    <row r="589">
      <c r="B589" s="44"/>
      <c r="C589" s="45"/>
      <c r="D589" s="45"/>
      <c r="E589" s="45"/>
      <c r="F589" s="45"/>
      <c r="G589" s="45"/>
    </row>
    <row r="590">
      <c r="B590" s="44"/>
      <c r="C590" s="45"/>
      <c r="D590" s="45"/>
      <c r="E590" s="45"/>
      <c r="F590" s="45"/>
      <c r="G590" s="45"/>
    </row>
    <row r="591">
      <c r="B591" s="44"/>
      <c r="C591" s="45"/>
      <c r="D591" s="45"/>
      <c r="E591" s="45"/>
      <c r="F591" s="45"/>
      <c r="G591" s="45"/>
    </row>
    <row r="592">
      <c r="B592" s="44"/>
      <c r="C592" s="45"/>
      <c r="D592" s="45"/>
      <c r="E592" s="45"/>
      <c r="F592" s="45"/>
      <c r="G592" s="45"/>
    </row>
    <row r="593">
      <c r="B593" s="44"/>
      <c r="C593" s="45"/>
      <c r="D593" s="45"/>
      <c r="E593" s="45"/>
      <c r="F593" s="45"/>
      <c r="G593" s="45"/>
    </row>
    <row r="594">
      <c r="B594" s="44"/>
      <c r="C594" s="45"/>
      <c r="D594" s="45"/>
      <c r="E594" s="45"/>
      <c r="F594" s="45"/>
      <c r="G594" s="45"/>
    </row>
    <row r="595">
      <c r="B595" s="44"/>
      <c r="C595" s="45"/>
      <c r="D595" s="45"/>
      <c r="E595" s="45"/>
      <c r="F595" s="45"/>
      <c r="G595" s="45"/>
    </row>
    <row r="596">
      <c r="B596" s="44"/>
      <c r="C596" s="45"/>
      <c r="D596" s="45"/>
      <c r="E596" s="45"/>
      <c r="F596" s="45"/>
      <c r="G596" s="45"/>
    </row>
    <row r="597">
      <c r="B597" s="44"/>
      <c r="C597" s="45"/>
      <c r="D597" s="45"/>
      <c r="E597" s="45"/>
      <c r="F597" s="45"/>
      <c r="G597" s="45"/>
    </row>
    <row r="598">
      <c r="B598" s="44"/>
      <c r="C598" s="45"/>
      <c r="D598" s="45"/>
      <c r="E598" s="45"/>
      <c r="F598" s="45"/>
      <c r="G598" s="45"/>
    </row>
    <row r="599">
      <c r="B599" s="44"/>
      <c r="C599" s="45"/>
      <c r="D599" s="45"/>
      <c r="E599" s="45"/>
      <c r="F599" s="45"/>
      <c r="G599" s="45"/>
    </row>
    <row r="600">
      <c r="B600" s="44"/>
      <c r="C600" s="45"/>
      <c r="D600" s="45"/>
      <c r="E600" s="45"/>
      <c r="F600" s="45"/>
      <c r="G600" s="45"/>
    </row>
    <row r="601">
      <c r="B601" s="44"/>
      <c r="C601" s="45"/>
      <c r="D601" s="45"/>
      <c r="E601" s="45"/>
      <c r="F601" s="45"/>
      <c r="G601" s="45"/>
    </row>
    <row r="602">
      <c r="B602" s="44"/>
      <c r="C602" s="45"/>
      <c r="D602" s="45"/>
      <c r="E602" s="45"/>
      <c r="F602" s="45"/>
      <c r="G602" s="45"/>
    </row>
    <row r="603">
      <c r="B603" s="44"/>
      <c r="C603" s="45"/>
      <c r="D603" s="45"/>
      <c r="E603" s="45"/>
      <c r="F603" s="45"/>
      <c r="G603" s="45"/>
    </row>
    <row r="604">
      <c r="B604" s="44"/>
      <c r="C604" s="45"/>
      <c r="D604" s="45"/>
      <c r="E604" s="45"/>
      <c r="F604" s="45"/>
      <c r="G604" s="45"/>
    </row>
    <row r="605">
      <c r="B605" s="44"/>
      <c r="C605" s="45"/>
      <c r="D605" s="45"/>
      <c r="E605" s="45"/>
      <c r="F605" s="45"/>
      <c r="G605" s="45"/>
    </row>
    <row r="606">
      <c r="B606" s="44"/>
      <c r="C606" s="45"/>
      <c r="D606" s="45"/>
      <c r="E606" s="45"/>
      <c r="F606" s="45"/>
      <c r="G606" s="45"/>
    </row>
    <row r="607">
      <c r="B607" s="44"/>
      <c r="C607" s="45"/>
      <c r="D607" s="45"/>
      <c r="E607" s="45"/>
      <c r="F607" s="45"/>
      <c r="G607" s="45"/>
    </row>
    <row r="608">
      <c r="B608" s="44"/>
      <c r="C608" s="45"/>
      <c r="D608" s="45"/>
      <c r="E608" s="45"/>
      <c r="F608" s="45"/>
      <c r="G608" s="45"/>
    </row>
    <row r="609">
      <c r="B609" s="44"/>
      <c r="C609" s="45"/>
      <c r="D609" s="45"/>
      <c r="E609" s="45"/>
      <c r="F609" s="45"/>
      <c r="G609" s="45"/>
    </row>
    <row r="610">
      <c r="B610" s="44"/>
      <c r="C610" s="45"/>
      <c r="D610" s="45"/>
      <c r="E610" s="45"/>
      <c r="F610" s="45"/>
      <c r="G610" s="45"/>
    </row>
    <row r="611">
      <c r="B611" s="44"/>
      <c r="C611" s="45"/>
      <c r="D611" s="45"/>
      <c r="E611" s="45"/>
      <c r="F611" s="45"/>
      <c r="G611" s="45"/>
    </row>
    <row r="612">
      <c r="B612" s="44"/>
      <c r="C612" s="45"/>
      <c r="D612" s="45"/>
      <c r="E612" s="45"/>
      <c r="F612" s="45"/>
      <c r="G612" s="45"/>
    </row>
    <row r="613">
      <c r="B613" s="44"/>
      <c r="C613" s="45"/>
      <c r="D613" s="45"/>
      <c r="E613" s="45"/>
      <c r="F613" s="45"/>
      <c r="G613" s="45"/>
    </row>
    <row r="614">
      <c r="B614" s="44"/>
      <c r="C614" s="45"/>
      <c r="D614" s="45"/>
      <c r="E614" s="45"/>
      <c r="F614" s="45"/>
      <c r="G614" s="45"/>
    </row>
    <row r="615">
      <c r="B615" s="44"/>
      <c r="C615" s="45"/>
      <c r="D615" s="45"/>
      <c r="E615" s="45"/>
      <c r="F615" s="45"/>
      <c r="G615" s="45"/>
    </row>
    <row r="616">
      <c r="B616" s="44"/>
      <c r="C616" s="45"/>
      <c r="D616" s="45"/>
      <c r="E616" s="45"/>
      <c r="F616" s="45"/>
      <c r="G616" s="45"/>
    </row>
    <row r="617">
      <c r="B617" s="44"/>
      <c r="C617" s="45"/>
      <c r="D617" s="45"/>
      <c r="E617" s="45"/>
      <c r="F617" s="45"/>
      <c r="G617" s="45"/>
    </row>
    <row r="618">
      <c r="B618" s="44"/>
      <c r="C618" s="45"/>
      <c r="D618" s="45"/>
      <c r="E618" s="45"/>
      <c r="F618" s="45"/>
      <c r="G618" s="45"/>
    </row>
    <row r="619">
      <c r="B619" s="44"/>
      <c r="C619" s="45"/>
      <c r="D619" s="45"/>
      <c r="E619" s="45"/>
      <c r="F619" s="45"/>
      <c r="G619" s="45"/>
    </row>
    <row r="620">
      <c r="B620" s="44"/>
      <c r="C620" s="45"/>
      <c r="D620" s="45"/>
      <c r="E620" s="45"/>
      <c r="F620" s="45"/>
      <c r="G620" s="45"/>
    </row>
    <row r="621">
      <c r="B621" s="44"/>
      <c r="C621" s="45"/>
      <c r="D621" s="45"/>
      <c r="E621" s="45"/>
      <c r="F621" s="45"/>
      <c r="G621" s="45"/>
    </row>
    <row r="622">
      <c r="B622" s="44"/>
      <c r="C622" s="45"/>
      <c r="D622" s="45"/>
      <c r="E622" s="45"/>
      <c r="F622" s="45"/>
      <c r="G622" s="45"/>
    </row>
    <row r="623">
      <c r="B623" s="44"/>
      <c r="C623" s="45"/>
      <c r="D623" s="45"/>
      <c r="E623" s="45"/>
      <c r="F623" s="45"/>
      <c r="G623" s="45"/>
    </row>
    <row r="624">
      <c r="B624" s="44"/>
      <c r="C624" s="45"/>
      <c r="D624" s="45"/>
      <c r="E624" s="45"/>
      <c r="F624" s="45"/>
      <c r="G624" s="45"/>
    </row>
    <row r="625">
      <c r="B625" s="44"/>
      <c r="C625" s="45"/>
      <c r="D625" s="45"/>
      <c r="E625" s="45"/>
      <c r="F625" s="45"/>
      <c r="G625" s="45"/>
    </row>
    <row r="626">
      <c r="B626" s="44"/>
      <c r="C626" s="45"/>
      <c r="D626" s="45"/>
      <c r="E626" s="45"/>
      <c r="F626" s="45"/>
      <c r="G626" s="45"/>
    </row>
    <row r="627">
      <c r="B627" s="44"/>
      <c r="C627" s="45"/>
      <c r="D627" s="45"/>
      <c r="E627" s="45"/>
      <c r="F627" s="45"/>
      <c r="G627" s="45"/>
    </row>
    <row r="628">
      <c r="B628" s="44"/>
      <c r="C628" s="45"/>
      <c r="D628" s="45"/>
      <c r="E628" s="45"/>
      <c r="F628" s="45"/>
      <c r="G628" s="45"/>
    </row>
    <row r="629">
      <c r="B629" s="44"/>
      <c r="C629" s="45"/>
      <c r="D629" s="45"/>
      <c r="E629" s="45"/>
      <c r="F629" s="45"/>
      <c r="G629" s="45"/>
    </row>
    <row r="630">
      <c r="B630" s="44"/>
      <c r="C630" s="45"/>
      <c r="D630" s="45"/>
      <c r="E630" s="45"/>
      <c r="F630" s="45"/>
      <c r="G630" s="45"/>
    </row>
    <row r="631">
      <c r="B631" s="44"/>
      <c r="C631" s="45"/>
      <c r="D631" s="45"/>
      <c r="E631" s="45"/>
      <c r="F631" s="45"/>
      <c r="G631" s="45"/>
    </row>
    <row r="632">
      <c r="B632" s="44"/>
      <c r="C632" s="45"/>
      <c r="D632" s="45"/>
      <c r="E632" s="45"/>
      <c r="F632" s="45"/>
      <c r="G632" s="45"/>
    </row>
    <row r="633">
      <c r="B633" s="44"/>
      <c r="C633" s="45"/>
      <c r="D633" s="45"/>
      <c r="E633" s="45"/>
      <c r="F633" s="45"/>
      <c r="G633" s="45"/>
    </row>
    <row r="634">
      <c r="B634" s="44"/>
      <c r="C634" s="45"/>
      <c r="D634" s="45"/>
      <c r="E634" s="45"/>
      <c r="F634" s="45"/>
      <c r="G634" s="45"/>
    </row>
    <row r="635">
      <c r="B635" s="44"/>
      <c r="C635" s="45"/>
      <c r="D635" s="45"/>
      <c r="E635" s="45"/>
      <c r="F635" s="45"/>
      <c r="G635" s="45"/>
    </row>
    <row r="636">
      <c r="B636" s="44"/>
      <c r="C636" s="45"/>
      <c r="D636" s="45"/>
      <c r="E636" s="45"/>
      <c r="F636" s="45"/>
      <c r="G636" s="45"/>
    </row>
    <row r="637">
      <c r="B637" s="44"/>
      <c r="C637" s="45"/>
      <c r="D637" s="45"/>
      <c r="E637" s="45"/>
      <c r="F637" s="45"/>
      <c r="G637" s="45"/>
    </row>
    <row r="638">
      <c r="B638" s="44"/>
      <c r="C638" s="45"/>
      <c r="D638" s="45"/>
      <c r="E638" s="45"/>
      <c r="F638" s="45"/>
      <c r="G638" s="45"/>
    </row>
    <row r="639">
      <c r="B639" s="44"/>
      <c r="C639" s="45"/>
      <c r="D639" s="45"/>
      <c r="E639" s="45"/>
      <c r="F639" s="45"/>
      <c r="G639" s="45"/>
    </row>
    <row r="640">
      <c r="B640" s="44"/>
      <c r="C640" s="45"/>
      <c r="D640" s="45"/>
      <c r="E640" s="45"/>
      <c r="F640" s="45"/>
      <c r="G640" s="45"/>
    </row>
    <row r="641">
      <c r="B641" s="44"/>
      <c r="C641" s="45"/>
      <c r="D641" s="45"/>
      <c r="E641" s="45"/>
      <c r="F641" s="45"/>
      <c r="G641" s="45"/>
    </row>
    <row r="642">
      <c r="B642" s="44"/>
      <c r="C642" s="45"/>
      <c r="D642" s="45"/>
      <c r="E642" s="45"/>
      <c r="F642" s="45"/>
      <c r="G642" s="45"/>
    </row>
    <row r="643">
      <c r="B643" s="44"/>
      <c r="C643" s="45"/>
      <c r="D643" s="45"/>
      <c r="E643" s="45"/>
      <c r="F643" s="45"/>
      <c r="G643" s="45"/>
    </row>
    <row r="644">
      <c r="B644" s="44"/>
      <c r="C644" s="45"/>
      <c r="D644" s="45"/>
      <c r="E644" s="45"/>
      <c r="F644" s="45"/>
      <c r="G644" s="45"/>
    </row>
    <row r="645">
      <c r="B645" s="44"/>
      <c r="C645" s="45"/>
      <c r="D645" s="45"/>
      <c r="E645" s="45"/>
      <c r="F645" s="45"/>
      <c r="G645" s="45"/>
    </row>
    <row r="646">
      <c r="B646" s="44"/>
      <c r="C646" s="45"/>
      <c r="D646" s="45"/>
      <c r="E646" s="45"/>
      <c r="F646" s="45"/>
      <c r="G646" s="45"/>
    </row>
    <row r="647">
      <c r="B647" s="44"/>
      <c r="C647" s="45"/>
      <c r="D647" s="45"/>
      <c r="E647" s="45"/>
      <c r="F647" s="45"/>
      <c r="G647" s="45"/>
    </row>
    <row r="648">
      <c r="B648" s="44"/>
      <c r="C648" s="45"/>
      <c r="D648" s="45"/>
      <c r="E648" s="45"/>
      <c r="F648" s="45"/>
      <c r="G648" s="45"/>
    </row>
    <row r="649">
      <c r="B649" s="44"/>
      <c r="C649" s="45"/>
      <c r="D649" s="45"/>
      <c r="E649" s="45"/>
      <c r="F649" s="45"/>
      <c r="G649" s="45"/>
    </row>
    <row r="650">
      <c r="B650" s="44"/>
      <c r="C650" s="45"/>
      <c r="D650" s="45"/>
      <c r="E650" s="45"/>
      <c r="F650" s="45"/>
      <c r="G650" s="45"/>
    </row>
    <row r="651">
      <c r="B651" s="44"/>
      <c r="C651" s="45"/>
      <c r="D651" s="45"/>
      <c r="E651" s="45"/>
      <c r="F651" s="45"/>
      <c r="G651" s="45"/>
    </row>
    <row r="652">
      <c r="B652" s="44"/>
      <c r="C652" s="45"/>
      <c r="D652" s="45"/>
      <c r="E652" s="45"/>
      <c r="F652" s="45"/>
      <c r="G652" s="45"/>
    </row>
    <row r="653">
      <c r="B653" s="44"/>
      <c r="C653" s="45"/>
      <c r="D653" s="45"/>
      <c r="E653" s="45"/>
      <c r="F653" s="45"/>
      <c r="G653" s="45"/>
    </row>
    <row r="654">
      <c r="B654" s="44"/>
      <c r="C654" s="45"/>
      <c r="D654" s="45"/>
      <c r="E654" s="45"/>
      <c r="F654" s="45"/>
      <c r="G654" s="45"/>
    </row>
    <row r="655">
      <c r="B655" s="44"/>
      <c r="C655" s="45"/>
      <c r="D655" s="45"/>
      <c r="E655" s="45"/>
      <c r="F655" s="45"/>
      <c r="G655" s="45"/>
    </row>
    <row r="656">
      <c r="B656" s="44"/>
      <c r="C656" s="45"/>
      <c r="D656" s="45"/>
      <c r="E656" s="45"/>
      <c r="F656" s="45"/>
      <c r="G656" s="45"/>
    </row>
    <row r="657">
      <c r="B657" s="44"/>
      <c r="C657" s="45"/>
      <c r="D657" s="45"/>
      <c r="E657" s="45"/>
      <c r="F657" s="45"/>
      <c r="G657" s="45"/>
    </row>
    <row r="658">
      <c r="B658" s="44"/>
      <c r="C658" s="45"/>
      <c r="D658" s="45"/>
      <c r="E658" s="45"/>
      <c r="F658" s="45"/>
      <c r="G658" s="45"/>
    </row>
    <row r="659">
      <c r="B659" s="44"/>
      <c r="C659" s="45"/>
      <c r="D659" s="45"/>
      <c r="E659" s="45"/>
      <c r="F659" s="45"/>
      <c r="G659" s="45"/>
    </row>
    <row r="660">
      <c r="B660" s="44"/>
      <c r="C660" s="45"/>
      <c r="D660" s="45"/>
      <c r="E660" s="45"/>
      <c r="F660" s="45"/>
      <c r="G660" s="45"/>
    </row>
    <row r="661">
      <c r="B661" s="44"/>
      <c r="C661" s="45"/>
      <c r="D661" s="45"/>
      <c r="E661" s="45"/>
      <c r="F661" s="45"/>
      <c r="G661" s="45"/>
    </row>
    <row r="662">
      <c r="B662" s="44"/>
      <c r="C662" s="45"/>
      <c r="D662" s="45"/>
      <c r="E662" s="45"/>
      <c r="F662" s="45"/>
      <c r="G662" s="45"/>
    </row>
    <row r="663">
      <c r="B663" s="44"/>
      <c r="C663" s="45"/>
      <c r="D663" s="45"/>
      <c r="E663" s="45"/>
      <c r="F663" s="45"/>
      <c r="G663" s="45"/>
    </row>
    <row r="664">
      <c r="B664" s="44"/>
      <c r="C664" s="45"/>
      <c r="D664" s="45"/>
      <c r="E664" s="45"/>
      <c r="F664" s="45"/>
      <c r="G664" s="45"/>
    </row>
    <row r="665">
      <c r="B665" s="44"/>
      <c r="C665" s="45"/>
      <c r="D665" s="45"/>
      <c r="E665" s="45"/>
      <c r="F665" s="45"/>
      <c r="G665" s="45"/>
    </row>
    <row r="666">
      <c r="B666" s="44"/>
      <c r="C666" s="45"/>
      <c r="D666" s="45"/>
      <c r="E666" s="45"/>
      <c r="F666" s="45"/>
      <c r="G666" s="45"/>
    </row>
    <row r="667">
      <c r="B667" s="44"/>
      <c r="C667" s="45"/>
      <c r="D667" s="45"/>
      <c r="E667" s="45"/>
      <c r="F667" s="45"/>
      <c r="G667" s="45"/>
    </row>
    <row r="668">
      <c r="B668" s="44"/>
      <c r="C668" s="45"/>
      <c r="D668" s="45"/>
      <c r="E668" s="45"/>
      <c r="F668" s="45"/>
      <c r="G668" s="45"/>
    </row>
    <row r="669">
      <c r="B669" s="44"/>
      <c r="C669" s="45"/>
      <c r="D669" s="45"/>
      <c r="E669" s="45"/>
      <c r="F669" s="45"/>
      <c r="G669" s="45"/>
    </row>
    <row r="670">
      <c r="B670" s="44"/>
      <c r="C670" s="45"/>
      <c r="D670" s="45"/>
      <c r="E670" s="45"/>
      <c r="F670" s="45"/>
      <c r="G670" s="45"/>
    </row>
    <row r="671">
      <c r="B671" s="44"/>
      <c r="C671" s="45"/>
      <c r="D671" s="45"/>
      <c r="E671" s="45"/>
      <c r="F671" s="45"/>
      <c r="G671" s="45"/>
    </row>
    <row r="672">
      <c r="B672" s="44"/>
      <c r="C672" s="45"/>
      <c r="D672" s="45"/>
      <c r="E672" s="45"/>
      <c r="F672" s="45"/>
      <c r="G672" s="45"/>
    </row>
    <row r="673">
      <c r="B673" s="44"/>
      <c r="C673" s="45"/>
      <c r="D673" s="45"/>
      <c r="E673" s="45"/>
      <c r="F673" s="45"/>
      <c r="G673" s="45"/>
    </row>
    <row r="674">
      <c r="B674" s="44"/>
      <c r="C674" s="45"/>
      <c r="D674" s="45"/>
      <c r="E674" s="45"/>
      <c r="F674" s="45"/>
      <c r="G674" s="45"/>
    </row>
    <row r="675">
      <c r="B675" s="44"/>
      <c r="C675" s="45"/>
      <c r="D675" s="45"/>
      <c r="E675" s="45"/>
      <c r="F675" s="45"/>
      <c r="G675" s="45"/>
    </row>
    <row r="676">
      <c r="B676" s="44"/>
      <c r="C676" s="45"/>
      <c r="D676" s="45"/>
      <c r="E676" s="45"/>
      <c r="F676" s="45"/>
      <c r="G676" s="45"/>
    </row>
    <row r="677">
      <c r="B677" s="44"/>
      <c r="C677" s="45"/>
      <c r="D677" s="45"/>
      <c r="E677" s="45"/>
      <c r="F677" s="45"/>
      <c r="G677" s="45"/>
    </row>
    <row r="678">
      <c r="B678" s="44"/>
      <c r="C678" s="45"/>
      <c r="D678" s="45"/>
      <c r="E678" s="45"/>
      <c r="F678" s="45"/>
      <c r="G678" s="45"/>
    </row>
    <row r="679">
      <c r="B679" s="44"/>
      <c r="C679" s="45"/>
      <c r="D679" s="45"/>
      <c r="E679" s="45"/>
      <c r="F679" s="45"/>
      <c r="G679" s="45"/>
    </row>
    <row r="680">
      <c r="B680" s="44"/>
      <c r="C680" s="45"/>
      <c r="D680" s="45"/>
      <c r="E680" s="45"/>
      <c r="F680" s="45"/>
      <c r="G680" s="45"/>
    </row>
    <row r="681">
      <c r="B681" s="44"/>
      <c r="C681" s="45"/>
      <c r="D681" s="45"/>
      <c r="E681" s="45"/>
      <c r="F681" s="45"/>
      <c r="G681" s="45"/>
    </row>
    <row r="682">
      <c r="B682" s="44"/>
      <c r="C682" s="45"/>
      <c r="D682" s="45"/>
      <c r="E682" s="45"/>
      <c r="F682" s="45"/>
      <c r="G682" s="45"/>
    </row>
    <row r="683">
      <c r="B683" s="44"/>
      <c r="C683" s="45"/>
      <c r="D683" s="45"/>
      <c r="E683" s="45"/>
      <c r="F683" s="45"/>
      <c r="G683" s="45"/>
    </row>
    <row r="684">
      <c r="B684" s="44"/>
      <c r="C684" s="45"/>
      <c r="D684" s="45"/>
      <c r="E684" s="45"/>
      <c r="F684" s="45"/>
      <c r="G684" s="45"/>
    </row>
    <row r="685">
      <c r="B685" s="44"/>
      <c r="C685" s="45"/>
      <c r="D685" s="45"/>
      <c r="E685" s="45"/>
      <c r="F685" s="45"/>
      <c r="G685" s="45"/>
    </row>
    <row r="686">
      <c r="B686" s="44"/>
      <c r="C686" s="45"/>
      <c r="D686" s="45"/>
      <c r="E686" s="45"/>
      <c r="F686" s="45"/>
      <c r="G686" s="45"/>
    </row>
    <row r="687">
      <c r="B687" s="44"/>
      <c r="C687" s="45"/>
      <c r="D687" s="45"/>
      <c r="E687" s="45"/>
      <c r="F687" s="45"/>
      <c r="G687" s="45"/>
    </row>
    <row r="688">
      <c r="B688" s="44"/>
      <c r="C688" s="45"/>
      <c r="D688" s="45"/>
      <c r="E688" s="45"/>
      <c r="F688" s="45"/>
      <c r="G688" s="45"/>
    </row>
    <row r="689">
      <c r="B689" s="44"/>
      <c r="C689" s="45"/>
      <c r="D689" s="45"/>
      <c r="E689" s="45"/>
      <c r="F689" s="45"/>
      <c r="G689" s="45"/>
    </row>
    <row r="690">
      <c r="B690" s="44"/>
      <c r="C690" s="45"/>
      <c r="D690" s="45"/>
      <c r="E690" s="45"/>
      <c r="F690" s="45"/>
      <c r="G690" s="45"/>
    </row>
    <row r="691">
      <c r="B691" s="44"/>
      <c r="C691" s="45"/>
      <c r="D691" s="45"/>
      <c r="E691" s="45"/>
      <c r="F691" s="45"/>
      <c r="G691" s="45"/>
    </row>
    <row r="692">
      <c r="B692" s="44"/>
      <c r="C692" s="45"/>
      <c r="D692" s="45"/>
      <c r="E692" s="45"/>
      <c r="F692" s="45"/>
      <c r="G692" s="45"/>
    </row>
    <row r="693">
      <c r="B693" s="44"/>
      <c r="C693" s="45"/>
      <c r="D693" s="45"/>
      <c r="E693" s="45"/>
      <c r="F693" s="45"/>
      <c r="G693" s="45"/>
    </row>
    <row r="694">
      <c r="B694" s="44"/>
      <c r="C694" s="45"/>
      <c r="D694" s="45"/>
      <c r="E694" s="45"/>
      <c r="F694" s="45"/>
      <c r="G694" s="45"/>
    </row>
    <row r="695">
      <c r="B695" s="44"/>
      <c r="C695" s="45"/>
      <c r="D695" s="45"/>
      <c r="E695" s="45"/>
      <c r="F695" s="45"/>
      <c r="G695" s="45"/>
    </row>
    <row r="696">
      <c r="B696" s="44"/>
      <c r="C696" s="45"/>
      <c r="D696" s="45"/>
      <c r="E696" s="45"/>
      <c r="F696" s="45"/>
      <c r="G696" s="45"/>
    </row>
    <row r="697">
      <c r="B697" s="44"/>
      <c r="C697" s="45"/>
      <c r="D697" s="45"/>
      <c r="E697" s="45"/>
      <c r="F697" s="45"/>
      <c r="G697" s="45"/>
    </row>
    <row r="698">
      <c r="B698" s="44"/>
      <c r="C698" s="45"/>
      <c r="D698" s="45"/>
      <c r="E698" s="45"/>
      <c r="F698" s="45"/>
      <c r="G698" s="45"/>
    </row>
    <row r="699">
      <c r="B699" s="44"/>
      <c r="C699" s="45"/>
      <c r="D699" s="45"/>
      <c r="E699" s="45"/>
      <c r="F699" s="45"/>
      <c r="G699" s="45"/>
    </row>
    <row r="700">
      <c r="B700" s="44"/>
      <c r="C700" s="45"/>
      <c r="D700" s="45"/>
      <c r="E700" s="45"/>
      <c r="F700" s="45"/>
      <c r="G700" s="45"/>
    </row>
    <row r="701">
      <c r="B701" s="44"/>
      <c r="C701" s="45"/>
      <c r="D701" s="45"/>
      <c r="E701" s="45"/>
      <c r="F701" s="45"/>
      <c r="G701" s="45"/>
    </row>
    <row r="702">
      <c r="B702" s="44"/>
      <c r="C702" s="45"/>
      <c r="D702" s="45"/>
      <c r="E702" s="45"/>
      <c r="F702" s="45"/>
      <c r="G702" s="45"/>
    </row>
    <row r="703">
      <c r="B703" s="44"/>
      <c r="C703" s="45"/>
      <c r="D703" s="45"/>
      <c r="E703" s="45"/>
      <c r="F703" s="45"/>
      <c r="G703" s="45"/>
    </row>
    <row r="704">
      <c r="B704" s="44"/>
      <c r="C704" s="45"/>
      <c r="D704" s="45"/>
      <c r="E704" s="45"/>
      <c r="F704" s="45"/>
      <c r="G704" s="45"/>
    </row>
    <row r="705">
      <c r="B705" s="44"/>
      <c r="C705" s="45"/>
      <c r="D705" s="45"/>
      <c r="E705" s="45"/>
      <c r="F705" s="45"/>
      <c r="G705" s="45"/>
    </row>
    <row r="706">
      <c r="B706" s="44"/>
      <c r="C706" s="45"/>
      <c r="D706" s="45"/>
      <c r="E706" s="45"/>
      <c r="F706" s="45"/>
      <c r="G706" s="45"/>
    </row>
    <row r="707">
      <c r="B707" s="44"/>
      <c r="C707" s="45"/>
      <c r="D707" s="45"/>
      <c r="E707" s="45"/>
      <c r="F707" s="45"/>
      <c r="G707" s="45"/>
    </row>
    <row r="708">
      <c r="B708" s="44"/>
      <c r="C708" s="45"/>
      <c r="D708" s="45"/>
      <c r="E708" s="45"/>
      <c r="F708" s="45"/>
      <c r="G708" s="45"/>
    </row>
    <row r="709">
      <c r="B709" s="44"/>
      <c r="C709" s="45"/>
      <c r="D709" s="45"/>
      <c r="E709" s="45"/>
      <c r="F709" s="45"/>
      <c r="G709" s="45"/>
    </row>
    <row r="710">
      <c r="B710" s="44"/>
      <c r="C710" s="45"/>
      <c r="D710" s="45"/>
      <c r="E710" s="45"/>
      <c r="F710" s="45"/>
      <c r="G710" s="45"/>
    </row>
    <row r="711">
      <c r="B711" s="44"/>
      <c r="C711" s="45"/>
      <c r="D711" s="45"/>
      <c r="E711" s="45"/>
      <c r="F711" s="45"/>
      <c r="G711" s="45"/>
    </row>
    <row r="712">
      <c r="B712" s="44"/>
      <c r="C712" s="45"/>
      <c r="D712" s="45"/>
      <c r="E712" s="45"/>
      <c r="F712" s="45"/>
      <c r="G712" s="45"/>
    </row>
    <row r="713">
      <c r="B713" s="44"/>
      <c r="C713" s="45"/>
      <c r="D713" s="45"/>
      <c r="E713" s="45"/>
      <c r="F713" s="45"/>
      <c r="G713" s="45"/>
    </row>
    <row r="714">
      <c r="B714" s="44"/>
      <c r="C714" s="45"/>
      <c r="D714" s="45"/>
      <c r="E714" s="45"/>
      <c r="F714" s="45"/>
      <c r="G714" s="45"/>
    </row>
    <row r="715">
      <c r="B715" s="44"/>
      <c r="C715" s="45"/>
      <c r="D715" s="45"/>
      <c r="E715" s="45"/>
      <c r="F715" s="45"/>
      <c r="G715" s="45"/>
    </row>
    <row r="716">
      <c r="B716" s="44"/>
      <c r="C716" s="45"/>
      <c r="D716" s="45"/>
      <c r="E716" s="45"/>
      <c r="F716" s="45"/>
      <c r="G716" s="45"/>
    </row>
    <row r="717">
      <c r="B717" s="44"/>
      <c r="C717" s="45"/>
      <c r="D717" s="45"/>
      <c r="E717" s="45"/>
      <c r="F717" s="45"/>
      <c r="G717" s="45"/>
    </row>
    <row r="718">
      <c r="B718" s="44"/>
      <c r="C718" s="45"/>
      <c r="D718" s="45"/>
      <c r="E718" s="45"/>
      <c r="F718" s="45"/>
      <c r="G718" s="45"/>
    </row>
    <row r="719">
      <c r="B719" s="44"/>
      <c r="C719" s="45"/>
      <c r="D719" s="45"/>
      <c r="E719" s="45"/>
      <c r="F719" s="45"/>
      <c r="G719" s="45"/>
    </row>
    <row r="720">
      <c r="B720" s="44"/>
      <c r="C720" s="45"/>
      <c r="D720" s="45"/>
      <c r="E720" s="45"/>
      <c r="F720" s="45"/>
      <c r="G720" s="45"/>
    </row>
    <row r="721">
      <c r="B721" s="44"/>
      <c r="C721" s="45"/>
      <c r="D721" s="45"/>
      <c r="E721" s="45"/>
      <c r="F721" s="45"/>
      <c r="G721" s="45"/>
    </row>
    <row r="722">
      <c r="B722" s="44"/>
      <c r="C722" s="45"/>
      <c r="D722" s="45"/>
      <c r="E722" s="45"/>
      <c r="F722" s="45"/>
      <c r="G722" s="45"/>
    </row>
    <row r="723">
      <c r="B723" s="44"/>
      <c r="C723" s="45"/>
      <c r="D723" s="45"/>
      <c r="E723" s="45"/>
      <c r="F723" s="45"/>
      <c r="G723" s="45"/>
    </row>
    <row r="724">
      <c r="B724" s="44"/>
      <c r="C724" s="45"/>
      <c r="D724" s="45"/>
      <c r="E724" s="45"/>
      <c r="F724" s="45"/>
      <c r="G724" s="45"/>
    </row>
    <row r="725">
      <c r="B725" s="44"/>
      <c r="C725" s="45"/>
      <c r="D725" s="45"/>
      <c r="E725" s="45"/>
      <c r="F725" s="45"/>
      <c r="G725" s="45"/>
    </row>
    <row r="726">
      <c r="B726" s="44"/>
      <c r="C726" s="45"/>
      <c r="D726" s="45"/>
      <c r="E726" s="45"/>
      <c r="F726" s="45"/>
      <c r="G726" s="45"/>
    </row>
    <row r="727">
      <c r="B727" s="44"/>
      <c r="C727" s="45"/>
      <c r="D727" s="45"/>
      <c r="E727" s="45"/>
      <c r="F727" s="45"/>
      <c r="G727" s="45"/>
    </row>
    <row r="728">
      <c r="B728" s="44"/>
      <c r="C728" s="45"/>
      <c r="D728" s="45"/>
      <c r="E728" s="45"/>
      <c r="F728" s="45"/>
      <c r="G728" s="45"/>
    </row>
    <row r="729">
      <c r="B729" s="44"/>
      <c r="C729" s="45"/>
      <c r="D729" s="45"/>
      <c r="E729" s="45"/>
      <c r="F729" s="45"/>
      <c r="G729" s="45"/>
    </row>
    <row r="730">
      <c r="B730" s="44"/>
      <c r="C730" s="45"/>
      <c r="D730" s="45"/>
      <c r="E730" s="45"/>
      <c r="F730" s="45"/>
      <c r="G730" s="45"/>
    </row>
    <row r="731">
      <c r="B731" s="44"/>
      <c r="C731" s="45"/>
      <c r="D731" s="45"/>
      <c r="E731" s="45"/>
      <c r="F731" s="45"/>
      <c r="G731" s="45"/>
    </row>
    <row r="732">
      <c r="B732" s="44"/>
      <c r="C732" s="45"/>
      <c r="D732" s="45"/>
      <c r="E732" s="45"/>
      <c r="F732" s="45"/>
      <c r="G732" s="45"/>
    </row>
    <row r="733">
      <c r="B733" s="44"/>
      <c r="C733" s="45"/>
      <c r="D733" s="45"/>
      <c r="E733" s="45"/>
      <c r="F733" s="45"/>
      <c r="G733" s="45"/>
    </row>
    <row r="734">
      <c r="B734" s="44"/>
      <c r="C734" s="45"/>
      <c r="D734" s="45"/>
      <c r="E734" s="45"/>
      <c r="F734" s="45"/>
      <c r="G734" s="45"/>
    </row>
    <row r="735">
      <c r="B735" s="44"/>
      <c r="C735" s="45"/>
      <c r="D735" s="45"/>
      <c r="E735" s="45"/>
      <c r="F735" s="45"/>
      <c r="G735" s="45"/>
    </row>
    <row r="736">
      <c r="B736" s="44"/>
      <c r="C736" s="45"/>
      <c r="D736" s="45"/>
      <c r="E736" s="45"/>
      <c r="F736" s="45"/>
      <c r="G736" s="45"/>
    </row>
    <row r="737">
      <c r="B737" s="44"/>
      <c r="C737" s="45"/>
      <c r="D737" s="45"/>
      <c r="E737" s="45"/>
      <c r="F737" s="45"/>
      <c r="G737" s="45"/>
    </row>
    <row r="738">
      <c r="B738" s="44"/>
      <c r="C738" s="45"/>
      <c r="D738" s="45"/>
      <c r="E738" s="45"/>
      <c r="F738" s="45"/>
      <c r="G738" s="45"/>
    </row>
    <row r="739">
      <c r="B739" s="44"/>
      <c r="C739" s="45"/>
      <c r="D739" s="45"/>
      <c r="E739" s="45"/>
      <c r="F739" s="45"/>
      <c r="G739" s="45"/>
    </row>
    <row r="740">
      <c r="B740" s="44"/>
      <c r="C740" s="45"/>
      <c r="D740" s="45"/>
      <c r="E740" s="45"/>
      <c r="F740" s="45"/>
      <c r="G740" s="45"/>
    </row>
    <row r="741">
      <c r="B741" s="44"/>
      <c r="C741" s="45"/>
      <c r="D741" s="45"/>
      <c r="E741" s="45"/>
      <c r="F741" s="45"/>
      <c r="G741" s="45"/>
    </row>
    <row r="742">
      <c r="B742" s="44"/>
      <c r="C742" s="45"/>
      <c r="D742" s="45"/>
      <c r="E742" s="45"/>
      <c r="F742" s="45"/>
      <c r="G742" s="45"/>
    </row>
    <row r="743">
      <c r="B743" s="44"/>
      <c r="C743" s="45"/>
      <c r="D743" s="45"/>
      <c r="E743" s="45"/>
      <c r="F743" s="45"/>
      <c r="G743" s="45"/>
    </row>
    <row r="744">
      <c r="B744" s="44"/>
      <c r="C744" s="45"/>
      <c r="D744" s="45"/>
      <c r="E744" s="45"/>
      <c r="F744" s="45"/>
      <c r="G744" s="45"/>
    </row>
    <row r="745">
      <c r="B745" s="44"/>
      <c r="C745" s="45"/>
      <c r="D745" s="45"/>
      <c r="E745" s="45"/>
      <c r="F745" s="45"/>
      <c r="G745" s="45"/>
    </row>
    <row r="746">
      <c r="B746" s="44"/>
      <c r="C746" s="45"/>
      <c r="D746" s="45"/>
      <c r="E746" s="45"/>
      <c r="F746" s="45"/>
      <c r="G746" s="45"/>
    </row>
    <row r="747">
      <c r="B747" s="44"/>
      <c r="C747" s="45"/>
      <c r="D747" s="45"/>
      <c r="E747" s="45"/>
      <c r="F747" s="45"/>
      <c r="G747" s="45"/>
    </row>
    <row r="748">
      <c r="B748" s="44"/>
      <c r="C748" s="45"/>
      <c r="D748" s="45"/>
      <c r="E748" s="45"/>
      <c r="F748" s="45"/>
      <c r="G748" s="45"/>
    </row>
    <row r="749">
      <c r="B749" s="44"/>
      <c r="C749" s="45"/>
      <c r="D749" s="45"/>
      <c r="E749" s="45"/>
      <c r="F749" s="45"/>
      <c r="G749" s="45"/>
    </row>
    <row r="750">
      <c r="B750" s="44"/>
      <c r="C750" s="45"/>
      <c r="D750" s="45"/>
      <c r="E750" s="45"/>
      <c r="F750" s="45"/>
      <c r="G750" s="45"/>
    </row>
    <row r="751">
      <c r="B751" s="44"/>
      <c r="C751" s="45"/>
      <c r="D751" s="45"/>
      <c r="E751" s="45"/>
      <c r="F751" s="45"/>
      <c r="G751" s="45"/>
    </row>
    <row r="752">
      <c r="B752" s="44"/>
      <c r="C752" s="45"/>
      <c r="D752" s="45"/>
      <c r="E752" s="45"/>
      <c r="F752" s="45"/>
      <c r="G752" s="45"/>
    </row>
    <row r="753">
      <c r="B753" s="44"/>
      <c r="C753" s="45"/>
      <c r="D753" s="45"/>
      <c r="E753" s="45"/>
      <c r="F753" s="45"/>
      <c r="G753" s="45"/>
    </row>
    <row r="754">
      <c r="B754" s="44"/>
      <c r="C754" s="45"/>
      <c r="D754" s="45"/>
      <c r="E754" s="45"/>
      <c r="F754" s="45"/>
      <c r="G754" s="45"/>
    </row>
    <row r="755">
      <c r="B755" s="44"/>
      <c r="C755" s="45"/>
      <c r="D755" s="45"/>
      <c r="E755" s="45"/>
      <c r="F755" s="45"/>
      <c r="G755" s="45"/>
    </row>
    <row r="756">
      <c r="B756" s="44"/>
      <c r="C756" s="45"/>
      <c r="D756" s="45"/>
      <c r="E756" s="45"/>
      <c r="F756" s="45"/>
      <c r="G756" s="45"/>
    </row>
    <row r="757">
      <c r="B757" s="44"/>
      <c r="C757" s="45"/>
      <c r="D757" s="45"/>
      <c r="E757" s="45"/>
      <c r="F757" s="45"/>
      <c r="G757" s="45"/>
    </row>
    <row r="758">
      <c r="B758" s="44"/>
      <c r="C758" s="45"/>
      <c r="D758" s="45"/>
      <c r="E758" s="45"/>
      <c r="F758" s="45"/>
      <c r="G758" s="45"/>
    </row>
    <row r="759">
      <c r="B759" s="44"/>
      <c r="C759" s="45"/>
      <c r="D759" s="45"/>
      <c r="E759" s="45"/>
      <c r="F759" s="45"/>
      <c r="G759" s="45"/>
    </row>
    <row r="760">
      <c r="B760" s="44"/>
      <c r="C760" s="45"/>
      <c r="D760" s="45"/>
      <c r="E760" s="45"/>
      <c r="F760" s="45"/>
      <c r="G760" s="45"/>
    </row>
    <row r="761">
      <c r="B761" s="44"/>
      <c r="C761" s="45"/>
      <c r="D761" s="45"/>
      <c r="E761" s="45"/>
      <c r="F761" s="45"/>
      <c r="G761" s="45"/>
    </row>
    <row r="762">
      <c r="B762" s="44"/>
      <c r="C762" s="45"/>
      <c r="D762" s="45"/>
      <c r="E762" s="45"/>
      <c r="F762" s="45"/>
      <c r="G762" s="45"/>
    </row>
    <row r="763">
      <c r="B763" s="44"/>
      <c r="C763" s="45"/>
      <c r="D763" s="45"/>
      <c r="E763" s="45"/>
      <c r="F763" s="45"/>
      <c r="G763" s="45"/>
    </row>
    <row r="764">
      <c r="B764" s="44"/>
      <c r="C764" s="45"/>
      <c r="D764" s="45"/>
      <c r="E764" s="45"/>
      <c r="F764" s="45"/>
      <c r="G764" s="45"/>
    </row>
    <row r="765">
      <c r="B765" s="44"/>
      <c r="C765" s="45"/>
      <c r="D765" s="45"/>
      <c r="E765" s="45"/>
      <c r="F765" s="45"/>
      <c r="G765" s="45"/>
    </row>
    <row r="766">
      <c r="B766" s="44"/>
      <c r="C766" s="45"/>
      <c r="D766" s="45"/>
      <c r="E766" s="45"/>
      <c r="F766" s="45"/>
      <c r="G766" s="45"/>
    </row>
    <row r="767">
      <c r="B767" s="44"/>
      <c r="C767" s="45"/>
      <c r="D767" s="45"/>
      <c r="E767" s="45"/>
      <c r="F767" s="45"/>
      <c r="G767" s="45"/>
    </row>
    <row r="768">
      <c r="B768" s="44"/>
      <c r="C768" s="45"/>
      <c r="D768" s="45"/>
      <c r="E768" s="45"/>
      <c r="F768" s="45"/>
      <c r="G768" s="45"/>
    </row>
    <row r="769">
      <c r="B769" s="44"/>
      <c r="C769" s="45"/>
      <c r="D769" s="45"/>
      <c r="E769" s="45"/>
      <c r="F769" s="45"/>
      <c r="G769" s="45"/>
    </row>
    <row r="770">
      <c r="B770" s="44"/>
      <c r="C770" s="45"/>
      <c r="D770" s="45"/>
      <c r="E770" s="45"/>
      <c r="F770" s="45"/>
      <c r="G770" s="45"/>
    </row>
    <row r="771">
      <c r="B771" s="44"/>
      <c r="C771" s="45"/>
      <c r="D771" s="45"/>
      <c r="E771" s="45"/>
      <c r="F771" s="45"/>
      <c r="G771" s="45"/>
    </row>
    <row r="772">
      <c r="B772" s="44"/>
      <c r="C772" s="45"/>
      <c r="D772" s="45"/>
      <c r="E772" s="45"/>
      <c r="F772" s="45"/>
      <c r="G772" s="45"/>
    </row>
    <row r="773">
      <c r="B773" s="44"/>
      <c r="C773" s="45"/>
      <c r="D773" s="45"/>
      <c r="E773" s="45"/>
      <c r="F773" s="45"/>
      <c r="G773" s="45"/>
    </row>
    <row r="774">
      <c r="B774" s="44"/>
      <c r="C774" s="45"/>
      <c r="D774" s="45"/>
      <c r="E774" s="45"/>
      <c r="F774" s="45"/>
      <c r="G774" s="45"/>
    </row>
    <row r="775">
      <c r="B775" s="44"/>
      <c r="C775" s="45"/>
      <c r="D775" s="45"/>
      <c r="E775" s="45"/>
      <c r="F775" s="45"/>
      <c r="G775" s="45"/>
    </row>
    <row r="776">
      <c r="B776" s="44"/>
      <c r="C776" s="45"/>
      <c r="D776" s="45"/>
      <c r="E776" s="45"/>
      <c r="F776" s="45"/>
      <c r="G776" s="45"/>
    </row>
    <row r="777">
      <c r="B777" s="44"/>
      <c r="C777" s="45"/>
      <c r="D777" s="45"/>
      <c r="E777" s="45"/>
      <c r="F777" s="45"/>
      <c r="G777" s="45"/>
    </row>
    <row r="778">
      <c r="B778" s="44"/>
      <c r="C778" s="45"/>
      <c r="D778" s="45"/>
      <c r="E778" s="45"/>
      <c r="F778" s="45"/>
      <c r="G778" s="45"/>
    </row>
    <row r="779">
      <c r="B779" s="44"/>
      <c r="C779" s="45"/>
      <c r="D779" s="45"/>
      <c r="E779" s="45"/>
      <c r="F779" s="45"/>
      <c r="G779" s="45"/>
    </row>
    <row r="780">
      <c r="B780" s="44"/>
      <c r="C780" s="45"/>
      <c r="D780" s="45"/>
      <c r="E780" s="45"/>
      <c r="F780" s="45"/>
      <c r="G780" s="45"/>
    </row>
    <row r="781">
      <c r="B781" s="44"/>
      <c r="C781" s="45"/>
      <c r="D781" s="45"/>
      <c r="E781" s="45"/>
      <c r="F781" s="45"/>
      <c r="G781" s="45"/>
    </row>
    <row r="782">
      <c r="B782" s="44"/>
      <c r="C782" s="45"/>
      <c r="D782" s="45"/>
      <c r="E782" s="45"/>
      <c r="F782" s="45"/>
      <c r="G782" s="45"/>
    </row>
    <row r="783">
      <c r="B783" s="44"/>
      <c r="C783" s="45"/>
      <c r="D783" s="45"/>
      <c r="E783" s="45"/>
      <c r="F783" s="45"/>
      <c r="G783" s="45"/>
    </row>
    <row r="784">
      <c r="B784" s="44"/>
      <c r="C784" s="45"/>
      <c r="D784" s="45"/>
      <c r="E784" s="45"/>
      <c r="F784" s="45"/>
      <c r="G784" s="45"/>
    </row>
    <row r="785">
      <c r="B785" s="44"/>
      <c r="C785" s="45"/>
      <c r="D785" s="45"/>
      <c r="E785" s="45"/>
      <c r="F785" s="45"/>
      <c r="G785" s="45"/>
    </row>
    <row r="786">
      <c r="B786" s="44"/>
      <c r="C786" s="45"/>
      <c r="D786" s="45"/>
      <c r="E786" s="45"/>
      <c r="F786" s="45"/>
      <c r="G786" s="45"/>
    </row>
    <row r="787">
      <c r="B787" s="44"/>
      <c r="C787" s="45"/>
      <c r="D787" s="45"/>
      <c r="E787" s="45"/>
      <c r="F787" s="45"/>
      <c r="G787" s="45"/>
    </row>
    <row r="788">
      <c r="B788" s="44"/>
      <c r="C788" s="45"/>
      <c r="D788" s="45"/>
      <c r="E788" s="45"/>
      <c r="F788" s="45"/>
      <c r="G788" s="45"/>
    </row>
    <row r="789">
      <c r="B789" s="44"/>
      <c r="C789" s="45"/>
      <c r="D789" s="45"/>
      <c r="E789" s="45"/>
      <c r="F789" s="45"/>
      <c r="G789" s="45"/>
    </row>
    <row r="790">
      <c r="B790" s="44"/>
      <c r="C790" s="45"/>
      <c r="D790" s="45"/>
      <c r="E790" s="45"/>
      <c r="F790" s="45"/>
      <c r="G790" s="45"/>
    </row>
    <row r="791">
      <c r="B791" s="44"/>
      <c r="C791" s="45"/>
      <c r="D791" s="45"/>
      <c r="E791" s="45"/>
      <c r="F791" s="45"/>
      <c r="G791" s="45"/>
    </row>
    <row r="792">
      <c r="B792" s="44"/>
      <c r="C792" s="45"/>
      <c r="D792" s="45"/>
      <c r="E792" s="45"/>
      <c r="F792" s="45"/>
      <c r="G792" s="45"/>
    </row>
    <row r="793">
      <c r="B793" s="44"/>
      <c r="C793" s="45"/>
      <c r="D793" s="45"/>
      <c r="E793" s="45"/>
      <c r="F793" s="45"/>
      <c r="G793" s="45"/>
    </row>
    <row r="794">
      <c r="B794" s="44"/>
      <c r="C794" s="45"/>
      <c r="D794" s="45"/>
      <c r="E794" s="45"/>
      <c r="F794" s="45"/>
      <c r="G794" s="45"/>
    </row>
    <row r="795">
      <c r="B795" s="44"/>
      <c r="C795" s="45"/>
      <c r="D795" s="45"/>
      <c r="E795" s="45"/>
      <c r="F795" s="45"/>
      <c r="G795" s="45"/>
    </row>
    <row r="796">
      <c r="B796" s="44"/>
      <c r="C796" s="45"/>
      <c r="D796" s="45"/>
      <c r="E796" s="45"/>
      <c r="F796" s="45"/>
      <c r="G796" s="45"/>
    </row>
    <row r="797">
      <c r="B797" s="44"/>
      <c r="C797" s="45"/>
      <c r="D797" s="45"/>
      <c r="E797" s="45"/>
      <c r="F797" s="45"/>
      <c r="G797" s="45"/>
    </row>
    <row r="798">
      <c r="B798" s="44"/>
      <c r="C798" s="45"/>
      <c r="D798" s="45"/>
      <c r="E798" s="45"/>
      <c r="F798" s="45"/>
      <c r="G798" s="45"/>
    </row>
    <row r="799">
      <c r="B799" s="44"/>
      <c r="C799" s="45"/>
      <c r="D799" s="45"/>
      <c r="E799" s="45"/>
      <c r="F799" s="45"/>
      <c r="G799" s="45"/>
    </row>
    <row r="800">
      <c r="B800" s="44"/>
      <c r="C800" s="45"/>
      <c r="D800" s="45"/>
      <c r="E800" s="45"/>
      <c r="F800" s="45"/>
      <c r="G800" s="45"/>
    </row>
    <row r="801">
      <c r="B801" s="44"/>
      <c r="C801" s="45"/>
      <c r="D801" s="45"/>
      <c r="E801" s="45"/>
      <c r="F801" s="45"/>
      <c r="G801" s="45"/>
    </row>
    <row r="802">
      <c r="B802" s="44"/>
      <c r="C802" s="45"/>
      <c r="D802" s="45"/>
      <c r="E802" s="45"/>
      <c r="F802" s="45"/>
      <c r="G802" s="45"/>
    </row>
    <row r="803">
      <c r="B803" s="44"/>
      <c r="C803" s="45"/>
      <c r="D803" s="45"/>
      <c r="E803" s="45"/>
      <c r="F803" s="45"/>
      <c r="G803" s="45"/>
    </row>
    <row r="804">
      <c r="B804" s="44"/>
      <c r="C804" s="45"/>
      <c r="D804" s="45"/>
      <c r="E804" s="45"/>
      <c r="F804" s="45"/>
      <c r="G804" s="45"/>
    </row>
    <row r="805">
      <c r="B805" s="44"/>
      <c r="C805" s="45"/>
      <c r="D805" s="45"/>
      <c r="E805" s="45"/>
      <c r="F805" s="45"/>
      <c r="G805" s="45"/>
    </row>
    <row r="806">
      <c r="B806" s="44"/>
      <c r="C806" s="45"/>
      <c r="D806" s="45"/>
      <c r="E806" s="45"/>
      <c r="F806" s="45"/>
      <c r="G806" s="45"/>
    </row>
    <row r="807">
      <c r="B807" s="44"/>
      <c r="C807" s="45"/>
      <c r="D807" s="45"/>
      <c r="E807" s="45"/>
      <c r="F807" s="45"/>
      <c r="G807" s="45"/>
    </row>
    <row r="808">
      <c r="B808" s="44"/>
      <c r="C808" s="45"/>
      <c r="D808" s="45"/>
      <c r="E808" s="45"/>
      <c r="F808" s="45"/>
      <c r="G808" s="45"/>
    </row>
    <row r="809">
      <c r="B809" s="44"/>
      <c r="C809" s="45"/>
      <c r="D809" s="45"/>
      <c r="E809" s="45"/>
      <c r="F809" s="45"/>
      <c r="G809" s="45"/>
    </row>
    <row r="810">
      <c r="B810" s="44"/>
      <c r="C810" s="45"/>
      <c r="D810" s="45"/>
      <c r="E810" s="45"/>
      <c r="F810" s="45"/>
      <c r="G810" s="45"/>
    </row>
    <row r="811">
      <c r="B811" s="44"/>
      <c r="C811" s="45"/>
      <c r="D811" s="45"/>
      <c r="E811" s="45"/>
      <c r="F811" s="45"/>
      <c r="G811" s="45"/>
    </row>
    <row r="812">
      <c r="B812" s="44"/>
      <c r="C812" s="45"/>
      <c r="D812" s="45"/>
      <c r="E812" s="45"/>
      <c r="F812" s="45"/>
      <c r="G812" s="45"/>
    </row>
    <row r="813">
      <c r="B813" s="44"/>
      <c r="C813" s="45"/>
      <c r="D813" s="45"/>
      <c r="E813" s="45"/>
      <c r="F813" s="45"/>
      <c r="G813" s="45"/>
    </row>
    <row r="814">
      <c r="B814" s="44"/>
      <c r="C814" s="45"/>
      <c r="D814" s="45"/>
      <c r="E814" s="45"/>
      <c r="F814" s="45"/>
      <c r="G814" s="45"/>
    </row>
    <row r="815">
      <c r="B815" s="44"/>
      <c r="C815" s="45"/>
      <c r="D815" s="45"/>
      <c r="E815" s="45"/>
      <c r="F815" s="45"/>
      <c r="G815" s="45"/>
    </row>
    <row r="816">
      <c r="B816" s="44"/>
      <c r="C816" s="45"/>
      <c r="D816" s="45"/>
      <c r="E816" s="45"/>
      <c r="F816" s="45"/>
      <c r="G816" s="45"/>
    </row>
    <row r="817">
      <c r="B817" s="44"/>
      <c r="C817" s="45"/>
      <c r="D817" s="45"/>
      <c r="E817" s="45"/>
      <c r="F817" s="45"/>
      <c r="G817" s="45"/>
    </row>
    <row r="818">
      <c r="B818" s="44"/>
      <c r="C818" s="45"/>
      <c r="D818" s="45"/>
      <c r="E818" s="45"/>
      <c r="F818" s="45"/>
      <c r="G818" s="45"/>
    </row>
    <row r="819">
      <c r="B819" s="44"/>
      <c r="C819" s="45"/>
      <c r="D819" s="45"/>
      <c r="E819" s="45"/>
      <c r="F819" s="45"/>
      <c r="G819" s="45"/>
    </row>
    <row r="820">
      <c r="B820" s="44"/>
      <c r="C820" s="45"/>
      <c r="D820" s="45"/>
      <c r="E820" s="45"/>
      <c r="F820" s="45"/>
      <c r="G820" s="45"/>
    </row>
    <row r="821">
      <c r="B821" s="44"/>
      <c r="C821" s="45"/>
      <c r="D821" s="45"/>
      <c r="E821" s="45"/>
      <c r="F821" s="45"/>
      <c r="G821" s="45"/>
    </row>
    <row r="822">
      <c r="B822" s="44"/>
      <c r="C822" s="45"/>
      <c r="D822" s="45"/>
      <c r="E822" s="45"/>
      <c r="F822" s="45"/>
      <c r="G822" s="45"/>
    </row>
    <row r="823">
      <c r="B823" s="44"/>
      <c r="C823" s="45"/>
      <c r="D823" s="45"/>
      <c r="E823" s="45"/>
      <c r="F823" s="45"/>
      <c r="G823" s="45"/>
    </row>
    <row r="824">
      <c r="B824" s="44"/>
      <c r="C824" s="45"/>
      <c r="D824" s="45"/>
      <c r="E824" s="45"/>
      <c r="F824" s="45"/>
      <c r="G824" s="45"/>
    </row>
    <row r="825">
      <c r="B825" s="44"/>
      <c r="C825" s="45"/>
      <c r="D825" s="45"/>
      <c r="E825" s="45"/>
      <c r="F825" s="45"/>
      <c r="G825" s="45"/>
    </row>
    <row r="826">
      <c r="B826" s="44"/>
      <c r="C826" s="45"/>
      <c r="D826" s="45"/>
      <c r="E826" s="45"/>
      <c r="F826" s="45"/>
      <c r="G826" s="45"/>
    </row>
    <row r="827">
      <c r="B827" s="44"/>
      <c r="C827" s="45"/>
      <c r="D827" s="45"/>
      <c r="E827" s="45"/>
      <c r="F827" s="45"/>
      <c r="G827" s="45"/>
    </row>
    <row r="828">
      <c r="B828" s="44"/>
      <c r="C828" s="45"/>
      <c r="D828" s="45"/>
      <c r="E828" s="45"/>
      <c r="F828" s="45"/>
      <c r="G828" s="45"/>
    </row>
    <row r="829">
      <c r="B829" s="44"/>
      <c r="C829" s="45"/>
      <c r="D829" s="45"/>
      <c r="E829" s="45"/>
      <c r="F829" s="45"/>
      <c r="G829" s="45"/>
    </row>
    <row r="830">
      <c r="B830" s="44"/>
      <c r="C830" s="45"/>
      <c r="D830" s="45"/>
      <c r="E830" s="45"/>
      <c r="F830" s="45"/>
      <c r="G830" s="45"/>
    </row>
    <row r="831">
      <c r="B831" s="44"/>
      <c r="C831" s="45"/>
      <c r="D831" s="45"/>
      <c r="E831" s="45"/>
      <c r="F831" s="45"/>
      <c r="G831" s="45"/>
    </row>
    <row r="832">
      <c r="B832" s="44"/>
      <c r="C832" s="45"/>
      <c r="D832" s="45"/>
      <c r="E832" s="45"/>
      <c r="F832" s="45"/>
      <c r="G832" s="45"/>
    </row>
    <row r="833">
      <c r="B833" s="44"/>
      <c r="C833" s="45"/>
      <c r="D833" s="45"/>
      <c r="E833" s="45"/>
      <c r="F833" s="45"/>
      <c r="G833" s="45"/>
    </row>
    <row r="834">
      <c r="B834" s="44"/>
      <c r="C834" s="45"/>
      <c r="D834" s="45"/>
      <c r="E834" s="45"/>
      <c r="F834" s="45"/>
      <c r="G834" s="45"/>
    </row>
    <row r="835">
      <c r="B835" s="44"/>
      <c r="C835" s="45"/>
      <c r="D835" s="45"/>
      <c r="E835" s="45"/>
      <c r="F835" s="45"/>
      <c r="G835" s="45"/>
    </row>
    <row r="836">
      <c r="B836" s="44"/>
      <c r="C836" s="45"/>
      <c r="D836" s="45"/>
      <c r="E836" s="45"/>
      <c r="F836" s="45"/>
      <c r="G836" s="45"/>
    </row>
    <row r="837">
      <c r="B837" s="44"/>
      <c r="C837" s="45"/>
      <c r="D837" s="45"/>
      <c r="E837" s="45"/>
      <c r="F837" s="45"/>
      <c r="G837" s="45"/>
    </row>
    <row r="838">
      <c r="B838" s="44"/>
      <c r="C838" s="45"/>
      <c r="D838" s="45"/>
      <c r="E838" s="45"/>
      <c r="F838" s="45"/>
      <c r="G838" s="45"/>
    </row>
    <row r="839">
      <c r="B839" s="44"/>
      <c r="C839" s="45"/>
      <c r="D839" s="45"/>
      <c r="E839" s="45"/>
      <c r="F839" s="45"/>
      <c r="G839" s="45"/>
    </row>
    <row r="840">
      <c r="B840" s="44"/>
      <c r="C840" s="45"/>
      <c r="D840" s="45"/>
      <c r="E840" s="45"/>
      <c r="F840" s="45"/>
      <c r="G840" s="45"/>
    </row>
    <row r="841">
      <c r="B841" s="44"/>
      <c r="C841" s="45"/>
      <c r="D841" s="45"/>
      <c r="E841" s="45"/>
      <c r="F841" s="45"/>
      <c r="G841" s="45"/>
    </row>
    <row r="842">
      <c r="B842" s="44"/>
      <c r="C842" s="45"/>
      <c r="D842" s="45"/>
      <c r="E842" s="45"/>
      <c r="F842" s="45"/>
      <c r="G842" s="45"/>
    </row>
    <row r="843">
      <c r="B843" s="44"/>
      <c r="C843" s="45"/>
      <c r="D843" s="45"/>
      <c r="E843" s="45"/>
      <c r="F843" s="45"/>
      <c r="G843" s="45"/>
    </row>
    <row r="844">
      <c r="B844" s="44"/>
      <c r="C844" s="45"/>
      <c r="D844" s="45"/>
      <c r="E844" s="45"/>
      <c r="F844" s="45"/>
      <c r="G844" s="45"/>
    </row>
    <row r="845">
      <c r="B845" s="44"/>
      <c r="C845" s="45"/>
      <c r="D845" s="45"/>
      <c r="E845" s="45"/>
      <c r="F845" s="45"/>
      <c r="G845" s="45"/>
    </row>
    <row r="846">
      <c r="B846" s="44"/>
      <c r="C846" s="45"/>
      <c r="D846" s="45"/>
      <c r="E846" s="45"/>
      <c r="F846" s="45"/>
      <c r="G846" s="45"/>
    </row>
    <row r="847">
      <c r="B847" s="44"/>
      <c r="C847" s="45"/>
      <c r="D847" s="45"/>
      <c r="E847" s="45"/>
      <c r="F847" s="45"/>
      <c r="G847" s="45"/>
    </row>
    <row r="848">
      <c r="B848" s="44"/>
      <c r="C848" s="45"/>
      <c r="D848" s="45"/>
      <c r="E848" s="45"/>
      <c r="F848" s="45"/>
      <c r="G848" s="45"/>
    </row>
    <row r="849">
      <c r="B849" s="44"/>
      <c r="C849" s="45"/>
      <c r="D849" s="45"/>
      <c r="E849" s="45"/>
      <c r="F849" s="45"/>
      <c r="G849" s="45"/>
    </row>
    <row r="850">
      <c r="B850" s="44"/>
      <c r="C850" s="45"/>
      <c r="D850" s="45"/>
      <c r="E850" s="45"/>
      <c r="F850" s="45"/>
      <c r="G850" s="45"/>
    </row>
    <row r="851">
      <c r="B851" s="44"/>
      <c r="C851" s="45"/>
      <c r="D851" s="45"/>
      <c r="E851" s="45"/>
      <c r="F851" s="45"/>
      <c r="G851" s="45"/>
    </row>
    <row r="852">
      <c r="B852" s="44"/>
      <c r="C852" s="45"/>
      <c r="D852" s="45"/>
      <c r="E852" s="45"/>
      <c r="F852" s="45"/>
      <c r="G852" s="45"/>
    </row>
    <row r="853">
      <c r="B853" s="44"/>
      <c r="C853" s="45"/>
      <c r="D853" s="45"/>
      <c r="E853" s="45"/>
      <c r="F853" s="45"/>
      <c r="G853" s="45"/>
    </row>
    <row r="854">
      <c r="B854" s="44"/>
      <c r="C854" s="45"/>
      <c r="D854" s="45"/>
      <c r="E854" s="45"/>
      <c r="F854" s="45"/>
      <c r="G854" s="45"/>
    </row>
    <row r="855">
      <c r="B855" s="44"/>
      <c r="C855" s="45"/>
      <c r="D855" s="45"/>
      <c r="E855" s="45"/>
      <c r="F855" s="45"/>
      <c r="G855" s="45"/>
    </row>
    <row r="856">
      <c r="B856" s="44"/>
      <c r="C856" s="45"/>
      <c r="D856" s="45"/>
      <c r="E856" s="45"/>
      <c r="F856" s="45"/>
      <c r="G856" s="45"/>
    </row>
    <row r="857">
      <c r="B857" s="44"/>
      <c r="C857" s="45"/>
      <c r="D857" s="45"/>
      <c r="E857" s="45"/>
      <c r="F857" s="45"/>
      <c r="G857" s="45"/>
    </row>
    <row r="858">
      <c r="B858" s="44"/>
      <c r="C858" s="45"/>
      <c r="D858" s="45"/>
      <c r="E858" s="45"/>
      <c r="F858" s="45"/>
      <c r="G858" s="45"/>
    </row>
    <row r="859">
      <c r="B859" s="44"/>
      <c r="C859" s="45"/>
      <c r="D859" s="45"/>
      <c r="E859" s="45"/>
      <c r="F859" s="45"/>
      <c r="G859" s="45"/>
    </row>
    <row r="860">
      <c r="B860" s="44"/>
      <c r="C860" s="45"/>
      <c r="D860" s="45"/>
      <c r="E860" s="45"/>
      <c r="F860" s="45"/>
      <c r="G860" s="45"/>
    </row>
    <row r="861">
      <c r="B861" s="44"/>
      <c r="C861" s="45"/>
      <c r="D861" s="45"/>
      <c r="E861" s="45"/>
      <c r="F861" s="45"/>
      <c r="G861" s="45"/>
    </row>
    <row r="862">
      <c r="B862" s="44"/>
      <c r="C862" s="45"/>
      <c r="D862" s="45"/>
      <c r="E862" s="45"/>
      <c r="F862" s="45"/>
      <c r="G862" s="45"/>
    </row>
    <row r="863">
      <c r="B863" s="44"/>
      <c r="C863" s="45"/>
      <c r="D863" s="45"/>
      <c r="E863" s="45"/>
      <c r="F863" s="45"/>
      <c r="G863" s="45"/>
    </row>
    <row r="864">
      <c r="B864" s="44"/>
      <c r="C864" s="45"/>
      <c r="D864" s="45"/>
      <c r="E864" s="45"/>
      <c r="F864" s="45"/>
      <c r="G864" s="45"/>
    </row>
    <row r="865">
      <c r="B865" s="44"/>
      <c r="C865" s="45"/>
      <c r="D865" s="45"/>
      <c r="E865" s="45"/>
      <c r="F865" s="45"/>
      <c r="G865" s="45"/>
    </row>
    <row r="866">
      <c r="B866" s="44"/>
      <c r="C866" s="45"/>
      <c r="D866" s="45"/>
      <c r="E866" s="45"/>
      <c r="F866" s="45"/>
      <c r="G866" s="45"/>
    </row>
    <row r="867">
      <c r="B867" s="44"/>
      <c r="C867" s="45"/>
      <c r="D867" s="45"/>
      <c r="E867" s="45"/>
      <c r="F867" s="45"/>
      <c r="G867" s="45"/>
    </row>
    <row r="868">
      <c r="B868" s="44"/>
      <c r="C868" s="45"/>
      <c r="D868" s="45"/>
      <c r="E868" s="45"/>
      <c r="F868" s="45"/>
      <c r="G868" s="45"/>
    </row>
    <row r="869">
      <c r="B869" s="44"/>
      <c r="C869" s="45"/>
      <c r="D869" s="45"/>
      <c r="E869" s="45"/>
      <c r="F869" s="45"/>
      <c r="G869" s="45"/>
    </row>
    <row r="870">
      <c r="B870" s="44"/>
      <c r="C870" s="45"/>
      <c r="D870" s="45"/>
      <c r="E870" s="45"/>
      <c r="F870" s="45"/>
      <c r="G870" s="45"/>
    </row>
    <row r="871">
      <c r="B871" s="44"/>
      <c r="C871" s="45"/>
      <c r="D871" s="45"/>
      <c r="E871" s="45"/>
      <c r="F871" s="45"/>
      <c r="G871" s="45"/>
    </row>
    <row r="872">
      <c r="B872" s="44"/>
      <c r="C872" s="45"/>
      <c r="D872" s="45"/>
      <c r="E872" s="45"/>
      <c r="F872" s="45"/>
      <c r="G872" s="45"/>
    </row>
    <row r="873">
      <c r="B873" s="44"/>
      <c r="C873" s="45"/>
      <c r="D873" s="45"/>
      <c r="E873" s="45"/>
      <c r="F873" s="45"/>
      <c r="G873" s="45"/>
    </row>
    <row r="874">
      <c r="B874" s="44"/>
      <c r="C874" s="45"/>
      <c r="D874" s="45"/>
      <c r="E874" s="45"/>
      <c r="F874" s="45"/>
      <c r="G874" s="45"/>
    </row>
    <row r="875">
      <c r="B875" s="44"/>
      <c r="C875" s="45"/>
      <c r="D875" s="45"/>
      <c r="E875" s="45"/>
      <c r="F875" s="45"/>
      <c r="G875" s="45"/>
    </row>
    <row r="876">
      <c r="B876" s="44"/>
      <c r="C876" s="45"/>
      <c r="D876" s="45"/>
      <c r="E876" s="45"/>
      <c r="F876" s="45"/>
      <c r="G876" s="45"/>
    </row>
    <row r="877">
      <c r="B877" s="44"/>
      <c r="C877" s="45"/>
      <c r="D877" s="45"/>
      <c r="E877" s="45"/>
      <c r="F877" s="45"/>
      <c r="G877" s="45"/>
    </row>
    <row r="878">
      <c r="B878" s="44"/>
      <c r="C878" s="45"/>
      <c r="D878" s="45"/>
      <c r="E878" s="45"/>
      <c r="F878" s="45"/>
      <c r="G878" s="45"/>
    </row>
    <row r="879">
      <c r="B879" s="44"/>
      <c r="C879" s="45"/>
      <c r="D879" s="45"/>
      <c r="E879" s="45"/>
      <c r="F879" s="45"/>
      <c r="G879" s="45"/>
    </row>
    <row r="880">
      <c r="B880" s="44"/>
      <c r="C880" s="45"/>
      <c r="D880" s="45"/>
      <c r="E880" s="45"/>
      <c r="F880" s="45"/>
      <c r="G880" s="45"/>
    </row>
    <row r="881">
      <c r="B881" s="44"/>
      <c r="C881" s="45"/>
      <c r="D881" s="45"/>
      <c r="E881" s="45"/>
      <c r="F881" s="45"/>
      <c r="G881" s="45"/>
    </row>
    <row r="882">
      <c r="B882" s="44"/>
      <c r="C882" s="45"/>
      <c r="D882" s="45"/>
      <c r="E882" s="45"/>
      <c r="F882" s="45"/>
      <c r="G882" s="45"/>
    </row>
    <row r="883">
      <c r="B883" s="44"/>
      <c r="C883" s="45"/>
      <c r="D883" s="45"/>
      <c r="E883" s="45"/>
      <c r="F883" s="45"/>
      <c r="G883" s="45"/>
    </row>
    <row r="884">
      <c r="B884" s="44"/>
      <c r="C884" s="45"/>
      <c r="D884" s="45"/>
      <c r="E884" s="45"/>
      <c r="F884" s="45"/>
      <c r="G884" s="45"/>
    </row>
    <row r="885">
      <c r="B885" s="44"/>
      <c r="C885" s="45"/>
      <c r="D885" s="45"/>
      <c r="E885" s="45"/>
      <c r="F885" s="45"/>
      <c r="G885" s="45"/>
    </row>
    <row r="886">
      <c r="B886" s="44"/>
      <c r="C886" s="45"/>
      <c r="D886" s="45"/>
      <c r="E886" s="45"/>
      <c r="F886" s="45"/>
      <c r="G886" s="45"/>
    </row>
    <row r="887">
      <c r="B887" s="44"/>
      <c r="C887" s="45"/>
      <c r="D887" s="45"/>
      <c r="E887" s="45"/>
      <c r="F887" s="45"/>
      <c r="G887" s="45"/>
    </row>
    <row r="888">
      <c r="B888" s="44"/>
      <c r="C888" s="45"/>
      <c r="D888" s="45"/>
      <c r="E888" s="45"/>
      <c r="F888" s="45"/>
      <c r="G888" s="45"/>
    </row>
    <row r="889">
      <c r="B889" s="44"/>
      <c r="C889" s="45"/>
      <c r="D889" s="45"/>
      <c r="E889" s="45"/>
      <c r="F889" s="45"/>
      <c r="G889" s="45"/>
    </row>
    <row r="890">
      <c r="B890" s="44"/>
      <c r="C890" s="45"/>
      <c r="D890" s="45"/>
      <c r="E890" s="45"/>
      <c r="F890" s="45"/>
      <c r="G890" s="45"/>
    </row>
    <row r="891">
      <c r="B891" s="44"/>
      <c r="C891" s="45"/>
      <c r="D891" s="45"/>
      <c r="E891" s="45"/>
      <c r="F891" s="45"/>
      <c r="G891" s="45"/>
    </row>
    <row r="892">
      <c r="B892" s="44"/>
      <c r="C892" s="45"/>
      <c r="D892" s="45"/>
      <c r="E892" s="45"/>
      <c r="F892" s="45"/>
      <c r="G892" s="45"/>
    </row>
    <row r="893">
      <c r="B893" s="44"/>
      <c r="C893" s="45"/>
      <c r="D893" s="45"/>
      <c r="E893" s="45"/>
      <c r="F893" s="45"/>
      <c r="G893" s="45"/>
    </row>
    <row r="894">
      <c r="B894" s="44"/>
      <c r="C894" s="45"/>
      <c r="D894" s="45"/>
      <c r="E894" s="45"/>
      <c r="F894" s="45"/>
      <c r="G894" s="45"/>
    </row>
    <row r="895">
      <c r="B895" s="44"/>
      <c r="C895" s="45"/>
      <c r="D895" s="45"/>
      <c r="E895" s="45"/>
      <c r="F895" s="45"/>
      <c r="G895" s="45"/>
    </row>
    <row r="896">
      <c r="B896" s="44"/>
      <c r="C896" s="45"/>
      <c r="D896" s="45"/>
      <c r="E896" s="45"/>
      <c r="F896" s="45"/>
      <c r="G896" s="45"/>
    </row>
    <row r="897">
      <c r="B897" s="44"/>
      <c r="C897" s="45"/>
      <c r="D897" s="45"/>
      <c r="E897" s="45"/>
      <c r="F897" s="45"/>
      <c r="G897" s="45"/>
    </row>
    <row r="898">
      <c r="B898" s="44"/>
      <c r="C898" s="45"/>
      <c r="D898" s="45"/>
      <c r="E898" s="45"/>
      <c r="F898" s="45"/>
      <c r="G898" s="45"/>
    </row>
    <row r="899">
      <c r="B899" s="44"/>
      <c r="C899" s="45"/>
      <c r="D899" s="45"/>
      <c r="E899" s="45"/>
      <c r="F899" s="45"/>
      <c r="G899" s="45"/>
    </row>
    <row r="900">
      <c r="B900" s="44"/>
      <c r="C900" s="45"/>
      <c r="D900" s="45"/>
      <c r="E900" s="45"/>
      <c r="F900" s="45"/>
      <c r="G900" s="45"/>
    </row>
    <row r="901">
      <c r="B901" s="44"/>
      <c r="C901" s="45"/>
      <c r="D901" s="45"/>
      <c r="E901" s="45"/>
      <c r="F901" s="45"/>
      <c r="G901" s="45"/>
    </row>
    <row r="902">
      <c r="B902" s="44"/>
      <c r="C902" s="45"/>
      <c r="D902" s="45"/>
      <c r="E902" s="45"/>
      <c r="F902" s="45"/>
      <c r="G902" s="45"/>
    </row>
    <row r="903">
      <c r="B903" s="44"/>
      <c r="C903" s="45"/>
      <c r="D903" s="45"/>
      <c r="E903" s="45"/>
      <c r="F903" s="45"/>
      <c r="G903" s="45"/>
    </row>
    <row r="904">
      <c r="B904" s="44"/>
      <c r="C904" s="45"/>
      <c r="D904" s="45"/>
      <c r="E904" s="45"/>
      <c r="F904" s="45"/>
      <c r="G904" s="45"/>
    </row>
    <row r="905">
      <c r="B905" s="44"/>
      <c r="C905" s="45"/>
      <c r="D905" s="45"/>
      <c r="E905" s="45"/>
      <c r="F905" s="45"/>
      <c r="G905" s="45"/>
    </row>
    <row r="906">
      <c r="B906" s="44"/>
      <c r="C906" s="45"/>
      <c r="D906" s="45"/>
      <c r="E906" s="45"/>
      <c r="F906" s="45"/>
      <c r="G906" s="45"/>
    </row>
    <row r="907">
      <c r="B907" s="44"/>
      <c r="C907" s="45"/>
      <c r="D907" s="45"/>
      <c r="E907" s="45"/>
      <c r="F907" s="45"/>
      <c r="G907" s="45"/>
    </row>
    <row r="908">
      <c r="B908" s="44"/>
      <c r="C908" s="45"/>
      <c r="D908" s="45"/>
      <c r="E908" s="45"/>
      <c r="F908" s="45"/>
      <c r="G908" s="45"/>
    </row>
    <row r="909">
      <c r="B909" s="44"/>
      <c r="C909" s="45"/>
      <c r="D909" s="45"/>
      <c r="E909" s="45"/>
      <c r="F909" s="45"/>
      <c r="G909" s="45"/>
    </row>
    <row r="910">
      <c r="B910" s="44"/>
      <c r="C910" s="45"/>
      <c r="D910" s="45"/>
      <c r="E910" s="45"/>
      <c r="F910" s="45"/>
      <c r="G910" s="45"/>
    </row>
    <row r="911">
      <c r="B911" s="44"/>
      <c r="C911" s="45"/>
      <c r="D911" s="45"/>
      <c r="E911" s="45"/>
      <c r="F911" s="45"/>
      <c r="G911" s="45"/>
    </row>
    <row r="912">
      <c r="B912" s="44"/>
      <c r="C912" s="45"/>
      <c r="D912" s="45"/>
      <c r="E912" s="45"/>
      <c r="F912" s="45"/>
      <c r="G912" s="45"/>
    </row>
    <row r="913">
      <c r="B913" s="44"/>
      <c r="C913" s="45"/>
      <c r="D913" s="45"/>
      <c r="E913" s="45"/>
      <c r="F913" s="45"/>
      <c r="G913" s="45"/>
    </row>
    <row r="914">
      <c r="B914" s="44"/>
      <c r="C914" s="45"/>
      <c r="D914" s="45"/>
      <c r="E914" s="45"/>
      <c r="F914" s="45"/>
      <c r="G914" s="45"/>
    </row>
    <row r="915">
      <c r="B915" s="44"/>
      <c r="C915" s="45"/>
      <c r="D915" s="45"/>
      <c r="E915" s="45"/>
      <c r="F915" s="45"/>
      <c r="G915" s="45"/>
    </row>
    <row r="916">
      <c r="B916" s="44"/>
      <c r="C916" s="45"/>
      <c r="D916" s="45"/>
      <c r="E916" s="45"/>
      <c r="F916" s="45"/>
      <c r="G916" s="45"/>
    </row>
    <row r="917">
      <c r="B917" s="44"/>
      <c r="C917" s="45"/>
      <c r="D917" s="45"/>
      <c r="E917" s="45"/>
      <c r="F917" s="45"/>
      <c r="G917" s="45"/>
    </row>
    <row r="918">
      <c r="B918" s="44"/>
      <c r="C918" s="45"/>
      <c r="D918" s="45"/>
      <c r="E918" s="45"/>
      <c r="F918" s="45"/>
      <c r="G918" s="45"/>
    </row>
    <row r="919">
      <c r="B919" s="44"/>
      <c r="C919" s="45"/>
      <c r="D919" s="45"/>
      <c r="E919" s="45"/>
      <c r="F919" s="45"/>
      <c r="G919" s="45"/>
    </row>
    <row r="920">
      <c r="B920" s="44"/>
      <c r="C920" s="45"/>
      <c r="D920" s="45"/>
      <c r="E920" s="45"/>
      <c r="F920" s="45"/>
      <c r="G920" s="45"/>
    </row>
    <row r="921">
      <c r="B921" s="44"/>
      <c r="C921" s="45"/>
      <c r="D921" s="45"/>
      <c r="E921" s="45"/>
      <c r="F921" s="45"/>
      <c r="G921" s="45"/>
    </row>
    <row r="922">
      <c r="B922" s="44"/>
      <c r="C922" s="45"/>
      <c r="D922" s="45"/>
      <c r="E922" s="45"/>
      <c r="F922" s="45"/>
      <c r="G922" s="45"/>
    </row>
    <row r="923">
      <c r="B923" s="44"/>
      <c r="C923" s="45"/>
      <c r="D923" s="45"/>
      <c r="E923" s="45"/>
      <c r="F923" s="45"/>
      <c r="G923" s="45"/>
    </row>
    <row r="924">
      <c r="B924" s="44"/>
      <c r="C924" s="45"/>
      <c r="D924" s="45"/>
      <c r="E924" s="45"/>
      <c r="F924" s="45"/>
      <c r="G924" s="45"/>
    </row>
    <row r="925">
      <c r="B925" s="44"/>
      <c r="C925" s="45"/>
      <c r="D925" s="45"/>
      <c r="E925" s="45"/>
      <c r="F925" s="45"/>
      <c r="G925" s="45"/>
    </row>
    <row r="926">
      <c r="B926" s="44"/>
      <c r="C926" s="45"/>
      <c r="D926" s="45"/>
      <c r="E926" s="45"/>
      <c r="F926" s="45"/>
      <c r="G926" s="45"/>
    </row>
    <row r="927">
      <c r="B927" s="44"/>
      <c r="C927" s="45"/>
      <c r="D927" s="45"/>
      <c r="E927" s="45"/>
      <c r="F927" s="45"/>
      <c r="G927" s="45"/>
    </row>
    <row r="928">
      <c r="B928" s="44"/>
      <c r="C928" s="45"/>
      <c r="D928" s="45"/>
      <c r="E928" s="45"/>
      <c r="F928" s="45"/>
      <c r="G928" s="45"/>
    </row>
    <row r="929">
      <c r="B929" s="44"/>
      <c r="C929" s="45"/>
      <c r="D929" s="45"/>
      <c r="E929" s="45"/>
      <c r="F929" s="45"/>
      <c r="G929" s="45"/>
    </row>
    <row r="930">
      <c r="B930" s="44"/>
      <c r="C930" s="45"/>
      <c r="D930" s="45"/>
      <c r="E930" s="45"/>
      <c r="F930" s="45"/>
      <c r="G930" s="45"/>
    </row>
    <row r="931">
      <c r="B931" s="44"/>
      <c r="C931" s="45"/>
      <c r="D931" s="45"/>
      <c r="E931" s="45"/>
      <c r="F931" s="45"/>
      <c r="G931" s="45"/>
    </row>
    <row r="932">
      <c r="B932" s="44"/>
      <c r="C932" s="45"/>
      <c r="D932" s="45"/>
      <c r="E932" s="45"/>
      <c r="F932" s="45"/>
      <c r="G932" s="45"/>
    </row>
    <row r="933">
      <c r="B933" s="44"/>
      <c r="C933" s="45"/>
      <c r="D933" s="45"/>
      <c r="E933" s="45"/>
      <c r="F933" s="45"/>
      <c r="G933" s="45"/>
    </row>
    <row r="934">
      <c r="B934" s="44"/>
      <c r="C934" s="45"/>
      <c r="D934" s="45"/>
      <c r="E934" s="45"/>
      <c r="F934" s="45"/>
      <c r="G934" s="45"/>
    </row>
    <row r="935">
      <c r="B935" s="44"/>
      <c r="C935" s="45"/>
      <c r="D935" s="45"/>
      <c r="E935" s="45"/>
      <c r="F935" s="45"/>
      <c r="G935" s="45"/>
    </row>
    <row r="936">
      <c r="B936" s="44"/>
      <c r="C936" s="45"/>
      <c r="D936" s="45"/>
      <c r="E936" s="45"/>
      <c r="F936" s="45"/>
      <c r="G936" s="45"/>
    </row>
    <row r="937">
      <c r="B937" s="44"/>
      <c r="C937" s="45"/>
      <c r="D937" s="45"/>
      <c r="E937" s="45"/>
      <c r="F937" s="45"/>
      <c r="G937" s="45"/>
    </row>
    <row r="938">
      <c r="B938" s="44"/>
      <c r="C938" s="45"/>
      <c r="D938" s="45"/>
      <c r="E938" s="45"/>
      <c r="F938" s="45"/>
      <c r="G938" s="45"/>
    </row>
    <row r="939">
      <c r="B939" s="44"/>
      <c r="C939" s="45"/>
      <c r="D939" s="45"/>
      <c r="E939" s="45"/>
      <c r="F939" s="45"/>
      <c r="G939" s="45"/>
    </row>
    <row r="940">
      <c r="B940" s="44"/>
      <c r="C940" s="45"/>
      <c r="D940" s="45"/>
      <c r="E940" s="45"/>
      <c r="F940" s="45"/>
      <c r="G940" s="45"/>
    </row>
    <row r="941">
      <c r="B941" s="44"/>
      <c r="C941" s="45"/>
      <c r="D941" s="45"/>
      <c r="E941" s="45"/>
      <c r="F941" s="45"/>
      <c r="G941" s="45"/>
    </row>
    <row r="942">
      <c r="B942" s="44"/>
      <c r="C942" s="45"/>
      <c r="D942" s="45"/>
      <c r="E942" s="45"/>
      <c r="F942" s="45"/>
      <c r="G942" s="45"/>
    </row>
    <row r="943">
      <c r="B943" s="44"/>
      <c r="C943" s="45"/>
      <c r="D943" s="45"/>
      <c r="E943" s="45"/>
      <c r="F943" s="45"/>
      <c r="G943" s="45"/>
    </row>
    <row r="944">
      <c r="B944" s="44"/>
      <c r="C944" s="45"/>
      <c r="D944" s="45"/>
      <c r="E944" s="45"/>
      <c r="F944" s="45"/>
      <c r="G944" s="45"/>
    </row>
    <row r="945">
      <c r="B945" s="44"/>
      <c r="C945" s="45"/>
      <c r="D945" s="45"/>
      <c r="E945" s="45"/>
      <c r="F945" s="45"/>
      <c r="G945" s="45"/>
    </row>
    <row r="946">
      <c r="B946" s="44"/>
      <c r="C946" s="45"/>
      <c r="D946" s="45"/>
      <c r="E946" s="45"/>
      <c r="F946" s="45"/>
      <c r="G946" s="45"/>
    </row>
    <row r="947">
      <c r="B947" s="44"/>
      <c r="C947" s="45"/>
      <c r="D947" s="45"/>
      <c r="E947" s="45"/>
      <c r="F947" s="45"/>
      <c r="G947" s="45"/>
    </row>
    <row r="948">
      <c r="B948" s="44"/>
      <c r="C948" s="45"/>
      <c r="D948" s="45"/>
      <c r="E948" s="45"/>
      <c r="F948" s="45"/>
      <c r="G948" s="45"/>
    </row>
    <row r="949">
      <c r="B949" s="44"/>
      <c r="C949" s="45"/>
      <c r="D949" s="45"/>
      <c r="E949" s="45"/>
      <c r="F949" s="45"/>
      <c r="G949" s="45"/>
    </row>
    <row r="950">
      <c r="B950" s="44"/>
      <c r="C950" s="45"/>
      <c r="D950" s="45"/>
      <c r="E950" s="45"/>
      <c r="F950" s="45"/>
      <c r="G950" s="45"/>
    </row>
    <row r="951">
      <c r="B951" s="44"/>
      <c r="C951" s="45"/>
      <c r="D951" s="45"/>
      <c r="E951" s="45"/>
      <c r="F951" s="45"/>
      <c r="G951" s="45"/>
    </row>
    <row r="952">
      <c r="B952" s="44"/>
      <c r="C952" s="45"/>
      <c r="D952" s="45"/>
      <c r="E952" s="45"/>
      <c r="F952" s="45"/>
      <c r="G952" s="45"/>
    </row>
    <row r="953">
      <c r="B953" s="44"/>
      <c r="C953" s="45"/>
      <c r="D953" s="45"/>
      <c r="E953" s="45"/>
      <c r="F953" s="45"/>
      <c r="G953" s="45"/>
    </row>
    <row r="954">
      <c r="B954" s="44"/>
      <c r="C954" s="45"/>
      <c r="D954" s="45"/>
      <c r="E954" s="45"/>
      <c r="F954" s="45"/>
      <c r="G954" s="45"/>
    </row>
    <row r="955">
      <c r="B955" s="44"/>
      <c r="C955" s="45"/>
      <c r="D955" s="45"/>
      <c r="E955" s="45"/>
      <c r="F955" s="45"/>
      <c r="G955" s="45"/>
    </row>
    <row r="956">
      <c r="B956" s="44"/>
      <c r="C956" s="45"/>
      <c r="D956" s="45"/>
      <c r="E956" s="45"/>
      <c r="F956" s="45"/>
      <c r="G956" s="45"/>
    </row>
    <row r="957">
      <c r="B957" s="44"/>
      <c r="C957" s="45"/>
      <c r="D957" s="45"/>
      <c r="E957" s="45"/>
      <c r="F957" s="45"/>
      <c r="G957" s="45"/>
    </row>
    <row r="958">
      <c r="B958" s="44"/>
      <c r="C958" s="45"/>
      <c r="D958" s="45"/>
      <c r="E958" s="45"/>
      <c r="F958" s="45"/>
      <c r="G958" s="45"/>
    </row>
    <row r="959">
      <c r="B959" s="44"/>
      <c r="C959" s="45"/>
      <c r="D959" s="45"/>
      <c r="E959" s="45"/>
      <c r="F959" s="45"/>
      <c r="G959" s="45"/>
    </row>
    <row r="960">
      <c r="B960" s="44"/>
      <c r="C960" s="45"/>
      <c r="D960" s="45"/>
      <c r="E960" s="45"/>
      <c r="F960" s="45"/>
      <c r="G960" s="45"/>
    </row>
    <row r="961">
      <c r="B961" s="44"/>
      <c r="C961" s="45"/>
      <c r="D961" s="45"/>
      <c r="E961" s="45"/>
      <c r="F961" s="45"/>
      <c r="G961" s="45"/>
    </row>
    <row r="962">
      <c r="B962" s="44"/>
      <c r="C962" s="45"/>
      <c r="D962" s="45"/>
      <c r="E962" s="45"/>
      <c r="F962" s="45"/>
      <c r="G962" s="45"/>
    </row>
    <row r="963">
      <c r="B963" s="44"/>
      <c r="C963" s="45"/>
      <c r="D963" s="45"/>
      <c r="E963" s="45"/>
      <c r="F963" s="45"/>
      <c r="G963" s="45"/>
    </row>
    <row r="964">
      <c r="B964" s="44"/>
      <c r="C964" s="45"/>
      <c r="D964" s="45"/>
      <c r="E964" s="45"/>
      <c r="F964" s="45"/>
      <c r="G964" s="45"/>
    </row>
    <row r="965">
      <c r="B965" s="44"/>
      <c r="C965" s="45"/>
      <c r="D965" s="45"/>
      <c r="E965" s="45"/>
      <c r="F965" s="45"/>
      <c r="G965" s="45"/>
    </row>
    <row r="966">
      <c r="B966" s="44"/>
      <c r="C966" s="45"/>
      <c r="D966" s="45"/>
      <c r="E966" s="45"/>
      <c r="F966" s="45"/>
      <c r="G966" s="45"/>
    </row>
    <row r="967">
      <c r="B967" s="44"/>
      <c r="C967" s="45"/>
      <c r="D967" s="45"/>
      <c r="E967" s="45"/>
      <c r="F967" s="45"/>
      <c r="G967" s="45"/>
    </row>
    <row r="968">
      <c r="B968" s="44"/>
      <c r="C968" s="45"/>
      <c r="D968" s="45"/>
      <c r="E968" s="45"/>
      <c r="F968" s="45"/>
      <c r="G968" s="45"/>
    </row>
    <row r="969">
      <c r="B969" s="44"/>
      <c r="C969" s="45"/>
      <c r="D969" s="45"/>
      <c r="E969" s="45"/>
      <c r="F969" s="45"/>
      <c r="G969" s="45"/>
    </row>
    <row r="970">
      <c r="B970" s="44"/>
      <c r="C970" s="45"/>
      <c r="D970" s="45"/>
      <c r="E970" s="45"/>
      <c r="F970" s="45"/>
      <c r="G970" s="45"/>
    </row>
    <row r="971">
      <c r="B971" s="44"/>
      <c r="C971" s="45"/>
      <c r="D971" s="45"/>
      <c r="E971" s="45"/>
      <c r="F971" s="45"/>
      <c r="G971" s="45"/>
    </row>
    <row r="972">
      <c r="B972" s="44"/>
      <c r="C972" s="45"/>
      <c r="D972" s="45"/>
      <c r="E972" s="45"/>
      <c r="F972" s="45"/>
      <c r="G972" s="45"/>
    </row>
    <row r="973">
      <c r="B973" s="44"/>
      <c r="C973" s="45"/>
      <c r="D973" s="45"/>
      <c r="E973" s="45"/>
      <c r="F973" s="45"/>
      <c r="G973" s="45"/>
    </row>
    <row r="974">
      <c r="B974" s="44"/>
      <c r="C974" s="45"/>
      <c r="D974" s="45"/>
      <c r="E974" s="45"/>
      <c r="F974" s="45"/>
      <c r="G974" s="45"/>
    </row>
    <row r="975">
      <c r="B975" s="44"/>
      <c r="C975" s="45"/>
      <c r="D975" s="45"/>
      <c r="E975" s="45"/>
      <c r="F975" s="45"/>
      <c r="G975" s="45"/>
    </row>
    <row r="976">
      <c r="B976" s="44"/>
      <c r="C976" s="45"/>
      <c r="D976" s="45"/>
      <c r="E976" s="45"/>
      <c r="F976" s="45"/>
      <c r="G976" s="45"/>
    </row>
    <row r="977">
      <c r="B977" s="44"/>
      <c r="C977" s="45"/>
      <c r="D977" s="45"/>
      <c r="E977" s="45"/>
      <c r="F977" s="45"/>
      <c r="G977" s="45"/>
    </row>
    <row r="978">
      <c r="B978" s="44"/>
      <c r="C978" s="45"/>
      <c r="D978" s="45"/>
      <c r="E978" s="45"/>
      <c r="F978" s="45"/>
      <c r="G978" s="45"/>
    </row>
    <row r="979">
      <c r="B979" s="44"/>
      <c r="C979" s="45"/>
      <c r="D979" s="45"/>
      <c r="E979" s="45"/>
      <c r="F979" s="45"/>
      <c r="G979" s="45"/>
    </row>
    <row r="980">
      <c r="B980" s="44"/>
      <c r="C980" s="45"/>
      <c r="D980" s="45"/>
      <c r="E980" s="45"/>
      <c r="F980" s="45"/>
      <c r="G980" s="45"/>
    </row>
    <row r="981">
      <c r="B981" s="44"/>
      <c r="C981" s="45"/>
      <c r="D981" s="45"/>
      <c r="E981" s="45"/>
      <c r="F981" s="45"/>
      <c r="G981" s="45"/>
    </row>
    <row r="982">
      <c r="B982" s="44"/>
      <c r="C982" s="45"/>
      <c r="D982" s="45"/>
      <c r="E982" s="45"/>
      <c r="F982" s="45"/>
      <c r="G982" s="45"/>
    </row>
    <row r="983">
      <c r="B983" s="44"/>
      <c r="C983" s="45"/>
      <c r="D983" s="45"/>
      <c r="E983" s="45"/>
      <c r="F983" s="45"/>
      <c r="G983" s="45"/>
    </row>
    <row r="984">
      <c r="B984" s="44"/>
      <c r="C984" s="45"/>
      <c r="D984" s="45"/>
      <c r="E984" s="45"/>
      <c r="F984" s="45"/>
      <c r="G984" s="45"/>
    </row>
    <row r="985">
      <c r="B985" s="44"/>
      <c r="C985" s="45"/>
      <c r="D985" s="45"/>
      <c r="E985" s="45"/>
      <c r="F985" s="45"/>
      <c r="G985" s="45"/>
    </row>
    <row r="986">
      <c r="B986" s="44"/>
      <c r="C986" s="45"/>
      <c r="D986" s="45"/>
      <c r="E986" s="45"/>
      <c r="F986" s="45"/>
      <c r="G986" s="45"/>
    </row>
    <row r="987">
      <c r="B987" s="44"/>
      <c r="C987" s="45"/>
      <c r="D987" s="45"/>
      <c r="E987" s="45"/>
      <c r="F987" s="45"/>
      <c r="G987" s="45"/>
    </row>
    <row r="988">
      <c r="B988" s="44"/>
      <c r="C988" s="45"/>
      <c r="D988" s="45"/>
      <c r="E988" s="45"/>
      <c r="F988" s="45"/>
      <c r="G988" s="45"/>
    </row>
    <row r="989">
      <c r="B989" s="44"/>
      <c r="C989" s="45"/>
      <c r="D989" s="45"/>
      <c r="E989" s="45"/>
      <c r="F989" s="45"/>
      <c r="G989" s="45"/>
    </row>
    <row r="990">
      <c r="B990" s="44"/>
      <c r="C990" s="45"/>
      <c r="D990" s="45"/>
      <c r="E990" s="45"/>
      <c r="F990" s="45"/>
      <c r="G990" s="45"/>
    </row>
    <row r="991">
      <c r="B991" s="44"/>
      <c r="C991" s="45"/>
      <c r="D991" s="45"/>
      <c r="E991" s="45"/>
      <c r="F991" s="45"/>
      <c r="G991" s="45"/>
    </row>
    <row r="992">
      <c r="B992" s="44"/>
      <c r="C992" s="45"/>
      <c r="D992" s="45"/>
      <c r="E992" s="45"/>
      <c r="F992" s="45"/>
      <c r="G992" s="45"/>
    </row>
    <row r="993">
      <c r="B993" s="44"/>
      <c r="C993" s="45"/>
      <c r="D993" s="45"/>
      <c r="E993" s="45"/>
      <c r="F993" s="45"/>
      <c r="G993" s="45"/>
    </row>
    <row r="994">
      <c r="B994" s="44"/>
      <c r="C994" s="45"/>
      <c r="D994" s="45"/>
      <c r="E994" s="45"/>
      <c r="F994" s="45"/>
      <c r="G994" s="45"/>
    </row>
    <row r="995">
      <c r="B995" s="44"/>
      <c r="C995" s="45"/>
      <c r="D995" s="45"/>
      <c r="E995" s="45"/>
      <c r="F995" s="45"/>
      <c r="G995" s="45"/>
    </row>
    <row r="996">
      <c r="B996" s="44"/>
      <c r="C996" s="45"/>
      <c r="D996" s="45"/>
      <c r="E996" s="45"/>
      <c r="F996" s="45"/>
      <c r="G996" s="45"/>
    </row>
    <row r="997">
      <c r="B997" s="44"/>
      <c r="C997" s="45"/>
      <c r="D997" s="45"/>
      <c r="E997" s="45"/>
      <c r="F997" s="45"/>
      <c r="G997" s="45"/>
    </row>
    <row r="998">
      <c r="B998" s="44"/>
      <c r="C998" s="45"/>
      <c r="D998" s="45"/>
      <c r="E998" s="45"/>
      <c r="F998" s="45"/>
      <c r="G998" s="45"/>
    </row>
    <row r="999">
      <c r="B999" s="44"/>
      <c r="C999" s="45"/>
      <c r="D999" s="45"/>
      <c r="E999" s="45"/>
      <c r="F999" s="45"/>
      <c r="G999" s="45"/>
    </row>
    <row r="1000">
      <c r="B1000" s="44"/>
      <c r="C1000" s="45"/>
      <c r="D1000" s="45"/>
      <c r="E1000" s="45"/>
      <c r="F1000" s="45"/>
      <c r="G1000" s="45"/>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6">
        <v>1.732E-4</v>
      </c>
      <c r="B1" s="46">
        <v>5.01E-5</v>
      </c>
      <c r="C1" s="46">
        <v>4.81E-5</v>
      </c>
      <c r="D1" s="46">
        <v>8.75E-5</v>
      </c>
      <c r="E1" s="46">
        <v>4.47E-5</v>
      </c>
      <c r="F1" s="46">
        <v>5.35E-5</v>
      </c>
      <c r="H1" s="8">
        <f t="array" ref="H1:M6">MINVERSE(A1:F6)</f>
        <v>7311.815992</v>
      </c>
      <c r="I1" s="8">
        <v>-784.2475414096822</v>
      </c>
      <c r="J1" s="8">
        <v>-245.43237360186652</v>
      </c>
      <c r="K1" s="8">
        <v>-646.0235417226958</v>
      </c>
      <c r="L1" s="8">
        <v>-1185.5432052893616</v>
      </c>
      <c r="M1" s="8">
        <v>-1977.3755076099844</v>
      </c>
      <c r="O1" s="1">
        <v>1.0</v>
      </c>
      <c r="Q1" s="8">
        <f t="array" ref="Q1:Q6">MMULT(H1:M6,O1:O6)</f>
        <v>2473.193822</v>
      </c>
      <c r="R1" s="8">
        <f t="shared" ref="R1:R6" si="1">Q1/$Q$8</f>
        <v>0.1767010492</v>
      </c>
    </row>
    <row r="2">
      <c r="A2" s="46">
        <v>5.01E-5</v>
      </c>
      <c r="B2" s="46">
        <v>2.328E-4</v>
      </c>
      <c r="C2" s="46">
        <v>2.043E-4</v>
      </c>
      <c r="D2" s="46">
        <v>3.08E-5</v>
      </c>
      <c r="E2" s="46">
        <v>3.27E-5</v>
      </c>
      <c r="F2" s="46">
        <v>3.79E-5</v>
      </c>
      <c r="H2" s="8">
        <v>-784.2475414096834</v>
      </c>
      <c r="I2" s="8">
        <v>10834.945892568547</v>
      </c>
      <c r="J2" s="8">
        <v>-6992.664857489841</v>
      </c>
      <c r="K2" s="8">
        <v>129.641719498479</v>
      </c>
      <c r="L2" s="8">
        <v>-376.7281448147885</v>
      </c>
      <c r="M2" s="8">
        <v>-1217.8661267880686</v>
      </c>
      <c r="O2" s="1">
        <v>1.0</v>
      </c>
      <c r="Q2" s="8">
        <v>1593.080941564643</v>
      </c>
      <c r="R2" s="8">
        <f t="shared" si="1"/>
        <v>0.1138200618</v>
      </c>
    </row>
    <row r="3">
      <c r="A3" s="46">
        <v>4.81E-5</v>
      </c>
      <c r="B3" s="46">
        <v>2.043E-4</v>
      </c>
      <c r="C3" s="46">
        <v>3.056E-4</v>
      </c>
      <c r="D3" s="46">
        <v>3.96E-5</v>
      </c>
      <c r="E3" s="46">
        <v>3.38E-5</v>
      </c>
      <c r="F3" s="46">
        <v>2.57E-5</v>
      </c>
      <c r="H3" s="8">
        <v>-245.43237360186612</v>
      </c>
      <c r="I3" s="8">
        <v>-6992.664857489841</v>
      </c>
      <c r="J3" s="8">
        <v>7982.949422376395</v>
      </c>
      <c r="K3" s="8">
        <v>-105.96084020377138</v>
      </c>
      <c r="L3" s="8">
        <v>-299.92275627837796</v>
      </c>
      <c r="M3" s="8">
        <v>589.5261677617424</v>
      </c>
      <c r="O3" s="1">
        <v>1.0</v>
      </c>
      <c r="Q3" s="8">
        <v>928.4947625642812</v>
      </c>
      <c r="R3" s="8">
        <f t="shared" si="1"/>
        <v>0.06633770359</v>
      </c>
    </row>
    <row r="4">
      <c r="A4" s="46">
        <v>8.75E-5</v>
      </c>
      <c r="B4" s="46">
        <v>3.08E-5</v>
      </c>
      <c r="C4" s="46">
        <v>3.96E-5</v>
      </c>
      <c r="D4" s="46">
        <v>6.677E-4</v>
      </c>
      <c r="E4" s="46">
        <v>9.27E-5</v>
      </c>
      <c r="F4" s="46">
        <v>3.27E-5</v>
      </c>
      <c r="H4" s="8">
        <v>-646.023541722696</v>
      </c>
      <c r="I4" s="8">
        <v>129.64171949847892</v>
      </c>
      <c r="J4" s="8">
        <v>-105.96084020377131</v>
      </c>
      <c r="K4" s="8">
        <v>1713.588754826801</v>
      </c>
      <c r="L4" s="8">
        <v>-968.55774528625</v>
      </c>
      <c r="M4" s="8">
        <v>71.93381047194082</v>
      </c>
      <c r="O4" s="1">
        <v>1.0</v>
      </c>
      <c r="Q4" s="8">
        <v>194.62215758450344</v>
      </c>
      <c r="R4" s="8">
        <f t="shared" si="1"/>
        <v>0.01390507251</v>
      </c>
    </row>
    <row r="5">
      <c r="A5" s="46">
        <v>4.47E-5</v>
      </c>
      <c r="B5" s="46">
        <v>3.27E-5</v>
      </c>
      <c r="C5" s="46">
        <v>3.38E-5</v>
      </c>
      <c r="D5" s="46">
        <v>9.27E-5</v>
      </c>
      <c r="E5" s="46">
        <v>1.375E-4</v>
      </c>
      <c r="F5" s="46">
        <v>3.54E-5</v>
      </c>
      <c r="H5" s="8">
        <v>-1185.5432052893614</v>
      </c>
      <c r="I5" s="8">
        <v>-376.7281448147887</v>
      </c>
      <c r="J5" s="8">
        <v>-299.922756278378</v>
      </c>
      <c r="K5" s="8">
        <v>-968.5577452862503</v>
      </c>
      <c r="L5" s="8">
        <v>8814.237333632824</v>
      </c>
      <c r="M5" s="8">
        <v>-1319.8347348133104</v>
      </c>
      <c r="O5" s="1">
        <v>1.0</v>
      </c>
      <c r="Q5" s="8">
        <v>4663.650747150735</v>
      </c>
      <c r="R5" s="8">
        <f t="shared" si="1"/>
        <v>0.3332015358</v>
      </c>
    </row>
    <row r="6">
      <c r="A6" s="46">
        <v>5.35E-5</v>
      </c>
      <c r="B6" s="46">
        <v>3.79E-5</v>
      </c>
      <c r="C6" s="46">
        <v>2.57E-5</v>
      </c>
      <c r="D6" s="46">
        <v>3.27E-5</v>
      </c>
      <c r="E6" s="46">
        <v>3.54E-5</v>
      </c>
      <c r="F6" s="46">
        <v>1.477E-4</v>
      </c>
      <c r="H6" s="8">
        <v>-1977.3755076099847</v>
      </c>
      <c r="I6" s="8">
        <v>-1217.8661267880684</v>
      </c>
      <c r="J6" s="8">
        <v>589.5261677617426</v>
      </c>
      <c r="K6" s="8">
        <v>71.93381047194084</v>
      </c>
      <c r="L6" s="8">
        <v>-1319.8347348133104</v>
      </c>
      <c r="M6" s="8">
        <v>7997.060307114989</v>
      </c>
      <c r="O6" s="1">
        <v>1.0</v>
      </c>
      <c r="Q6" s="8">
        <v>4143.443916137309</v>
      </c>
      <c r="R6" s="8">
        <f t="shared" si="1"/>
        <v>0.2960345771</v>
      </c>
    </row>
    <row r="8">
      <c r="Q8" s="8">
        <f t="shared" ref="Q8:R8" si="2">SUM(Q1:Q6)</f>
        <v>13996.48635</v>
      </c>
      <c r="R8" s="8">
        <f t="shared" si="2"/>
        <v>1</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14.75"/>
    <col customWidth="1" min="3" max="3" width="13.88"/>
  </cols>
  <sheetData>
    <row r="1">
      <c r="A1" s="26" t="s">
        <v>8815</v>
      </c>
      <c r="B1" s="49" t="s">
        <v>8816</v>
      </c>
      <c r="C1" s="50" t="s">
        <v>8817</v>
      </c>
      <c r="D1" s="28" t="s">
        <v>8818</v>
      </c>
    </row>
    <row r="2">
      <c r="A2" s="14" t="s">
        <v>8819</v>
      </c>
      <c r="B2" s="51">
        <f>SUMPRODUCT(Portfolio_Weights!D23:D28,RETURN_CALC!B2:B7)
</f>
        <v>-0.0003061139356</v>
      </c>
      <c r="C2" s="52">
        <f t="array" ref="C2">SQRT(INDEX(MMULT(TRANSPOSE(Portfolio_Weights!D23:D28),MMULT('COVARIANCE MATRIX'!B2:G7,Portfolio_Weights!D23:D28)),1,1))</f>
        <v>0.008451777595</v>
      </c>
      <c r="D2" s="34">
        <f t="shared" ref="D2:D4" si="1">(B2-(6%/252))/C2</f>
        <v>-0.06438990704</v>
      </c>
    </row>
    <row r="3">
      <c r="A3" s="14" t="s">
        <v>8820</v>
      </c>
      <c r="B3" s="53">
        <f>SUMPRODUCT(Portfolio_Weights!C3:C8,RETURN_CALC!B2:B7)
</f>
        <v>-0.0004200249568</v>
      </c>
      <c r="C3" s="6">
        <f t="array" ref="C3">SQRT(INDEX(MMULT(TRANSPOSE(Portfolio_Weights!C3:C8),MMULT('COVARIANCE MATRIX'!B2:G7,Portfolio_Weights!C3:C8)),1,1))</f>
        <v>0.01018361047</v>
      </c>
      <c r="D3" s="34">
        <f t="shared" si="1"/>
        <v>-0.06462542897</v>
      </c>
    </row>
    <row r="4">
      <c r="A4" s="14" t="s">
        <v>8821</v>
      </c>
      <c r="B4" s="53">
        <f>SUMPRODUCT(Portfolio_Weights!C13:C18,RETURN_CALC!B2:B7)
</f>
        <v>-0.0004761124373</v>
      </c>
      <c r="C4" s="52">
        <f t="array" ref="C4">SQRT(INDEX(MMULT(TRANSPOSE(Portfolio_Weights!C13:C18),MMULT('COVARIANCE MATRIX'!B2:G7,Portfolio_Weights!C13:C18)),1,1))</f>
        <v>0.01014506043</v>
      </c>
      <c r="D4" s="34">
        <f t="shared" si="1"/>
        <v>-0.07039954864</v>
      </c>
    </row>
    <row r="5">
      <c r="A5" s="17"/>
      <c r="B5" s="7"/>
      <c r="C5" s="6"/>
      <c r="D5" s="18"/>
    </row>
    <row r="6">
      <c r="A6" s="17"/>
      <c r="B6" s="7"/>
      <c r="C6" s="6"/>
      <c r="D6" s="18"/>
    </row>
    <row r="7">
      <c r="A7" s="54"/>
      <c r="B7" s="7"/>
      <c r="C7" s="6"/>
      <c r="D7" s="18"/>
    </row>
    <row r="8">
      <c r="A8" s="38" t="s">
        <v>8822</v>
      </c>
      <c r="B8" s="7"/>
      <c r="C8" s="6"/>
      <c r="D8" s="18"/>
    </row>
    <row r="9">
      <c r="A9" s="39" t="s">
        <v>8823</v>
      </c>
      <c r="B9" s="7"/>
      <c r="C9" s="6"/>
      <c r="D9" s="18"/>
    </row>
    <row r="10">
      <c r="A10" s="39" t="s">
        <v>8824</v>
      </c>
      <c r="B10" s="7"/>
      <c r="C10" s="6"/>
      <c r="D10" s="18"/>
    </row>
    <row r="11">
      <c r="A11" s="39" t="s">
        <v>8825</v>
      </c>
      <c r="B11" s="7"/>
      <c r="C11" s="6"/>
      <c r="D11" s="18"/>
    </row>
    <row r="12">
      <c r="A12" s="39" t="s">
        <v>8826</v>
      </c>
      <c r="B12" s="7"/>
      <c r="C12" s="6"/>
      <c r="D12" s="18"/>
    </row>
    <row r="13">
      <c r="A13" s="55"/>
      <c r="B13" s="7"/>
      <c r="C13" s="6"/>
      <c r="D13" s="18"/>
    </row>
    <row r="14">
      <c r="A14" s="38" t="s">
        <v>8827</v>
      </c>
      <c r="B14" s="7"/>
      <c r="C14" s="6"/>
      <c r="D14" s="18"/>
    </row>
    <row r="15">
      <c r="A15" s="39" t="s">
        <v>8828</v>
      </c>
      <c r="B15" s="7"/>
      <c r="C15" s="6"/>
      <c r="D15" s="18"/>
    </row>
    <row r="16">
      <c r="A16" s="54"/>
      <c r="B16" s="7"/>
      <c r="C16" s="6"/>
      <c r="D16" s="18"/>
      <c r="H16" s="38"/>
    </row>
    <row r="17">
      <c r="A17" s="54"/>
      <c r="B17" s="7"/>
      <c r="C17" s="6"/>
      <c r="D17" s="18"/>
      <c r="H17" s="40"/>
    </row>
    <row r="18">
      <c r="A18" s="56"/>
      <c r="B18" s="7"/>
      <c r="C18" s="6"/>
      <c r="D18" s="18"/>
      <c r="H18" s="38"/>
    </row>
    <row r="19">
      <c r="A19" s="54"/>
      <c r="B19" s="7"/>
      <c r="C19" s="6"/>
      <c r="D19" s="18"/>
      <c r="H19" s="40"/>
    </row>
    <row r="20">
      <c r="A20" s="56"/>
      <c r="B20" s="7"/>
      <c r="C20" s="6"/>
      <c r="D20" s="18"/>
      <c r="H20" s="38"/>
    </row>
    <row r="21">
      <c r="A21" s="54"/>
      <c r="B21" s="7"/>
      <c r="C21" s="6"/>
      <c r="D21" s="18"/>
      <c r="H21" s="40"/>
    </row>
    <row r="22">
      <c r="A22" s="54"/>
      <c r="B22" s="7"/>
      <c r="C22" s="6"/>
      <c r="D22" s="18"/>
      <c r="H22" s="38"/>
    </row>
    <row r="23">
      <c r="A23" s="54"/>
      <c r="B23" s="7"/>
      <c r="C23" s="6"/>
      <c r="D23" s="18"/>
      <c r="H23" s="40"/>
    </row>
    <row r="24">
      <c r="A24" s="54"/>
      <c r="B24" s="7"/>
      <c r="C24" s="6"/>
      <c r="D24" s="18"/>
      <c r="H24" s="38"/>
    </row>
    <row r="25">
      <c r="A25" s="56"/>
      <c r="B25" s="7"/>
      <c r="C25" s="6"/>
      <c r="D25" s="18"/>
      <c r="H25" s="38"/>
    </row>
    <row r="26">
      <c r="A26" s="54"/>
      <c r="B26" s="7"/>
      <c r="C26" s="6"/>
      <c r="D26" s="18"/>
      <c r="H26" s="38"/>
    </row>
    <row r="27">
      <c r="A27" s="56"/>
      <c r="B27" s="7"/>
      <c r="C27" s="6"/>
      <c r="D27" s="18"/>
      <c r="H27" s="40"/>
    </row>
    <row r="28">
      <c r="A28" s="17"/>
      <c r="B28" s="7"/>
      <c r="C28" s="6"/>
      <c r="D28" s="18"/>
      <c r="H28" s="38"/>
    </row>
    <row r="29">
      <c r="A29" s="17"/>
      <c r="B29" s="7"/>
      <c r="C29" s="6"/>
      <c r="D29" s="18"/>
      <c r="H29" s="40"/>
    </row>
    <row r="30">
      <c r="A30" s="17"/>
      <c r="B30" s="7"/>
      <c r="C30" s="6"/>
      <c r="D30" s="18"/>
      <c r="H30" s="38"/>
    </row>
    <row r="31">
      <c r="A31" s="17"/>
      <c r="B31" s="7"/>
      <c r="C31" s="6"/>
      <c r="D31" s="18"/>
      <c r="H31" s="38"/>
    </row>
    <row r="32">
      <c r="A32" s="17"/>
      <c r="B32" s="7"/>
      <c r="C32" s="6"/>
      <c r="D32" s="18"/>
      <c r="H32" s="38"/>
    </row>
    <row r="33">
      <c r="A33" s="17"/>
      <c r="B33" s="7"/>
      <c r="C33" s="6"/>
      <c r="D33" s="18"/>
      <c r="H33" s="38"/>
    </row>
    <row r="34">
      <c r="A34" s="17"/>
      <c r="B34" s="7"/>
      <c r="C34" s="6"/>
      <c r="D34" s="18"/>
      <c r="H34" s="40"/>
    </row>
    <row r="35">
      <c r="A35" s="17"/>
      <c r="B35" s="7"/>
      <c r="C35" s="6"/>
      <c r="D35" s="18"/>
      <c r="H35" s="38"/>
    </row>
    <row r="36">
      <c r="A36" s="17"/>
      <c r="B36" s="7"/>
      <c r="C36" s="6"/>
      <c r="D36" s="18"/>
      <c r="H36" s="40"/>
    </row>
    <row r="37">
      <c r="A37" s="17"/>
      <c r="B37" s="7"/>
      <c r="C37" s="6"/>
      <c r="D37" s="18"/>
    </row>
    <row r="38">
      <c r="A38" s="17"/>
      <c r="B38" s="7"/>
      <c r="C38" s="6"/>
      <c r="D38" s="18"/>
    </row>
    <row r="39">
      <c r="A39" s="17"/>
      <c r="B39" s="7"/>
      <c r="C39" s="6"/>
      <c r="D39" s="18"/>
    </row>
    <row r="40">
      <c r="A40" s="17"/>
      <c r="B40" s="7"/>
      <c r="C40" s="6"/>
      <c r="D40" s="18"/>
    </row>
    <row r="41">
      <c r="A41" s="17"/>
      <c r="B41" s="7"/>
      <c r="C41" s="6"/>
      <c r="D41" s="18"/>
    </row>
    <row r="42">
      <c r="A42" s="17"/>
      <c r="B42" s="7"/>
      <c r="C42" s="6"/>
      <c r="D42" s="18"/>
    </row>
    <row r="43">
      <c r="A43" s="17"/>
      <c r="B43" s="7"/>
      <c r="C43" s="6"/>
      <c r="D43" s="18"/>
    </row>
    <row r="44">
      <c r="A44" s="17"/>
      <c r="B44" s="7"/>
      <c r="C44" s="6"/>
      <c r="D44" s="18"/>
    </row>
    <row r="45">
      <c r="A45" s="17"/>
      <c r="B45" s="7"/>
      <c r="C45" s="6"/>
      <c r="D45" s="18"/>
    </row>
    <row r="46">
      <c r="A46" s="17"/>
      <c r="B46" s="7"/>
      <c r="C46" s="6"/>
      <c r="D46" s="18"/>
    </row>
    <row r="47">
      <c r="A47" s="17"/>
      <c r="B47" s="7"/>
      <c r="C47" s="6"/>
      <c r="D47" s="18"/>
    </row>
    <row r="48">
      <c r="A48" s="17"/>
      <c r="B48" s="7"/>
      <c r="C48" s="6"/>
      <c r="D48" s="18"/>
    </row>
    <row r="49">
      <c r="A49" s="17"/>
      <c r="B49" s="7"/>
      <c r="C49" s="6"/>
      <c r="D49" s="18"/>
    </row>
    <row r="50">
      <c r="A50" s="17"/>
      <c r="B50" s="7"/>
      <c r="C50" s="6"/>
      <c r="D50" s="18"/>
    </row>
    <row r="51">
      <c r="A51" s="17"/>
      <c r="B51" s="7"/>
      <c r="C51" s="6"/>
      <c r="D51" s="18"/>
    </row>
    <row r="52">
      <c r="A52" s="17"/>
      <c r="B52" s="7"/>
      <c r="C52" s="6"/>
      <c r="D52" s="18"/>
    </row>
    <row r="53">
      <c r="A53" s="17"/>
      <c r="B53" s="7"/>
      <c r="C53" s="6"/>
      <c r="D53" s="18"/>
    </row>
    <row r="54">
      <c r="A54" s="17"/>
      <c r="B54" s="7"/>
      <c r="C54" s="6"/>
      <c r="D54" s="18"/>
    </row>
    <row r="55">
      <c r="A55" s="17"/>
      <c r="B55" s="7"/>
      <c r="C55" s="6"/>
      <c r="D55" s="18"/>
    </row>
    <row r="56">
      <c r="A56" s="17"/>
      <c r="B56" s="7"/>
      <c r="C56" s="6"/>
      <c r="D56" s="18"/>
    </row>
    <row r="57">
      <c r="A57" s="17"/>
      <c r="B57" s="7"/>
      <c r="C57" s="6"/>
      <c r="D57" s="18"/>
    </row>
    <row r="58">
      <c r="A58" s="17"/>
      <c r="B58" s="7"/>
      <c r="C58" s="6"/>
      <c r="D58" s="18"/>
    </row>
    <row r="59">
      <c r="A59" s="17"/>
      <c r="B59" s="7"/>
      <c r="C59" s="6"/>
      <c r="D59" s="18"/>
    </row>
    <row r="60">
      <c r="A60" s="17"/>
      <c r="B60" s="7"/>
      <c r="C60" s="6"/>
      <c r="D60" s="18"/>
    </row>
    <row r="61">
      <c r="A61" s="17"/>
      <c r="B61" s="7"/>
      <c r="C61" s="6"/>
      <c r="D61" s="18"/>
    </row>
    <row r="62">
      <c r="A62" s="17"/>
      <c r="B62" s="7"/>
      <c r="C62" s="6"/>
      <c r="D62" s="18"/>
    </row>
    <row r="63">
      <c r="A63" s="17"/>
      <c r="B63" s="7"/>
      <c r="C63" s="6"/>
      <c r="D63" s="18"/>
    </row>
    <row r="64">
      <c r="A64" s="17"/>
      <c r="B64" s="7"/>
      <c r="C64" s="6"/>
      <c r="D64" s="18"/>
    </row>
    <row r="65">
      <c r="A65" s="17"/>
      <c r="B65" s="7"/>
      <c r="C65" s="6"/>
      <c r="D65" s="18"/>
    </row>
    <row r="66">
      <c r="A66" s="17"/>
      <c r="B66" s="7"/>
      <c r="C66" s="6"/>
      <c r="D66" s="18"/>
    </row>
    <row r="67">
      <c r="A67" s="17"/>
      <c r="B67" s="7"/>
      <c r="C67" s="6"/>
      <c r="D67" s="18"/>
    </row>
    <row r="68">
      <c r="A68" s="17"/>
      <c r="B68" s="7"/>
      <c r="C68" s="6"/>
      <c r="D68" s="18"/>
    </row>
    <row r="69">
      <c r="A69" s="17"/>
      <c r="B69" s="7"/>
      <c r="C69" s="6"/>
      <c r="D69" s="18"/>
    </row>
    <row r="70">
      <c r="A70" s="17"/>
      <c r="B70" s="7"/>
      <c r="C70" s="6"/>
      <c r="D70" s="18"/>
    </row>
    <row r="71">
      <c r="A71" s="17"/>
      <c r="B71" s="7"/>
      <c r="C71" s="6"/>
      <c r="D71" s="18"/>
    </row>
    <row r="72">
      <c r="A72" s="17"/>
      <c r="B72" s="7"/>
      <c r="C72" s="6"/>
      <c r="D72" s="18"/>
    </row>
    <row r="73">
      <c r="A73" s="17"/>
      <c r="B73" s="7"/>
      <c r="C73" s="6"/>
      <c r="D73" s="18"/>
    </row>
    <row r="74">
      <c r="A74" s="17"/>
      <c r="B74" s="7"/>
      <c r="C74" s="6"/>
      <c r="D74" s="18"/>
    </row>
    <row r="75">
      <c r="A75" s="17"/>
      <c r="B75" s="7"/>
      <c r="C75" s="6"/>
      <c r="D75" s="18"/>
    </row>
    <row r="76">
      <c r="A76" s="17"/>
      <c r="B76" s="7"/>
      <c r="C76" s="6"/>
      <c r="D76" s="18"/>
    </row>
    <row r="77">
      <c r="A77" s="17"/>
      <c r="B77" s="7"/>
      <c r="C77" s="6"/>
      <c r="D77" s="18"/>
    </row>
    <row r="78">
      <c r="A78" s="17"/>
      <c r="B78" s="7"/>
      <c r="C78" s="6"/>
      <c r="D78" s="18"/>
    </row>
    <row r="79">
      <c r="A79" s="17"/>
      <c r="B79" s="7"/>
      <c r="C79" s="6"/>
      <c r="D79" s="18"/>
    </row>
    <row r="80">
      <c r="A80" s="17"/>
      <c r="B80" s="7"/>
      <c r="C80" s="6"/>
      <c r="D80" s="18"/>
    </row>
    <row r="81">
      <c r="A81" s="17"/>
      <c r="B81" s="7"/>
      <c r="C81" s="6"/>
      <c r="D81" s="18"/>
    </row>
    <row r="82">
      <c r="A82" s="17"/>
      <c r="B82" s="7"/>
      <c r="C82" s="6"/>
      <c r="D82" s="18"/>
    </row>
    <row r="83">
      <c r="A83" s="17"/>
      <c r="B83" s="7"/>
      <c r="C83" s="6"/>
      <c r="D83" s="18"/>
    </row>
    <row r="84">
      <c r="A84" s="17"/>
      <c r="B84" s="7"/>
      <c r="C84" s="6"/>
      <c r="D84" s="18"/>
    </row>
    <row r="85">
      <c r="A85" s="17"/>
      <c r="B85" s="7"/>
      <c r="C85" s="6"/>
      <c r="D85" s="18"/>
    </row>
    <row r="86">
      <c r="A86" s="17"/>
      <c r="B86" s="7"/>
      <c r="C86" s="6"/>
      <c r="D86" s="18"/>
    </row>
    <row r="87">
      <c r="A87" s="17"/>
      <c r="B87" s="7"/>
      <c r="C87" s="6"/>
      <c r="D87" s="18"/>
    </row>
    <row r="88">
      <c r="A88" s="17"/>
      <c r="B88" s="7"/>
      <c r="C88" s="6"/>
      <c r="D88" s="18"/>
    </row>
    <row r="89">
      <c r="A89" s="17"/>
      <c r="B89" s="7"/>
      <c r="C89" s="6"/>
      <c r="D89" s="18"/>
    </row>
    <row r="90">
      <c r="A90" s="17"/>
      <c r="B90" s="7"/>
      <c r="C90" s="6"/>
      <c r="D90" s="18"/>
    </row>
    <row r="91">
      <c r="A91" s="17"/>
      <c r="B91" s="7"/>
      <c r="C91" s="6"/>
      <c r="D91" s="18"/>
    </row>
    <row r="92">
      <c r="A92" s="17"/>
      <c r="B92" s="7"/>
      <c r="C92" s="6"/>
      <c r="D92" s="18"/>
    </row>
    <row r="93">
      <c r="A93" s="17"/>
      <c r="B93" s="7"/>
      <c r="C93" s="6"/>
      <c r="D93" s="18"/>
    </row>
    <row r="94">
      <c r="A94" s="17"/>
      <c r="B94" s="7"/>
      <c r="C94" s="6"/>
      <c r="D94" s="18"/>
    </row>
    <row r="95">
      <c r="A95" s="17"/>
      <c r="B95" s="7"/>
      <c r="C95" s="6"/>
      <c r="D95" s="18"/>
    </row>
    <row r="96">
      <c r="A96" s="17"/>
      <c r="B96" s="7"/>
      <c r="C96" s="6"/>
      <c r="D96" s="18"/>
    </row>
    <row r="97">
      <c r="A97" s="17"/>
      <c r="B97" s="7"/>
      <c r="C97" s="6"/>
      <c r="D97" s="18"/>
    </row>
    <row r="98">
      <c r="A98" s="17"/>
      <c r="B98" s="7"/>
      <c r="C98" s="6"/>
      <c r="D98" s="18"/>
    </row>
    <row r="99">
      <c r="A99" s="17"/>
      <c r="B99" s="7"/>
      <c r="C99" s="6"/>
      <c r="D99" s="18"/>
    </row>
    <row r="100">
      <c r="A100" s="17"/>
      <c r="B100" s="7"/>
      <c r="C100" s="6"/>
      <c r="D100" s="18"/>
    </row>
    <row r="101">
      <c r="A101" s="17"/>
      <c r="B101" s="7"/>
      <c r="C101" s="6"/>
      <c r="D101" s="18"/>
    </row>
    <row r="102">
      <c r="A102" s="17"/>
      <c r="B102" s="7"/>
      <c r="C102" s="6"/>
      <c r="D102" s="18"/>
    </row>
    <row r="103">
      <c r="A103" s="17"/>
      <c r="B103" s="7"/>
      <c r="C103" s="6"/>
      <c r="D103" s="18"/>
    </row>
    <row r="104">
      <c r="A104" s="17"/>
      <c r="B104" s="7"/>
      <c r="C104" s="6"/>
      <c r="D104" s="18"/>
    </row>
    <row r="105">
      <c r="A105" s="17"/>
      <c r="B105" s="7"/>
      <c r="C105" s="6"/>
      <c r="D105" s="18"/>
    </row>
    <row r="106">
      <c r="A106" s="17"/>
      <c r="B106" s="7"/>
      <c r="C106" s="6"/>
      <c r="D106" s="18"/>
    </row>
    <row r="107">
      <c r="A107" s="17"/>
      <c r="B107" s="7"/>
      <c r="C107" s="6"/>
      <c r="D107" s="18"/>
    </row>
    <row r="108">
      <c r="A108" s="17"/>
      <c r="B108" s="7"/>
      <c r="C108" s="6"/>
      <c r="D108" s="18"/>
    </row>
    <row r="109">
      <c r="A109" s="17"/>
      <c r="B109" s="7"/>
      <c r="C109" s="6"/>
      <c r="D109" s="18"/>
    </row>
    <row r="110">
      <c r="A110" s="17"/>
      <c r="B110" s="7"/>
      <c r="C110" s="6"/>
      <c r="D110" s="18"/>
    </row>
    <row r="111">
      <c r="A111" s="17"/>
      <c r="B111" s="7"/>
      <c r="C111" s="6"/>
      <c r="D111" s="18"/>
    </row>
    <row r="112">
      <c r="A112" s="17"/>
      <c r="B112" s="7"/>
      <c r="C112" s="6"/>
      <c r="D112" s="18"/>
    </row>
    <row r="113">
      <c r="A113" s="17"/>
      <c r="B113" s="7"/>
      <c r="C113" s="6"/>
      <c r="D113" s="18"/>
    </row>
    <row r="114">
      <c r="A114" s="17"/>
      <c r="B114" s="7"/>
      <c r="C114" s="6"/>
      <c r="D114" s="18"/>
    </row>
    <row r="115">
      <c r="A115" s="17"/>
      <c r="B115" s="7"/>
      <c r="C115" s="6"/>
      <c r="D115" s="18"/>
    </row>
    <row r="116">
      <c r="A116" s="17"/>
      <c r="B116" s="7"/>
      <c r="C116" s="6"/>
      <c r="D116" s="18"/>
    </row>
    <row r="117">
      <c r="A117" s="17"/>
      <c r="B117" s="7"/>
      <c r="C117" s="6"/>
      <c r="D117" s="18"/>
    </row>
    <row r="118">
      <c r="A118" s="17"/>
      <c r="B118" s="7"/>
      <c r="C118" s="6"/>
      <c r="D118" s="18"/>
    </row>
    <row r="119">
      <c r="A119" s="17"/>
      <c r="B119" s="7"/>
      <c r="C119" s="6"/>
      <c r="D119" s="18"/>
    </row>
    <row r="120">
      <c r="A120" s="17"/>
      <c r="B120" s="7"/>
      <c r="C120" s="6"/>
      <c r="D120" s="18"/>
    </row>
    <row r="121">
      <c r="A121" s="17"/>
      <c r="B121" s="7"/>
      <c r="C121" s="6"/>
      <c r="D121" s="18"/>
    </row>
    <row r="122">
      <c r="A122" s="17"/>
      <c r="B122" s="7"/>
      <c r="C122" s="6"/>
      <c r="D122" s="18"/>
    </row>
    <row r="123">
      <c r="A123" s="17"/>
      <c r="B123" s="7"/>
      <c r="C123" s="6"/>
      <c r="D123" s="18"/>
    </row>
    <row r="124">
      <c r="A124" s="17"/>
      <c r="B124" s="7"/>
      <c r="C124" s="6"/>
      <c r="D124" s="18"/>
    </row>
    <row r="125">
      <c r="A125" s="17"/>
      <c r="B125" s="7"/>
      <c r="C125" s="6"/>
      <c r="D125" s="18"/>
    </row>
    <row r="126">
      <c r="A126" s="17"/>
      <c r="B126" s="7"/>
      <c r="C126" s="6"/>
      <c r="D126" s="18"/>
    </row>
    <row r="127">
      <c r="A127" s="17"/>
      <c r="B127" s="7"/>
      <c r="C127" s="6"/>
      <c r="D127" s="18"/>
    </row>
    <row r="128">
      <c r="A128" s="17"/>
      <c r="B128" s="7"/>
      <c r="C128" s="6"/>
      <c r="D128" s="18"/>
    </row>
    <row r="129">
      <c r="A129" s="17"/>
      <c r="B129" s="7"/>
      <c r="C129" s="6"/>
      <c r="D129" s="18"/>
    </row>
    <row r="130">
      <c r="A130" s="17"/>
      <c r="B130" s="7"/>
      <c r="C130" s="6"/>
      <c r="D130" s="18"/>
    </row>
    <row r="131">
      <c r="A131" s="17"/>
      <c r="B131" s="7"/>
      <c r="C131" s="6"/>
      <c r="D131" s="18"/>
    </row>
    <row r="132">
      <c r="A132" s="17"/>
      <c r="B132" s="7"/>
      <c r="C132" s="6"/>
      <c r="D132" s="18"/>
    </row>
    <row r="133">
      <c r="A133" s="17"/>
      <c r="B133" s="7"/>
      <c r="C133" s="6"/>
      <c r="D133" s="18"/>
    </row>
    <row r="134">
      <c r="A134" s="17"/>
      <c r="B134" s="7"/>
      <c r="C134" s="6"/>
      <c r="D134" s="18"/>
    </row>
    <row r="135">
      <c r="A135" s="17"/>
      <c r="B135" s="7"/>
      <c r="C135" s="6"/>
      <c r="D135" s="18"/>
    </row>
    <row r="136">
      <c r="A136" s="17"/>
      <c r="B136" s="7"/>
      <c r="C136" s="6"/>
      <c r="D136" s="18"/>
    </row>
    <row r="137">
      <c r="A137" s="17"/>
      <c r="B137" s="7"/>
      <c r="C137" s="6"/>
      <c r="D137" s="18"/>
    </row>
    <row r="138">
      <c r="A138" s="17"/>
      <c r="B138" s="7"/>
      <c r="C138" s="6"/>
      <c r="D138" s="18"/>
    </row>
    <row r="139">
      <c r="A139" s="17"/>
      <c r="B139" s="7"/>
      <c r="C139" s="6"/>
      <c r="D139" s="18"/>
    </row>
    <row r="140">
      <c r="A140" s="17"/>
      <c r="B140" s="7"/>
      <c r="C140" s="6"/>
      <c r="D140" s="18"/>
    </row>
    <row r="141">
      <c r="A141" s="17"/>
      <c r="B141" s="7"/>
      <c r="C141" s="6"/>
      <c r="D141" s="18"/>
    </row>
    <row r="142">
      <c r="A142" s="17"/>
      <c r="B142" s="7"/>
      <c r="C142" s="6"/>
      <c r="D142" s="18"/>
    </row>
    <row r="143">
      <c r="A143" s="17"/>
      <c r="B143" s="7"/>
      <c r="C143" s="6"/>
      <c r="D143" s="18"/>
    </row>
    <row r="144">
      <c r="A144" s="17"/>
      <c r="B144" s="7"/>
      <c r="C144" s="6"/>
      <c r="D144" s="18"/>
    </row>
    <row r="145">
      <c r="A145" s="17"/>
      <c r="B145" s="7"/>
      <c r="C145" s="6"/>
      <c r="D145" s="18"/>
    </row>
    <row r="146">
      <c r="A146" s="17"/>
      <c r="B146" s="7"/>
      <c r="C146" s="6"/>
      <c r="D146" s="18"/>
    </row>
    <row r="147">
      <c r="A147" s="17"/>
      <c r="B147" s="7"/>
      <c r="C147" s="6"/>
      <c r="D147" s="18"/>
    </row>
    <row r="148">
      <c r="A148" s="17"/>
      <c r="B148" s="7"/>
      <c r="C148" s="6"/>
      <c r="D148" s="18"/>
    </row>
    <row r="149">
      <c r="A149" s="17"/>
      <c r="B149" s="7"/>
      <c r="C149" s="6"/>
      <c r="D149" s="18"/>
    </row>
    <row r="150">
      <c r="A150" s="17"/>
      <c r="B150" s="7"/>
      <c r="C150" s="6"/>
      <c r="D150" s="18"/>
    </row>
    <row r="151">
      <c r="A151" s="17"/>
      <c r="B151" s="7"/>
      <c r="C151" s="6"/>
      <c r="D151" s="18"/>
    </row>
    <row r="152">
      <c r="A152" s="17"/>
      <c r="B152" s="7"/>
      <c r="C152" s="6"/>
      <c r="D152" s="18"/>
    </row>
    <row r="153">
      <c r="A153" s="17"/>
      <c r="B153" s="7"/>
      <c r="C153" s="6"/>
      <c r="D153" s="18"/>
    </row>
    <row r="154">
      <c r="A154" s="17"/>
      <c r="B154" s="7"/>
      <c r="C154" s="6"/>
      <c r="D154" s="18"/>
    </row>
    <row r="155">
      <c r="A155" s="17"/>
      <c r="B155" s="7"/>
      <c r="C155" s="6"/>
      <c r="D155" s="18"/>
    </row>
    <row r="156">
      <c r="A156" s="17"/>
      <c r="B156" s="7"/>
      <c r="C156" s="6"/>
      <c r="D156" s="18"/>
    </row>
    <row r="157">
      <c r="A157" s="17"/>
      <c r="B157" s="7"/>
      <c r="C157" s="6"/>
      <c r="D157" s="18"/>
    </row>
    <row r="158">
      <c r="A158" s="17"/>
      <c r="B158" s="7"/>
      <c r="C158" s="6"/>
      <c r="D158" s="18"/>
    </row>
    <row r="159">
      <c r="A159" s="17"/>
      <c r="B159" s="7"/>
      <c r="C159" s="6"/>
      <c r="D159" s="18"/>
    </row>
    <row r="160">
      <c r="A160" s="17"/>
      <c r="B160" s="7"/>
      <c r="C160" s="6"/>
      <c r="D160" s="18"/>
    </row>
    <row r="161">
      <c r="A161" s="17"/>
      <c r="B161" s="7"/>
      <c r="C161" s="6"/>
      <c r="D161" s="18"/>
    </row>
    <row r="162">
      <c r="A162" s="17"/>
      <c r="B162" s="7"/>
      <c r="C162" s="6"/>
      <c r="D162" s="18"/>
    </row>
    <row r="163">
      <c r="A163" s="17"/>
      <c r="B163" s="7"/>
      <c r="C163" s="6"/>
      <c r="D163" s="18"/>
    </row>
    <row r="164">
      <c r="A164" s="17"/>
      <c r="B164" s="7"/>
      <c r="C164" s="6"/>
      <c r="D164" s="18"/>
    </row>
    <row r="165">
      <c r="A165" s="17"/>
      <c r="B165" s="7"/>
      <c r="C165" s="6"/>
      <c r="D165" s="18"/>
    </row>
    <row r="166">
      <c r="A166" s="17"/>
      <c r="B166" s="7"/>
      <c r="C166" s="6"/>
      <c r="D166" s="18"/>
    </row>
    <row r="167">
      <c r="A167" s="17"/>
      <c r="B167" s="7"/>
      <c r="C167" s="6"/>
      <c r="D167" s="18"/>
    </row>
    <row r="168">
      <c r="A168" s="17"/>
      <c r="B168" s="7"/>
      <c r="C168" s="6"/>
      <c r="D168" s="18"/>
    </row>
    <row r="169">
      <c r="A169" s="17"/>
      <c r="B169" s="7"/>
      <c r="C169" s="6"/>
      <c r="D169" s="18"/>
    </row>
    <row r="170">
      <c r="A170" s="17"/>
      <c r="B170" s="7"/>
      <c r="C170" s="6"/>
      <c r="D170" s="18"/>
    </row>
    <row r="171">
      <c r="A171" s="17"/>
      <c r="B171" s="7"/>
      <c r="C171" s="6"/>
      <c r="D171" s="18"/>
    </row>
    <row r="172">
      <c r="A172" s="17"/>
      <c r="B172" s="7"/>
      <c r="C172" s="6"/>
      <c r="D172" s="18"/>
    </row>
    <row r="173">
      <c r="A173" s="17"/>
      <c r="B173" s="7"/>
      <c r="C173" s="6"/>
      <c r="D173" s="18"/>
    </row>
    <row r="174">
      <c r="A174" s="17"/>
      <c r="B174" s="7"/>
      <c r="C174" s="6"/>
      <c r="D174" s="18"/>
    </row>
    <row r="175">
      <c r="A175" s="17"/>
      <c r="B175" s="7"/>
      <c r="C175" s="6"/>
      <c r="D175" s="18"/>
    </row>
    <row r="176">
      <c r="A176" s="17"/>
      <c r="B176" s="7"/>
      <c r="C176" s="6"/>
      <c r="D176" s="18"/>
    </row>
    <row r="177">
      <c r="A177" s="17"/>
      <c r="B177" s="7"/>
      <c r="C177" s="6"/>
      <c r="D177" s="18"/>
    </row>
    <row r="178">
      <c r="A178" s="17"/>
      <c r="B178" s="7"/>
      <c r="C178" s="6"/>
      <c r="D178" s="18"/>
    </row>
    <row r="179">
      <c r="A179" s="17"/>
      <c r="B179" s="7"/>
      <c r="C179" s="6"/>
      <c r="D179" s="18"/>
    </row>
    <row r="180">
      <c r="A180" s="17"/>
      <c r="B180" s="7"/>
      <c r="C180" s="6"/>
      <c r="D180" s="18"/>
    </row>
    <row r="181">
      <c r="A181" s="17"/>
      <c r="B181" s="7"/>
      <c r="C181" s="6"/>
      <c r="D181" s="18"/>
    </row>
    <row r="182">
      <c r="A182" s="17"/>
      <c r="B182" s="7"/>
      <c r="C182" s="6"/>
      <c r="D182" s="18"/>
    </row>
    <row r="183">
      <c r="A183" s="17"/>
      <c r="B183" s="7"/>
      <c r="C183" s="6"/>
      <c r="D183" s="18"/>
    </row>
    <row r="184">
      <c r="A184" s="17"/>
      <c r="B184" s="7"/>
      <c r="C184" s="6"/>
      <c r="D184" s="18"/>
    </row>
    <row r="185">
      <c r="A185" s="17"/>
      <c r="B185" s="7"/>
      <c r="C185" s="6"/>
      <c r="D185" s="18"/>
    </row>
    <row r="186">
      <c r="A186" s="17"/>
      <c r="B186" s="7"/>
      <c r="C186" s="6"/>
      <c r="D186" s="18"/>
    </row>
    <row r="187">
      <c r="A187" s="17"/>
      <c r="B187" s="7"/>
      <c r="C187" s="6"/>
      <c r="D187" s="18"/>
    </row>
    <row r="188">
      <c r="A188" s="17"/>
      <c r="B188" s="7"/>
      <c r="C188" s="6"/>
      <c r="D188" s="18"/>
    </row>
    <row r="189">
      <c r="A189" s="17"/>
      <c r="B189" s="7"/>
      <c r="C189" s="6"/>
      <c r="D189" s="18"/>
    </row>
    <row r="190">
      <c r="A190" s="17"/>
      <c r="B190" s="7"/>
      <c r="C190" s="6"/>
      <c r="D190" s="18"/>
    </row>
    <row r="191">
      <c r="A191" s="17"/>
      <c r="B191" s="7"/>
      <c r="C191" s="6"/>
      <c r="D191" s="18"/>
    </row>
    <row r="192">
      <c r="A192" s="17"/>
      <c r="B192" s="7"/>
      <c r="C192" s="6"/>
      <c r="D192" s="18"/>
    </row>
    <row r="193">
      <c r="A193" s="17"/>
      <c r="B193" s="7"/>
      <c r="C193" s="6"/>
      <c r="D193" s="18"/>
    </row>
    <row r="194">
      <c r="A194" s="17"/>
      <c r="B194" s="7"/>
      <c r="C194" s="6"/>
      <c r="D194" s="18"/>
    </row>
    <row r="195">
      <c r="A195" s="17"/>
      <c r="B195" s="7"/>
      <c r="C195" s="6"/>
      <c r="D195" s="18"/>
    </row>
    <row r="196">
      <c r="A196" s="17"/>
      <c r="B196" s="7"/>
      <c r="C196" s="6"/>
      <c r="D196" s="18"/>
    </row>
    <row r="197">
      <c r="A197" s="17"/>
      <c r="B197" s="7"/>
      <c r="C197" s="6"/>
      <c r="D197" s="18"/>
    </row>
    <row r="198">
      <c r="A198" s="17"/>
      <c r="B198" s="7"/>
      <c r="C198" s="6"/>
      <c r="D198" s="18"/>
    </row>
    <row r="199">
      <c r="A199" s="17"/>
      <c r="B199" s="7"/>
      <c r="C199" s="6"/>
      <c r="D199" s="18"/>
    </row>
    <row r="200">
      <c r="A200" s="17"/>
      <c r="B200" s="7"/>
      <c r="C200" s="6"/>
      <c r="D200" s="18"/>
    </row>
    <row r="201">
      <c r="A201" s="17"/>
      <c r="B201" s="7"/>
      <c r="C201" s="6"/>
      <c r="D201" s="18"/>
    </row>
    <row r="202">
      <c r="A202" s="17"/>
      <c r="B202" s="7"/>
      <c r="C202" s="6"/>
      <c r="D202" s="18"/>
    </row>
    <row r="203">
      <c r="A203" s="17"/>
      <c r="B203" s="7"/>
      <c r="C203" s="6"/>
      <c r="D203" s="18"/>
    </row>
    <row r="204">
      <c r="A204" s="17"/>
      <c r="B204" s="7"/>
      <c r="C204" s="6"/>
      <c r="D204" s="18"/>
    </row>
    <row r="205">
      <c r="A205" s="17"/>
      <c r="B205" s="7"/>
      <c r="C205" s="6"/>
      <c r="D205" s="18"/>
    </row>
    <row r="206">
      <c r="A206" s="17"/>
      <c r="B206" s="7"/>
      <c r="C206" s="6"/>
      <c r="D206" s="18"/>
    </row>
    <row r="207">
      <c r="A207" s="17"/>
      <c r="B207" s="7"/>
      <c r="C207" s="6"/>
      <c r="D207" s="18"/>
    </row>
    <row r="208">
      <c r="A208" s="17"/>
      <c r="B208" s="7"/>
      <c r="C208" s="6"/>
      <c r="D208" s="18"/>
    </row>
    <row r="209">
      <c r="A209" s="17"/>
      <c r="B209" s="7"/>
      <c r="C209" s="6"/>
      <c r="D209" s="18"/>
    </row>
    <row r="210">
      <c r="A210" s="17"/>
      <c r="B210" s="7"/>
      <c r="C210" s="6"/>
      <c r="D210" s="18"/>
    </row>
    <row r="211">
      <c r="A211" s="17"/>
      <c r="B211" s="7"/>
      <c r="C211" s="6"/>
      <c r="D211" s="18"/>
    </row>
    <row r="212">
      <c r="A212" s="17"/>
      <c r="B212" s="7"/>
      <c r="C212" s="6"/>
      <c r="D212" s="18"/>
    </row>
    <row r="213">
      <c r="A213" s="17"/>
      <c r="B213" s="7"/>
      <c r="C213" s="6"/>
      <c r="D213" s="18"/>
    </row>
    <row r="214">
      <c r="A214" s="17"/>
      <c r="B214" s="7"/>
      <c r="C214" s="6"/>
      <c r="D214" s="18"/>
    </row>
    <row r="215">
      <c r="A215" s="17"/>
      <c r="B215" s="7"/>
      <c r="C215" s="6"/>
      <c r="D215" s="18"/>
    </row>
    <row r="216">
      <c r="A216" s="17"/>
      <c r="B216" s="7"/>
      <c r="C216" s="6"/>
      <c r="D216" s="18"/>
    </row>
    <row r="217">
      <c r="A217" s="17"/>
      <c r="B217" s="7"/>
      <c r="C217" s="6"/>
      <c r="D217" s="18"/>
    </row>
    <row r="218">
      <c r="A218" s="17"/>
      <c r="B218" s="7"/>
      <c r="C218" s="6"/>
      <c r="D218" s="18"/>
    </row>
    <row r="219">
      <c r="A219" s="17"/>
      <c r="B219" s="7"/>
      <c r="C219" s="6"/>
      <c r="D219" s="18"/>
    </row>
    <row r="220">
      <c r="A220" s="17"/>
      <c r="B220" s="7"/>
      <c r="C220" s="6"/>
      <c r="D220" s="18"/>
    </row>
    <row r="221">
      <c r="A221" s="17"/>
      <c r="B221" s="7"/>
      <c r="C221" s="6"/>
      <c r="D221" s="18"/>
    </row>
    <row r="222">
      <c r="A222" s="17"/>
      <c r="B222" s="7"/>
      <c r="C222" s="6"/>
      <c r="D222" s="18"/>
    </row>
    <row r="223">
      <c r="A223" s="17"/>
      <c r="B223" s="7"/>
      <c r="C223" s="6"/>
      <c r="D223" s="18"/>
    </row>
    <row r="224">
      <c r="A224" s="17"/>
      <c r="B224" s="7"/>
      <c r="C224" s="6"/>
      <c r="D224" s="18"/>
    </row>
    <row r="225">
      <c r="A225" s="17"/>
      <c r="B225" s="7"/>
      <c r="C225" s="6"/>
      <c r="D225" s="18"/>
    </row>
    <row r="226">
      <c r="A226" s="17"/>
      <c r="B226" s="7"/>
      <c r="C226" s="6"/>
      <c r="D226" s="18"/>
    </row>
    <row r="227">
      <c r="A227" s="17"/>
      <c r="B227" s="7"/>
      <c r="C227" s="6"/>
      <c r="D227" s="18"/>
    </row>
    <row r="228">
      <c r="A228" s="17"/>
      <c r="B228" s="7"/>
      <c r="C228" s="6"/>
      <c r="D228" s="18"/>
    </row>
    <row r="229">
      <c r="A229" s="17"/>
      <c r="B229" s="7"/>
      <c r="C229" s="6"/>
      <c r="D229" s="18"/>
    </row>
    <row r="230">
      <c r="A230" s="17"/>
      <c r="B230" s="7"/>
      <c r="C230" s="6"/>
      <c r="D230" s="18"/>
    </row>
    <row r="231">
      <c r="A231" s="17"/>
      <c r="B231" s="7"/>
      <c r="C231" s="6"/>
      <c r="D231" s="18"/>
    </row>
    <row r="232">
      <c r="A232" s="17"/>
      <c r="B232" s="7"/>
      <c r="C232" s="6"/>
      <c r="D232" s="18"/>
    </row>
    <row r="233">
      <c r="A233" s="17"/>
      <c r="B233" s="7"/>
      <c r="C233" s="6"/>
      <c r="D233" s="18"/>
    </row>
    <row r="234">
      <c r="A234" s="17"/>
      <c r="B234" s="7"/>
      <c r="C234" s="6"/>
      <c r="D234" s="18"/>
    </row>
    <row r="235">
      <c r="A235" s="17"/>
      <c r="B235" s="7"/>
      <c r="C235" s="6"/>
      <c r="D235" s="18"/>
    </row>
    <row r="236">
      <c r="A236" s="17"/>
      <c r="B236" s="7"/>
      <c r="C236" s="6"/>
      <c r="D236" s="18"/>
    </row>
    <row r="237">
      <c r="A237" s="17"/>
      <c r="B237" s="7"/>
      <c r="C237" s="6"/>
      <c r="D237" s="18"/>
    </row>
    <row r="238">
      <c r="A238" s="17"/>
      <c r="B238" s="7"/>
      <c r="C238" s="6"/>
      <c r="D238" s="18"/>
    </row>
    <row r="239">
      <c r="A239" s="17"/>
      <c r="B239" s="7"/>
      <c r="C239" s="6"/>
      <c r="D239" s="18"/>
    </row>
    <row r="240">
      <c r="A240" s="17"/>
      <c r="B240" s="7"/>
      <c r="C240" s="6"/>
      <c r="D240" s="18"/>
    </row>
    <row r="241">
      <c r="A241" s="17"/>
      <c r="B241" s="7"/>
      <c r="C241" s="6"/>
      <c r="D241" s="18"/>
    </row>
    <row r="242">
      <c r="A242" s="17"/>
      <c r="B242" s="7"/>
      <c r="C242" s="6"/>
      <c r="D242" s="18"/>
    </row>
    <row r="243">
      <c r="A243" s="17"/>
      <c r="B243" s="7"/>
      <c r="C243" s="6"/>
      <c r="D243" s="18"/>
    </row>
    <row r="244">
      <c r="A244" s="17"/>
      <c r="B244" s="7"/>
      <c r="C244" s="6"/>
      <c r="D244" s="18"/>
    </row>
    <row r="245">
      <c r="A245" s="17"/>
      <c r="B245" s="7"/>
      <c r="C245" s="6"/>
      <c r="D245" s="18"/>
    </row>
    <row r="246">
      <c r="A246" s="17"/>
      <c r="B246" s="7"/>
      <c r="C246" s="6"/>
      <c r="D246" s="18"/>
    </row>
    <row r="247">
      <c r="A247" s="17"/>
      <c r="B247" s="7"/>
      <c r="C247" s="6"/>
      <c r="D247" s="18"/>
    </row>
    <row r="248">
      <c r="A248" s="17"/>
      <c r="B248" s="7"/>
      <c r="C248" s="6"/>
      <c r="D248" s="18"/>
    </row>
    <row r="249">
      <c r="A249" s="17"/>
      <c r="B249" s="7"/>
      <c r="C249" s="6"/>
      <c r="D249" s="18"/>
    </row>
    <row r="250">
      <c r="A250" s="17"/>
      <c r="B250" s="7"/>
      <c r="C250" s="6"/>
      <c r="D250" s="18"/>
    </row>
    <row r="251">
      <c r="A251" s="17"/>
      <c r="B251" s="7"/>
      <c r="C251" s="6"/>
      <c r="D251" s="18"/>
    </row>
    <row r="252">
      <c r="A252" s="17"/>
      <c r="B252" s="7"/>
      <c r="C252" s="6"/>
      <c r="D252" s="18"/>
    </row>
    <row r="253">
      <c r="A253" s="17"/>
      <c r="B253" s="7"/>
      <c r="C253" s="6"/>
      <c r="D253" s="18"/>
    </row>
    <row r="254">
      <c r="A254" s="17"/>
      <c r="B254" s="7"/>
      <c r="C254" s="6"/>
      <c r="D254" s="18"/>
    </row>
    <row r="255">
      <c r="A255" s="17"/>
      <c r="B255" s="7"/>
      <c r="C255" s="6"/>
      <c r="D255" s="18"/>
    </row>
    <row r="256">
      <c r="A256" s="17"/>
      <c r="B256" s="7"/>
      <c r="C256" s="6"/>
      <c r="D256" s="18"/>
    </row>
    <row r="257">
      <c r="A257" s="17"/>
      <c r="B257" s="7"/>
      <c r="C257" s="6"/>
      <c r="D257" s="18"/>
    </row>
    <row r="258">
      <c r="A258" s="17"/>
      <c r="B258" s="7"/>
      <c r="C258" s="6"/>
      <c r="D258" s="18"/>
    </row>
    <row r="259">
      <c r="A259" s="17"/>
      <c r="B259" s="7"/>
      <c r="C259" s="6"/>
      <c r="D259" s="18"/>
    </row>
    <row r="260">
      <c r="A260" s="17"/>
      <c r="B260" s="7"/>
      <c r="C260" s="6"/>
      <c r="D260" s="18"/>
    </row>
    <row r="261">
      <c r="A261" s="17"/>
      <c r="B261" s="7"/>
      <c r="C261" s="6"/>
      <c r="D261" s="18"/>
    </row>
    <row r="262">
      <c r="A262" s="17"/>
      <c r="B262" s="7"/>
      <c r="C262" s="6"/>
      <c r="D262" s="18"/>
    </row>
    <row r="263">
      <c r="A263" s="17"/>
      <c r="B263" s="7"/>
      <c r="C263" s="6"/>
      <c r="D263" s="18"/>
    </row>
    <row r="264">
      <c r="A264" s="17"/>
      <c r="B264" s="7"/>
      <c r="C264" s="6"/>
      <c r="D264" s="18"/>
    </row>
    <row r="265">
      <c r="A265" s="17"/>
      <c r="B265" s="7"/>
      <c r="C265" s="6"/>
      <c r="D265" s="18"/>
    </row>
    <row r="266">
      <c r="A266" s="17"/>
      <c r="B266" s="7"/>
      <c r="C266" s="6"/>
      <c r="D266" s="18"/>
    </row>
    <row r="267">
      <c r="A267" s="17"/>
      <c r="B267" s="7"/>
      <c r="C267" s="6"/>
      <c r="D267" s="18"/>
    </row>
    <row r="268">
      <c r="A268" s="17"/>
      <c r="B268" s="7"/>
      <c r="C268" s="6"/>
      <c r="D268" s="18"/>
    </row>
    <row r="269">
      <c r="A269" s="17"/>
      <c r="B269" s="7"/>
      <c r="C269" s="6"/>
      <c r="D269" s="18"/>
    </row>
    <row r="270">
      <c r="A270" s="17"/>
      <c r="B270" s="7"/>
      <c r="C270" s="6"/>
      <c r="D270" s="18"/>
    </row>
    <row r="271">
      <c r="A271" s="17"/>
      <c r="B271" s="7"/>
      <c r="C271" s="6"/>
      <c r="D271" s="18"/>
    </row>
    <row r="272">
      <c r="A272" s="17"/>
      <c r="B272" s="7"/>
      <c r="C272" s="6"/>
      <c r="D272" s="18"/>
    </row>
    <row r="273">
      <c r="A273" s="17"/>
      <c r="B273" s="7"/>
      <c r="C273" s="6"/>
      <c r="D273" s="18"/>
    </row>
    <row r="274">
      <c r="A274" s="17"/>
      <c r="B274" s="7"/>
      <c r="C274" s="6"/>
      <c r="D274" s="18"/>
    </row>
    <row r="275">
      <c r="A275" s="17"/>
      <c r="B275" s="7"/>
      <c r="C275" s="6"/>
      <c r="D275" s="18"/>
    </row>
    <row r="276">
      <c r="A276" s="17"/>
      <c r="B276" s="7"/>
      <c r="C276" s="6"/>
      <c r="D276" s="18"/>
    </row>
    <row r="277">
      <c r="A277" s="17"/>
      <c r="B277" s="7"/>
      <c r="C277" s="6"/>
      <c r="D277" s="18"/>
    </row>
    <row r="278">
      <c r="A278" s="17"/>
      <c r="B278" s="7"/>
      <c r="C278" s="6"/>
      <c r="D278" s="18"/>
    </row>
    <row r="279">
      <c r="A279" s="17"/>
      <c r="B279" s="7"/>
      <c r="C279" s="6"/>
      <c r="D279" s="18"/>
    </row>
    <row r="280">
      <c r="A280" s="17"/>
      <c r="B280" s="7"/>
      <c r="C280" s="6"/>
      <c r="D280" s="18"/>
    </row>
    <row r="281">
      <c r="A281" s="17"/>
      <c r="B281" s="7"/>
      <c r="C281" s="6"/>
      <c r="D281" s="18"/>
    </row>
    <row r="282">
      <c r="A282" s="17"/>
      <c r="B282" s="7"/>
      <c r="C282" s="6"/>
      <c r="D282" s="18"/>
    </row>
    <row r="283">
      <c r="A283" s="17"/>
      <c r="B283" s="7"/>
      <c r="C283" s="6"/>
      <c r="D283" s="18"/>
    </row>
    <row r="284">
      <c r="A284" s="17"/>
      <c r="B284" s="7"/>
      <c r="C284" s="6"/>
      <c r="D284" s="18"/>
    </row>
    <row r="285">
      <c r="A285" s="17"/>
      <c r="B285" s="7"/>
      <c r="C285" s="6"/>
      <c r="D285" s="18"/>
    </row>
    <row r="286">
      <c r="A286" s="17"/>
      <c r="B286" s="7"/>
      <c r="C286" s="6"/>
      <c r="D286" s="18"/>
    </row>
    <row r="287">
      <c r="A287" s="17"/>
      <c r="B287" s="7"/>
      <c r="C287" s="6"/>
      <c r="D287" s="18"/>
    </row>
    <row r="288">
      <c r="A288" s="17"/>
      <c r="B288" s="7"/>
      <c r="C288" s="6"/>
      <c r="D288" s="18"/>
    </row>
    <row r="289">
      <c r="A289" s="17"/>
      <c r="B289" s="7"/>
      <c r="C289" s="6"/>
      <c r="D289" s="18"/>
    </row>
    <row r="290">
      <c r="A290" s="17"/>
      <c r="B290" s="7"/>
      <c r="C290" s="6"/>
      <c r="D290" s="18"/>
    </row>
    <row r="291">
      <c r="A291" s="17"/>
      <c r="B291" s="7"/>
      <c r="C291" s="6"/>
      <c r="D291" s="18"/>
    </row>
    <row r="292">
      <c r="A292" s="17"/>
      <c r="B292" s="7"/>
      <c r="C292" s="6"/>
      <c r="D292" s="18"/>
    </row>
    <row r="293">
      <c r="A293" s="17"/>
      <c r="B293" s="7"/>
      <c r="C293" s="6"/>
      <c r="D293" s="18"/>
    </row>
    <row r="294">
      <c r="A294" s="17"/>
      <c r="B294" s="7"/>
      <c r="C294" s="6"/>
      <c r="D294" s="18"/>
    </row>
    <row r="295">
      <c r="A295" s="17"/>
      <c r="B295" s="7"/>
      <c r="C295" s="6"/>
      <c r="D295" s="18"/>
    </row>
    <row r="296">
      <c r="A296" s="17"/>
      <c r="B296" s="7"/>
      <c r="C296" s="6"/>
      <c r="D296" s="18"/>
    </row>
    <row r="297">
      <c r="A297" s="17"/>
      <c r="B297" s="7"/>
      <c r="C297" s="6"/>
      <c r="D297" s="18"/>
    </row>
    <row r="298">
      <c r="A298" s="17"/>
      <c r="B298" s="7"/>
      <c r="C298" s="6"/>
      <c r="D298" s="18"/>
    </row>
    <row r="299">
      <c r="A299" s="17"/>
      <c r="B299" s="7"/>
      <c r="C299" s="6"/>
      <c r="D299" s="18"/>
    </row>
    <row r="300">
      <c r="A300" s="17"/>
      <c r="B300" s="7"/>
      <c r="C300" s="6"/>
      <c r="D300" s="18"/>
    </row>
    <row r="301">
      <c r="A301" s="17"/>
      <c r="B301" s="7"/>
      <c r="C301" s="6"/>
      <c r="D301" s="18"/>
    </row>
    <row r="302">
      <c r="A302" s="17"/>
      <c r="B302" s="7"/>
      <c r="C302" s="6"/>
      <c r="D302" s="18"/>
    </row>
    <row r="303">
      <c r="A303" s="17"/>
      <c r="B303" s="7"/>
      <c r="C303" s="6"/>
      <c r="D303" s="18"/>
    </row>
    <row r="304">
      <c r="A304" s="17"/>
      <c r="B304" s="7"/>
      <c r="C304" s="6"/>
      <c r="D304" s="18"/>
    </row>
    <row r="305">
      <c r="A305" s="17"/>
      <c r="B305" s="7"/>
      <c r="C305" s="6"/>
      <c r="D305" s="18"/>
    </row>
    <row r="306">
      <c r="A306" s="17"/>
      <c r="B306" s="7"/>
      <c r="C306" s="6"/>
      <c r="D306" s="18"/>
    </row>
    <row r="307">
      <c r="A307" s="17"/>
      <c r="B307" s="7"/>
      <c r="C307" s="6"/>
      <c r="D307" s="18"/>
    </row>
    <row r="308">
      <c r="A308" s="17"/>
      <c r="B308" s="7"/>
      <c r="C308" s="6"/>
      <c r="D308" s="18"/>
    </row>
    <row r="309">
      <c r="A309" s="17"/>
      <c r="B309" s="7"/>
      <c r="C309" s="6"/>
      <c r="D309" s="18"/>
    </row>
    <row r="310">
      <c r="A310" s="17"/>
      <c r="B310" s="7"/>
      <c r="C310" s="6"/>
      <c r="D310" s="18"/>
    </row>
    <row r="311">
      <c r="A311" s="17"/>
      <c r="B311" s="7"/>
      <c r="C311" s="6"/>
      <c r="D311" s="18"/>
    </row>
    <row r="312">
      <c r="A312" s="17"/>
      <c r="B312" s="7"/>
      <c r="C312" s="6"/>
      <c r="D312" s="18"/>
    </row>
    <row r="313">
      <c r="A313" s="17"/>
      <c r="B313" s="7"/>
      <c r="C313" s="6"/>
      <c r="D313" s="18"/>
    </row>
    <row r="314">
      <c r="A314" s="17"/>
      <c r="B314" s="7"/>
      <c r="C314" s="6"/>
      <c r="D314" s="18"/>
    </row>
    <row r="315">
      <c r="A315" s="17"/>
      <c r="B315" s="7"/>
      <c r="C315" s="6"/>
      <c r="D315" s="18"/>
    </row>
    <row r="316">
      <c r="A316" s="17"/>
      <c r="B316" s="7"/>
      <c r="C316" s="6"/>
      <c r="D316" s="18"/>
    </row>
    <row r="317">
      <c r="A317" s="17"/>
      <c r="B317" s="7"/>
      <c r="C317" s="6"/>
      <c r="D317" s="18"/>
    </row>
    <row r="318">
      <c r="A318" s="17"/>
      <c r="B318" s="7"/>
      <c r="C318" s="6"/>
      <c r="D318" s="18"/>
    </row>
    <row r="319">
      <c r="A319" s="17"/>
      <c r="B319" s="7"/>
      <c r="C319" s="6"/>
      <c r="D319" s="18"/>
    </row>
    <row r="320">
      <c r="A320" s="17"/>
      <c r="B320" s="7"/>
      <c r="C320" s="6"/>
      <c r="D320" s="18"/>
    </row>
    <row r="321">
      <c r="A321" s="17"/>
      <c r="B321" s="7"/>
      <c r="C321" s="6"/>
      <c r="D321" s="18"/>
    </row>
    <row r="322">
      <c r="A322" s="17"/>
      <c r="B322" s="7"/>
      <c r="C322" s="6"/>
      <c r="D322" s="18"/>
    </row>
    <row r="323">
      <c r="A323" s="17"/>
      <c r="B323" s="7"/>
      <c r="C323" s="6"/>
      <c r="D323" s="18"/>
    </row>
    <row r="324">
      <c r="A324" s="17"/>
      <c r="B324" s="7"/>
      <c r="C324" s="6"/>
      <c r="D324" s="18"/>
    </row>
    <row r="325">
      <c r="A325" s="17"/>
      <c r="B325" s="7"/>
      <c r="C325" s="6"/>
      <c r="D325" s="18"/>
    </row>
    <row r="326">
      <c r="A326" s="17"/>
      <c r="B326" s="7"/>
      <c r="C326" s="6"/>
      <c r="D326" s="18"/>
    </row>
    <row r="327">
      <c r="A327" s="17"/>
      <c r="B327" s="7"/>
      <c r="C327" s="6"/>
      <c r="D327" s="18"/>
    </row>
    <row r="328">
      <c r="A328" s="17"/>
      <c r="B328" s="7"/>
      <c r="C328" s="6"/>
      <c r="D328" s="18"/>
    </row>
    <row r="329">
      <c r="A329" s="17"/>
      <c r="B329" s="7"/>
      <c r="C329" s="6"/>
      <c r="D329" s="18"/>
    </row>
    <row r="330">
      <c r="A330" s="17"/>
      <c r="B330" s="7"/>
      <c r="C330" s="6"/>
      <c r="D330" s="18"/>
    </row>
    <row r="331">
      <c r="A331" s="17"/>
      <c r="B331" s="7"/>
      <c r="C331" s="6"/>
      <c r="D331" s="18"/>
    </row>
    <row r="332">
      <c r="A332" s="17"/>
      <c r="B332" s="7"/>
      <c r="C332" s="6"/>
      <c r="D332" s="18"/>
    </row>
    <row r="333">
      <c r="A333" s="17"/>
      <c r="B333" s="7"/>
      <c r="C333" s="6"/>
      <c r="D333" s="18"/>
    </row>
    <row r="334">
      <c r="A334" s="17"/>
      <c r="B334" s="7"/>
      <c r="C334" s="6"/>
      <c r="D334" s="18"/>
    </row>
    <row r="335">
      <c r="A335" s="17"/>
      <c r="B335" s="7"/>
      <c r="C335" s="6"/>
      <c r="D335" s="18"/>
    </row>
    <row r="336">
      <c r="A336" s="17"/>
      <c r="B336" s="7"/>
      <c r="C336" s="6"/>
      <c r="D336" s="18"/>
    </row>
    <row r="337">
      <c r="A337" s="17"/>
      <c r="B337" s="7"/>
      <c r="C337" s="6"/>
      <c r="D337" s="18"/>
    </row>
    <row r="338">
      <c r="A338" s="17"/>
      <c r="B338" s="7"/>
      <c r="C338" s="6"/>
      <c r="D338" s="18"/>
    </row>
    <row r="339">
      <c r="A339" s="17"/>
      <c r="B339" s="7"/>
      <c r="C339" s="6"/>
      <c r="D339" s="18"/>
    </row>
    <row r="340">
      <c r="A340" s="17"/>
      <c r="B340" s="7"/>
      <c r="C340" s="6"/>
      <c r="D340" s="18"/>
    </row>
    <row r="341">
      <c r="A341" s="17"/>
      <c r="B341" s="7"/>
      <c r="C341" s="6"/>
      <c r="D341" s="18"/>
    </row>
    <row r="342">
      <c r="A342" s="17"/>
      <c r="B342" s="7"/>
      <c r="C342" s="6"/>
      <c r="D342" s="18"/>
    </row>
    <row r="343">
      <c r="A343" s="17"/>
      <c r="B343" s="7"/>
      <c r="C343" s="6"/>
      <c r="D343" s="18"/>
    </row>
    <row r="344">
      <c r="A344" s="17"/>
      <c r="B344" s="7"/>
      <c r="C344" s="6"/>
      <c r="D344" s="18"/>
    </row>
    <row r="345">
      <c r="A345" s="17"/>
      <c r="B345" s="7"/>
      <c r="C345" s="6"/>
      <c r="D345" s="18"/>
    </row>
    <row r="346">
      <c r="A346" s="17"/>
      <c r="B346" s="7"/>
      <c r="C346" s="6"/>
      <c r="D346" s="18"/>
    </row>
    <row r="347">
      <c r="A347" s="17"/>
      <c r="B347" s="7"/>
      <c r="C347" s="6"/>
      <c r="D347" s="18"/>
    </row>
    <row r="348">
      <c r="A348" s="17"/>
      <c r="B348" s="7"/>
      <c r="C348" s="6"/>
      <c r="D348" s="18"/>
    </row>
    <row r="349">
      <c r="A349" s="17"/>
      <c r="B349" s="7"/>
      <c r="C349" s="6"/>
      <c r="D349" s="18"/>
    </row>
    <row r="350">
      <c r="A350" s="17"/>
      <c r="B350" s="7"/>
      <c r="C350" s="6"/>
      <c r="D350" s="18"/>
    </row>
    <row r="351">
      <c r="A351" s="17"/>
      <c r="B351" s="7"/>
      <c r="C351" s="6"/>
      <c r="D351" s="18"/>
    </row>
    <row r="352">
      <c r="A352" s="17"/>
      <c r="B352" s="7"/>
      <c r="C352" s="6"/>
      <c r="D352" s="18"/>
    </row>
    <row r="353">
      <c r="A353" s="17"/>
      <c r="B353" s="7"/>
      <c r="C353" s="6"/>
      <c r="D353" s="18"/>
    </row>
    <row r="354">
      <c r="A354" s="17"/>
      <c r="B354" s="7"/>
      <c r="C354" s="6"/>
      <c r="D354" s="18"/>
    </row>
    <row r="355">
      <c r="A355" s="17"/>
      <c r="B355" s="7"/>
      <c r="C355" s="6"/>
      <c r="D355" s="18"/>
    </row>
    <row r="356">
      <c r="A356" s="17"/>
      <c r="B356" s="7"/>
      <c r="C356" s="6"/>
      <c r="D356" s="18"/>
    </row>
    <row r="357">
      <c r="A357" s="17"/>
      <c r="B357" s="7"/>
      <c r="C357" s="6"/>
      <c r="D357" s="18"/>
    </row>
    <row r="358">
      <c r="A358" s="17"/>
      <c r="B358" s="7"/>
      <c r="C358" s="6"/>
      <c r="D358" s="18"/>
    </row>
    <row r="359">
      <c r="A359" s="17"/>
      <c r="B359" s="7"/>
      <c r="C359" s="6"/>
      <c r="D359" s="18"/>
    </row>
    <row r="360">
      <c r="A360" s="17"/>
      <c r="B360" s="7"/>
      <c r="C360" s="6"/>
      <c r="D360" s="18"/>
    </row>
    <row r="361">
      <c r="A361" s="17"/>
      <c r="B361" s="7"/>
      <c r="C361" s="6"/>
      <c r="D361" s="18"/>
    </row>
    <row r="362">
      <c r="A362" s="17"/>
      <c r="B362" s="7"/>
      <c r="C362" s="6"/>
      <c r="D362" s="18"/>
    </row>
    <row r="363">
      <c r="A363" s="17"/>
      <c r="B363" s="7"/>
      <c r="C363" s="6"/>
      <c r="D363" s="18"/>
    </row>
    <row r="364">
      <c r="A364" s="17"/>
      <c r="B364" s="7"/>
      <c r="C364" s="6"/>
      <c r="D364" s="18"/>
    </row>
    <row r="365">
      <c r="A365" s="17"/>
      <c r="B365" s="7"/>
      <c r="C365" s="6"/>
      <c r="D365" s="18"/>
    </row>
    <row r="366">
      <c r="A366" s="17"/>
      <c r="B366" s="7"/>
      <c r="C366" s="6"/>
      <c r="D366" s="18"/>
    </row>
    <row r="367">
      <c r="A367" s="17"/>
      <c r="B367" s="7"/>
      <c r="C367" s="6"/>
      <c r="D367" s="18"/>
    </row>
    <row r="368">
      <c r="A368" s="17"/>
      <c r="B368" s="7"/>
      <c r="C368" s="6"/>
      <c r="D368" s="18"/>
    </row>
    <row r="369">
      <c r="A369" s="17"/>
      <c r="B369" s="7"/>
      <c r="C369" s="6"/>
      <c r="D369" s="18"/>
    </row>
    <row r="370">
      <c r="A370" s="17"/>
      <c r="B370" s="7"/>
      <c r="C370" s="6"/>
      <c r="D370" s="18"/>
    </row>
    <row r="371">
      <c r="A371" s="17"/>
      <c r="B371" s="7"/>
      <c r="C371" s="6"/>
      <c r="D371" s="18"/>
    </row>
    <row r="372">
      <c r="A372" s="17"/>
      <c r="B372" s="7"/>
      <c r="C372" s="6"/>
      <c r="D372" s="18"/>
    </row>
    <row r="373">
      <c r="A373" s="17"/>
      <c r="B373" s="7"/>
      <c r="C373" s="6"/>
      <c r="D373" s="18"/>
    </row>
    <row r="374">
      <c r="A374" s="17"/>
      <c r="B374" s="7"/>
      <c r="C374" s="6"/>
      <c r="D374" s="18"/>
    </row>
    <row r="375">
      <c r="A375" s="17"/>
      <c r="B375" s="7"/>
      <c r="C375" s="6"/>
      <c r="D375" s="18"/>
    </row>
    <row r="376">
      <c r="A376" s="17"/>
      <c r="B376" s="7"/>
      <c r="C376" s="6"/>
      <c r="D376" s="18"/>
    </row>
    <row r="377">
      <c r="A377" s="17"/>
      <c r="B377" s="7"/>
      <c r="C377" s="6"/>
      <c r="D377" s="18"/>
    </row>
    <row r="378">
      <c r="A378" s="17"/>
      <c r="B378" s="7"/>
      <c r="C378" s="6"/>
      <c r="D378" s="18"/>
    </row>
    <row r="379">
      <c r="A379" s="17"/>
      <c r="B379" s="7"/>
      <c r="C379" s="6"/>
      <c r="D379" s="18"/>
    </row>
    <row r="380">
      <c r="A380" s="17"/>
      <c r="B380" s="7"/>
      <c r="C380" s="6"/>
      <c r="D380" s="18"/>
    </row>
    <row r="381">
      <c r="A381" s="17"/>
      <c r="B381" s="7"/>
      <c r="C381" s="6"/>
      <c r="D381" s="18"/>
    </row>
    <row r="382">
      <c r="A382" s="17"/>
      <c r="B382" s="7"/>
      <c r="C382" s="6"/>
      <c r="D382" s="18"/>
    </row>
    <row r="383">
      <c r="A383" s="17"/>
      <c r="B383" s="7"/>
      <c r="C383" s="6"/>
      <c r="D383" s="18"/>
    </row>
    <row r="384">
      <c r="A384" s="17"/>
      <c r="B384" s="7"/>
      <c r="C384" s="6"/>
      <c r="D384" s="18"/>
    </row>
    <row r="385">
      <c r="A385" s="17"/>
      <c r="B385" s="7"/>
      <c r="C385" s="6"/>
      <c r="D385" s="18"/>
    </row>
    <row r="386">
      <c r="A386" s="17"/>
      <c r="B386" s="7"/>
      <c r="C386" s="6"/>
      <c r="D386" s="18"/>
    </row>
    <row r="387">
      <c r="A387" s="17"/>
      <c r="B387" s="7"/>
      <c r="C387" s="6"/>
      <c r="D387" s="18"/>
    </row>
    <row r="388">
      <c r="A388" s="17"/>
      <c r="B388" s="7"/>
      <c r="C388" s="6"/>
      <c r="D388" s="18"/>
    </row>
    <row r="389">
      <c r="A389" s="17"/>
      <c r="B389" s="7"/>
      <c r="C389" s="6"/>
      <c r="D389" s="18"/>
    </row>
    <row r="390">
      <c r="A390" s="17"/>
      <c r="B390" s="7"/>
      <c r="C390" s="6"/>
      <c r="D390" s="18"/>
    </row>
    <row r="391">
      <c r="A391" s="17"/>
      <c r="B391" s="7"/>
      <c r="C391" s="6"/>
      <c r="D391" s="18"/>
    </row>
    <row r="392">
      <c r="A392" s="17"/>
      <c r="B392" s="7"/>
      <c r="C392" s="6"/>
      <c r="D392" s="18"/>
    </row>
    <row r="393">
      <c r="A393" s="17"/>
      <c r="B393" s="7"/>
      <c r="C393" s="6"/>
      <c r="D393" s="18"/>
    </row>
    <row r="394">
      <c r="A394" s="17"/>
      <c r="B394" s="7"/>
      <c r="C394" s="6"/>
      <c r="D394" s="18"/>
    </row>
    <row r="395">
      <c r="A395" s="17"/>
      <c r="B395" s="7"/>
      <c r="C395" s="6"/>
      <c r="D395" s="18"/>
    </row>
    <row r="396">
      <c r="A396" s="17"/>
      <c r="B396" s="7"/>
      <c r="C396" s="6"/>
      <c r="D396" s="18"/>
    </row>
    <row r="397">
      <c r="A397" s="17"/>
      <c r="B397" s="7"/>
      <c r="C397" s="6"/>
      <c r="D397" s="18"/>
    </row>
    <row r="398">
      <c r="A398" s="17"/>
      <c r="B398" s="7"/>
      <c r="C398" s="6"/>
      <c r="D398" s="18"/>
    </row>
    <row r="399">
      <c r="A399" s="17"/>
      <c r="B399" s="7"/>
      <c r="C399" s="6"/>
      <c r="D399" s="18"/>
    </row>
    <row r="400">
      <c r="A400" s="17"/>
      <c r="B400" s="7"/>
      <c r="C400" s="6"/>
      <c r="D400" s="18"/>
    </row>
    <row r="401">
      <c r="A401" s="17"/>
      <c r="B401" s="7"/>
      <c r="C401" s="6"/>
      <c r="D401" s="18"/>
    </row>
    <row r="402">
      <c r="A402" s="17"/>
      <c r="B402" s="7"/>
      <c r="C402" s="6"/>
      <c r="D402" s="18"/>
    </row>
    <row r="403">
      <c r="A403" s="17"/>
      <c r="B403" s="7"/>
      <c r="C403" s="6"/>
      <c r="D403" s="18"/>
    </row>
    <row r="404">
      <c r="A404" s="17"/>
      <c r="B404" s="7"/>
      <c r="C404" s="6"/>
      <c r="D404" s="18"/>
    </row>
    <row r="405">
      <c r="A405" s="17"/>
      <c r="B405" s="7"/>
      <c r="C405" s="6"/>
      <c r="D405" s="18"/>
    </row>
    <row r="406">
      <c r="A406" s="17"/>
      <c r="B406" s="7"/>
      <c r="C406" s="6"/>
      <c r="D406" s="18"/>
    </row>
    <row r="407">
      <c r="A407" s="17"/>
      <c r="B407" s="7"/>
      <c r="C407" s="6"/>
      <c r="D407" s="18"/>
    </row>
    <row r="408">
      <c r="A408" s="17"/>
      <c r="B408" s="7"/>
      <c r="C408" s="6"/>
      <c r="D408" s="18"/>
    </row>
    <row r="409">
      <c r="A409" s="17"/>
      <c r="B409" s="7"/>
      <c r="C409" s="6"/>
      <c r="D409" s="18"/>
    </row>
    <row r="410">
      <c r="A410" s="17"/>
      <c r="B410" s="7"/>
      <c r="C410" s="6"/>
      <c r="D410" s="18"/>
    </row>
    <row r="411">
      <c r="A411" s="17"/>
      <c r="B411" s="7"/>
      <c r="C411" s="6"/>
      <c r="D411" s="18"/>
    </row>
    <row r="412">
      <c r="A412" s="17"/>
      <c r="B412" s="7"/>
      <c r="C412" s="6"/>
      <c r="D412" s="18"/>
    </row>
    <row r="413">
      <c r="A413" s="17"/>
      <c r="B413" s="7"/>
      <c r="C413" s="6"/>
      <c r="D413" s="18"/>
    </row>
    <row r="414">
      <c r="A414" s="17"/>
      <c r="B414" s="7"/>
      <c r="C414" s="6"/>
      <c r="D414" s="18"/>
    </row>
    <row r="415">
      <c r="A415" s="17"/>
      <c r="B415" s="7"/>
      <c r="C415" s="6"/>
      <c r="D415" s="18"/>
    </row>
    <row r="416">
      <c r="A416" s="17"/>
      <c r="B416" s="7"/>
      <c r="C416" s="6"/>
      <c r="D416" s="18"/>
    </row>
    <row r="417">
      <c r="A417" s="17"/>
      <c r="B417" s="7"/>
      <c r="C417" s="6"/>
      <c r="D417" s="18"/>
    </row>
    <row r="418">
      <c r="A418" s="17"/>
      <c r="B418" s="7"/>
      <c r="C418" s="6"/>
      <c r="D418" s="18"/>
    </row>
    <row r="419">
      <c r="A419" s="17"/>
      <c r="B419" s="7"/>
      <c r="C419" s="6"/>
      <c r="D419" s="18"/>
    </row>
    <row r="420">
      <c r="A420" s="17"/>
      <c r="B420" s="7"/>
      <c r="C420" s="6"/>
      <c r="D420" s="18"/>
    </row>
    <row r="421">
      <c r="A421" s="17"/>
      <c r="B421" s="7"/>
      <c r="C421" s="6"/>
      <c r="D421" s="18"/>
    </row>
    <row r="422">
      <c r="A422" s="17"/>
      <c r="B422" s="7"/>
      <c r="C422" s="6"/>
      <c r="D422" s="18"/>
    </row>
    <row r="423">
      <c r="A423" s="17"/>
      <c r="B423" s="7"/>
      <c r="C423" s="6"/>
      <c r="D423" s="18"/>
    </row>
    <row r="424">
      <c r="A424" s="17"/>
      <c r="B424" s="7"/>
      <c r="C424" s="6"/>
      <c r="D424" s="18"/>
    </row>
    <row r="425">
      <c r="A425" s="17"/>
      <c r="B425" s="7"/>
      <c r="C425" s="6"/>
      <c r="D425" s="18"/>
    </row>
    <row r="426">
      <c r="A426" s="17"/>
      <c r="B426" s="7"/>
      <c r="C426" s="6"/>
      <c r="D426" s="18"/>
    </row>
    <row r="427">
      <c r="A427" s="17"/>
      <c r="B427" s="7"/>
      <c r="C427" s="6"/>
      <c r="D427" s="18"/>
    </row>
    <row r="428">
      <c r="A428" s="17"/>
      <c r="B428" s="7"/>
      <c r="C428" s="6"/>
      <c r="D428" s="18"/>
    </row>
    <row r="429">
      <c r="A429" s="17"/>
      <c r="B429" s="7"/>
      <c r="C429" s="6"/>
      <c r="D429" s="18"/>
    </row>
    <row r="430">
      <c r="A430" s="17"/>
      <c r="B430" s="7"/>
      <c r="C430" s="6"/>
      <c r="D430" s="18"/>
    </row>
    <row r="431">
      <c r="A431" s="17"/>
      <c r="B431" s="7"/>
      <c r="C431" s="6"/>
      <c r="D431" s="18"/>
    </row>
    <row r="432">
      <c r="A432" s="17"/>
      <c r="B432" s="7"/>
      <c r="C432" s="6"/>
      <c r="D432" s="18"/>
    </row>
    <row r="433">
      <c r="A433" s="17"/>
      <c r="B433" s="7"/>
      <c r="C433" s="6"/>
      <c r="D433" s="18"/>
    </row>
    <row r="434">
      <c r="A434" s="17"/>
      <c r="B434" s="7"/>
      <c r="C434" s="6"/>
      <c r="D434" s="18"/>
    </row>
    <row r="435">
      <c r="A435" s="17"/>
      <c r="B435" s="7"/>
      <c r="C435" s="6"/>
      <c r="D435" s="18"/>
    </row>
    <row r="436">
      <c r="A436" s="17"/>
      <c r="B436" s="7"/>
      <c r="C436" s="6"/>
      <c r="D436" s="18"/>
    </row>
    <row r="437">
      <c r="A437" s="17"/>
      <c r="B437" s="7"/>
      <c r="C437" s="6"/>
      <c r="D437" s="18"/>
    </row>
    <row r="438">
      <c r="A438" s="17"/>
      <c r="B438" s="7"/>
      <c r="C438" s="6"/>
      <c r="D438" s="18"/>
    </row>
    <row r="439">
      <c r="A439" s="17"/>
      <c r="B439" s="7"/>
      <c r="C439" s="6"/>
      <c r="D439" s="18"/>
    </row>
    <row r="440">
      <c r="A440" s="17"/>
      <c r="B440" s="7"/>
      <c r="C440" s="6"/>
      <c r="D440" s="18"/>
    </row>
    <row r="441">
      <c r="A441" s="17"/>
      <c r="B441" s="7"/>
      <c r="C441" s="6"/>
      <c r="D441" s="18"/>
    </row>
    <row r="442">
      <c r="A442" s="17"/>
      <c r="B442" s="7"/>
      <c r="C442" s="6"/>
      <c r="D442" s="18"/>
    </row>
    <row r="443">
      <c r="A443" s="17"/>
      <c r="B443" s="7"/>
      <c r="C443" s="6"/>
      <c r="D443" s="18"/>
    </row>
    <row r="444">
      <c r="A444" s="17"/>
      <c r="B444" s="7"/>
      <c r="C444" s="6"/>
      <c r="D444" s="18"/>
    </row>
    <row r="445">
      <c r="A445" s="17"/>
      <c r="B445" s="7"/>
      <c r="C445" s="6"/>
      <c r="D445" s="18"/>
    </row>
    <row r="446">
      <c r="A446" s="17"/>
      <c r="B446" s="7"/>
      <c r="C446" s="6"/>
      <c r="D446" s="18"/>
    </row>
    <row r="447">
      <c r="A447" s="17"/>
      <c r="B447" s="7"/>
      <c r="C447" s="6"/>
      <c r="D447" s="18"/>
    </row>
    <row r="448">
      <c r="A448" s="17"/>
      <c r="B448" s="7"/>
      <c r="C448" s="6"/>
      <c r="D448" s="18"/>
    </row>
    <row r="449">
      <c r="A449" s="17"/>
      <c r="B449" s="7"/>
      <c r="C449" s="6"/>
      <c r="D449" s="18"/>
    </row>
    <row r="450">
      <c r="A450" s="17"/>
      <c r="B450" s="7"/>
      <c r="C450" s="6"/>
      <c r="D450" s="18"/>
    </row>
    <row r="451">
      <c r="A451" s="17"/>
      <c r="B451" s="7"/>
      <c r="C451" s="6"/>
      <c r="D451" s="18"/>
    </row>
    <row r="452">
      <c r="A452" s="17"/>
      <c r="B452" s="7"/>
      <c r="C452" s="6"/>
      <c r="D452" s="18"/>
    </row>
    <row r="453">
      <c r="A453" s="17"/>
      <c r="B453" s="7"/>
      <c r="C453" s="6"/>
      <c r="D453" s="18"/>
    </row>
    <row r="454">
      <c r="A454" s="17"/>
      <c r="B454" s="7"/>
      <c r="C454" s="6"/>
      <c r="D454" s="18"/>
    </row>
    <row r="455">
      <c r="A455" s="17"/>
      <c r="B455" s="7"/>
      <c r="C455" s="6"/>
      <c r="D455" s="18"/>
    </row>
    <row r="456">
      <c r="A456" s="17"/>
      <c r="B456" s="7"/>
      <c r="C456" s="6"/>
      <c r="D456" s="18"/>
    </row>
    <row r="457">
      <c r="A457" s="17"/>
      <c r="B457" s="7"/>
      <c r="C457" s="6"/>
      <c r="D457" s="18"/>
    </row>
    <row r="458">
      <c r="A458" s="17"/>
      <c r="B458" s="7"/>
      <c r="C458" s="6"/>
      <c r="D458" s="18"/>
    </row>
    <row r="459">
      <c r="A459" s="17"/>
      <c r="B459" s="7"/>
      <c r="C459" s="6"/>
      <c r="D459" s="18"/>
    </row>
    <row r="460">
      <c r="A460" s="17"/>
      <c r="B460" s="7"/>
      <c r="C460" s="6"/>
      <c r="D460" s="18"/>
    </row>
    <row r="461">
      <c r="A461" s="17"/>
      <c r="B461" s="7"/>
      <c r="C461" s="6"/>
      <c r="D461" s="18"/>
    </row>
    <row r="462">
      <c r="A462" s="17"/>
      <c r="B462" s="7"/>
      <c r="C462" s="6"/>
      <c r="D462" s="18"/>
    </row>
    <row r="463">
      <c r="A463" s="17"/>
      <c r="B463" s="7"/>
      <c r="C463" s="6"/>
      <c r="D463" s="18"/>
    </row>
    <row r="464">
      <c r="A464" s="17"/>
      <c r="B464" s="7"/>
      <c r="C464" s="6"/>
      <c r="D464" s="18"/>
    </row>
    <row r="465">
      <c r="A465" s="17"/>
      <c r="B465" s="7"/>
      <c r="C465" s="6"/>
      <c r="D465" s="18"/>
    </row>
    <row r="466">
      <c r="A466" s="17"/>
      <c r="B466" s="7"/>
      <c r="C466" s="6"/>
      <c r="D466" s="18"/>
    </row>
    <row r="467">
      <c r="A467" s="17"/>
      <c r="B467" s="7"/>
      <c r="C467" s="6"/>
      <c r="D467" s="18"/>
    </row>
    <row r="468">
      <c r="A468" s="17"/>
      <c r="B468" s="7"/>
      <c r="C468" s="6"/>
      <c r="D468" s="18"/>
    </row>
    <row r="469">
      <c r="A469" s="17"/>
      <c r="B469" s="7"/>
      <c r="C469" s="6"/>
      <c r="D469" s="18"/>
    </row>
    <row r="470">
      <c r="A470" s="17"/>
      <c r="B470" s="7"/>
      <c r="C470" s="6"/>
      <c r="D470" s="18"/>
    </row>
    <row r="471">
      <c r="A471" s="17"/>
      <c r="B471" s="7"/>
      <c r="C471" s="6"/>
      <c r="D471" s="18"/>
    </row>
    <row r="472">
      <c r="A472" s="17"/>
      <c r="B472" s="7"/>
      <c r="C472" s="6"/>
      <c r="D472" s="18"/>
    </row>
    <row r="473">
      <c r="A473" s="17"/>
      <c r="B473" s="7"/>
      <c r="C473" s="6"/>
      <c r="D473" s="18"/>
    </row>
    <row r="474">
      <c r="A474" s="17"/>
      <c r="B474" s="7"/>
      <c r="C474" s="6"/>
      <c r="D474" s="18"/>
    </row>
    <row r="475">
      <c r="A475" s="17"/>
      <c r="B475" s="7"/>
      <c r="C475" s="6"/>
      <c r="D475" s="18"/>
    </row>
    <row r="476">
      <c r="A476" s="17"/>
      <c r="B476" s="7"/>
      <c r="C476" s="6"/>
      <c r="D476" s="18"/>
    </row>
    <row r="477">
      <c r="A477" s="17"/>
      <c r="B477" s="7"/>
      <c r="C477" s="6"/>
      <c r="D477" s="18"/>
    </row>
    <row r="478">
      <c r="A478" s="17"/>
      <c r="B478" s="7"/>
      <c r="C478" s="6"/>
      <c r="D478" s="18"/>
    </row>
    <row r="479">
      <c r="A479" s="17"/>
      <c r="B479" s="7"/>
      <c r="C479" s="6"/>
      <c r="D479" s="18"/>
    </row>
    <row r="480">
      <c r="A480" s="17"/>
      <c r="B480" s="7"/>
      <c r="C480" s="6"/>
      <c r="D480" s="18"/>
    </row>
    <row r="481">
      <c r="A481" s="17"/>
      <c r="B481" s="7"/>
      <c r="C481" s="6"/>
      <c r="D481" s="18"/>
    </row>
    <row r="482">
      <c r="A482" s="17"/>
      <c r="B482" s="7"/>
      <c r="C482" s="6"/>
      <c r="D482" s="18"/>
    </row>
    <row r="483">
      <c r="A483" s="17"/>
      <c r="B483" s="7"/>
      <c r="C483" s="6"/>
      <c r="D483" s="18"/>
    </row>
    <row r="484">
      <c r="A484" s="17"/>
      <c r="B484" s="7"/>
      <c r="C484" s="6"/>
      <c r="D484" s="18"/>
    </row>
    <row r="485">
      <c r="A485" s="17"/>
      <c r="B485" s="7"/>
      <c r="C485" s="6"/>
      <c r="D485" s="18"/>
    </row>
    <row r="486">
      <c r="A486" s="17"/>
      <c r="B486" s="7"/>
      <c r="C486" s="6"/>
      <c r="D486" s="18"/>
    </row>
    <row r="487">
      <c r="A487" s="17"/>
      <c r="B487" s="7"/>
      <c r="C487" s="6"/>
      <c r="D487" s="18"/>
    </row>
    <row r="488">
      <c r="A488" s="17"/>
      <c r="B488" s="7"/>
      <c r="C488" s="6"/>
      <c r="D488" s="18"/>
    </row>
    <row r="489">
      <c r="A489" s="17"/>
      <c r="B489" s="7"/>
      <c r="C489" s="6"/>
      <c r="D489" s="18"/>
    </row>
    <row r="490">
      <c r="A490" s="17"/>
      <c r="B490" s="7"/>
      <c r="C490" s="6"/>
      <c r="D490" s="18"/>
    </row>
    <row r="491">
      <c r="A491" s="17"/>
      <c r="B491" s="7"/>
      <c r="C491" s="6"/>
      <c r="D491" s="18"/>
    </row>
    <row r="492">
      <c r="A492" s="17"/>
      <c r="B492" s="7"/>
      <c r="C492" s="6"/>
      <c r="D492" s="18"/>
    </row>
    <row r="493">
      <c r="A493" s="17"/>
      <c r="B493" s="7"/>
      <c r="C493" s="6"/>
      <c r="D493" s="18"/>
    </row>
    <row r="494">
      <c r="A494" s="17"/>
      <c r="B494" s="7"/>
      <c r="C494" s="6"/>
      <c r="D494" s="18"/>
    </row>
    <row r="495">
      <c r="A495" s="17"/>
      <c r="B495" s="7"/>
      <c r="C495" s="6"/>
      <c r="D495" s="18"/>
    </row>
    <row r="496">
      <c r="A496" s="17"/>
      <c r="B496" s="7"/>
      <c r="C496" s="6"/>
      <c r="D496" s="18"/>
    </row>
    <row r="497">
      <c r="A497" s="17"/>
      <c r="B497" s="7"/>
      <c r="C497" s="6"/>
      <c r="D497" s="18"/>
    </row>
    <row r="498">
      <c r="A498" s="17"/>
      <c r="B498" s="7"/>
      <c r="C498" s="6"/>
      <c r="D498" s="18"/>
    </row>
    <row r="499">
      <c r="A499" s="17"/>
      <c r="B499" s="7"/>
      <c r="C499" s="6"/>
      <c r="D499" s="18"/>
    </row>
    <row r="500">
      <c r="A500" s="17"/>
      <c r="B500" s="7"/>
      <c r="C500" s="6"/>
      <c r="D500" s="18"/>
    </row>
    <row r="501">
      <c r="A501" s="17"/>
      <c r="B501" s="7"/>
      <c r="C501" s="6"/>
      <c r="D501" s="18"/>
    </row>
    <row r="502">
      <c r="A502" s="17"/>
      <c r="B502" s="7"/>
      <c r="C502" s="6"/>
      <c r="D502" s="18"/>
    </row>
    <row r="503">
      <c r="A503" s="17"/>
      <c r="B503" s="7"/>
      <c r="C503" s="6"/>
      <c r="D503" s="18"/>
    </row>
    <row r="504">
      <c r="A504" s="17"/>
      <c r="B504" s="7"/>
      <c r="C504" s="6"/>
      <c r="D504" s="18"/>
    </row>
    <row r="505">
      <c r="A505" s="17"/>
      <c r="B505" s="7"/>
      <c r="C505" s="6"/>
      <c r="D505" s="18"/>
    </row>
    <row r="506">
      <c r="A506" s="17"/>
      <c r="B506" s="7"/>
      <c r="C506" s="6"/>
      <c r="D506" s="18"/>
    </row>
    <row r="507">
      <c r="A507" s="17"/>
      <c r="B507" s="7"/>
      <c r="C507" s="6"/>
      <c r="D507" s="18"/>
    </row>
    <row r="508">
      <c r="A508" s="17"/>
      <c r="B508" s="7"/>
      <c r="C508" s="6"/>
      <c r="D508" s="18"/>
    </row>
    <row r="509">
      <c r="A509" s="17"/>
      <c r="B509" s="7"/>
      <c r="C509" s="6"/>
      <c r="D509" s="18"/>
    </row>
    <row r="510">
      <c r="A510" s="17"/>
      <c r="B510" s="7"/>
      <c r="C510" s="6"/>
      <c r="D510" s="18"/>
    </row>
    <row r="511">
      <c r="A511" s="17"/>
      <c r="B511" s="7"/>
      <c r="C511" s="6"/>
      <c r="D511" s="18"/>
    </row>
    <row r="512">
      <c r="A512" s="17"/>
      <c r="B512" s="7"/>
      <c r="C512" s="6"/>
      <c r="D512" s="18"/>
    </row>
    <row r="513">
      <c r="A513" s="17"/>
      <c r="B513" s="7"/>
      <c r="C513" s="6"/>
      <c r="D513" s="18"/>
    </row>
    <row r="514">
      <c r="A514" s="17"/>
      <c r="B514" s="7"/>
      <c r="C514" s="6"/>
      <c r="D514" s="18"/>
    </row>
    <row r="515">
      <c r="A515" s="17"/>
      <c r="B515" s="7"/>
      <c r="C515" s="6"/>
      <c r="D515" s="18"/>
    </row>
    <row r="516">
      <c r="A516" s="17"/>
      <c r="B516" s="7"/>
      <c r="C516" s="6"/>
      <c r="D516" s="18"/>
    </row>
    <row r="517">
      <c r="A517" s="17"/>
      <c r="B517" s="7"/>
      <c r="C517" s="6"/>
      <c r="D517" s="18"/>
    </row>
    <row r="518">
      <c r="A518" s="17"/>
      <c r="B518" s="7"/>
      <c r="C518" s="6"/>
      <c r="D518" s="18"/>
    </row>
    <row r="519">
      <c r="A519" s="17"/>
      <c r="B519" s="7"/>
      <c r="C519" s="6"/>
      <c r="D519" s="18"/>
    </row>
    <row r="520">
      <c r="A520" s="17"/>
      <c r="B520" s="7"/>
      <c r="C520" s="6"/>
      <c r="D520" s="18"/>
    </row>
    <row r="521">
      <c r="A521" s="17"/>
      <c r="B521" s="7"/>
      <c r="C521" s="6"/>
      <c r="D521" s="18"/>
    </row>
    <row r="522">
      <c r="A522" s="17"/>
      <c r="B522" s="7"/>
      <c r="C522" s="6"/>
      <c r="D522" s="18"/>
    </row>
    <row r="523">
      <c r="A523" s="17"/>
      <c r="B523" s="7"/>
      <c r="C523" s="6"/>
      <c r="D523" s="18"/>
    </row>
    <row r="524">
      <c r="A524" s="17"/>
      <c r="B524" s="7"/>
      <c r="C524" s="6"/>
      <c r="D524" s="18"/>
    </row>
    <row r="525">
      <c r="A525" s="17"/>
      <c r="B525" s="7"/>
      <c r="C525" s="6"/>
      <c r="D525" s="18"/>
    </row>
    <row r="526">
      <c r="A526" s="17"/>
      <c r="B526" s="7"/>
      <c r="C526" s="6"/>
      <c r="D526" s="18"/>
    </row>
    <row r="527">
      <c r="A527" s="17"/>
      <c r="B527" s="7"/>
      <c r="C527" s="6"/>
      <c r="D527" s="18"/>
    </row>
    <row r="528">
      <c r="A528" s="17"/>
      <c r="B528" s="7"/>
      <c r="C528" s="6"/>
      <c r="D528" s="18"/>
    </row>
    <row r="529">
      <c r="A529" s="17"/>
      <c r="B529" s="7"/>
      <c r="C529" s="6"/>
      <c r="D529" s="18"/>
    </row>
    <row r="530">
      <c r="A530" s="17"/>
      <c r="B530" s="7"/>
      <c r="C530" s="6"/>
      <c r="D530" s="18"/>
    </row>
    <row r="531">
      <c r="A531" s="17"/>
      <c r="B531" s="7"/>
      <c r="C531" s="6"/>
      <c r="D531" s="18"/>
    </row>
    <row r="532">
      <c r="A532" s="17"/>
      <c r="B532" s="7"/>
      <c r="C532" s="6"/>
      <c r="D532" s="18"/>
    </row>
    <row r="533">
      <c r="A533" s="17"/>
      <c r="B533" s="7"/>
      <c r="C533" s="6"/>
      <c r="D533" s="18"/>
    </row>
    <row r="534">
      <c r="A534" s="17"/>
      <c r="B534" s="7"/>
      <c r="C534" s="6"/>
      <c r="D534" s="18"/>
    </row>
    <row r="535">
      <c r="A535" s="17"/>
      <c r="B535" s="7"/>
      <c r="C535" s="6"/>
      <c r="D535" s="18"/>
    </row>
    <row r="536">
      <c r="A536" s="17"/>
      <c r="B536" s="7"/>
      <c r="C536" s="6"/>
      <c r="D536" s="18"/>
    </row>
    <row r="537">
      <c r="A537" s="17"/>
      <c r="B537" s="7"/>
      <c r="C537" s="6"/>
      <c r="D537" s="18"/>
    </row>
    <row r="538">
      <c r="A538" s="17"/>
      <c r="B538" s="7"/>
      <c r="C538" s="6"/>
      <c r="D538" s="18"/>
    </row>
    <row r="539">
      <c r="A539" s="17"/>
      <c r="B539" s="7"/>
      <c r="C539" s="6"/>
      <c r="D539" s="18"/>
    </row>
    <row r="540">
      <c r="A540" s="17"/>
      <c r="B540" s="7"/>
      <c r="C540" s="6"/>
      <c r="D540" s="18"/>
    </row>
    <row r="541">
      <c r="A541" s="17"/>
      <c r="B541" s="7"/>
      <c r="C541" s="6"/>
      <c r="D541" s="18"/>
    </row>
    <row r="542">
      <c r="A542" s="17"/>
      <c r="B542" s="7"/>
      <c r="C542" s="6"/>
      <c r="D542" s="18"/>
    </row>
    <row r="543">
      <c r="A543" s="17"/>
      <c r="B543" s="7"/>
      <c r="C543" s="6"/>
      <c r="D543" s="18"/>
    </row>
    <row r="544">
      <c r="A544" s="17"/>
      <c r="B544" s="7"/>
      <c r="C544" s="6"/>
      <c r="D544" s="18"/>
    </row>
    <row r="545">
      <c r="A545" s="17"/>
      <c r="B545" s="7"/>
      <c r="C545" s="6"/>
      <c r="D545" s="18"/>
    </row>
    <row r="546">
      <c r="A546" s="17"/>
      <c r="B546" s="7"/>
      <c r="C546" s="6"/>
      <c r="D546" s="18"/>
    </row>
    <row r="547">
      <c r="A547" s="17"/>
      <c r="B547" s="7"/>
      <c r="C547" s="6"/>
      <c r="D547" s="18"/>
    </row>
    <row r="548">
      <c r="A548" s="17"/>
      <c r="B548" s="7"/>
      <c r="C548" s="6"/>
      <c r="D548" s="18"/>
    </row>
    <row r="549">
      <c r="A549" s="17"/>
      <c r="B549" s="7"/>
      <c r="C549" s="6"/>
      <c r="D549" s="18"/>
    </row>
    <row r="550">
      <c r="A550" s="17"/>
      <c r="B550" s="7"/>
      <c r="C550" s="6"/>
      <c r="D550" s="18"/>
    </row>
    <row r="551">
      <c r="A551" s="17"/>
      <c r="B551" s="7"/>
      <c r="C551" s="6"/>
      <c r="D551" s="18"/>
    </row>
    <row r="552">
      <c r="A552" s="17"/>
      <c r="B552" s="7"/>
      <c r="C552" s="6"/>
      <c r="D552" s="18"/>
    </row>
    <row r="553">
      <c r="A553" s="17"/>
      <c r="B553" s="7"/>
      <c r="C553" s="6"/>
      <c r="D553" s="18"/>
    </row>
    <row r="554">
      <c r="A554" s="17"/>
      <c r="B554" s="7"/>
      <c r="C554" s="6"/>
      <c r="D554" s="18"/>
    </row>
    <row r="555">
      <c r="A555" s="17"/>
      <c r="B555" s="7"/>
      <c r="C555" s="6"/>
      <c r="D555" s="18"/>
    </row>
    <row r="556">
      <c r="A556" s="17"/>
      <c r="B556" s="7"/>
      <c r="C556" s="6"/>
      <c r="D556" s="18"/>
    </row>
    <row r="557">
      <c r="A557" s="17"/>
      <c r="B557" s="7"/>
      <c r="C557" s="6"/>
      <c r="D557" s="18"/>
    </row>
    <row r="558">
      <c r="A558" s="17"/>
      <c r="B558" s="7"/>
      <c r="C558" s="6"/>
      <c r="D558" s="18"/>
    </row>
    <row r="559">
      <c r="A559" s="17"/>
      <c r="B559" s="7"/>
      <c r="C559" s="6"/>
      <c r="D559" s="18"/>
    </row>
    <row r="560">
      <c r="A560" s="17"/>
      <c r="B560" s="7"/>
      <c r="C560" s="6"/>
      <c r="D560" s="18"/>
    </row>
    <row r="561">
      <c r="A561" s="17"/>
      <c r="B561" s="7"/>
      <c r="C561" s="6"/>
      <c r="D561" s="18"/>
    </row>
    <row r="562">
      <c r="A562" s="17"/>
      <c r="B562" s="7"/>
      <c r="C562" s="6"/>
      <c r="D562" s="18"/>
    </row>
    <row r="563">
      <c r="A563" s="17"/>
      <c r="B563" s="7"/>
      <c r="C563" s="6"/>
      <c r="D563" s="18"/>
    </row>
    <row r="564">
      <c r="A564" s="17"/>
      <c r="B564" s="7"/>
      <c r="C564" s="6"/>
      <c r="D564" s="18"/>
    </row>
    <row r="565">
      <c r="A565" s="17"/>
      <c r="B565" s="7"/>
      <c r="C565" s="6"/>
      <c r="D565" s="18"/>
    </row>
    <row r="566">
      <c r="A566" s="17"/>
      <c r="B566" s="7"/>
      <c r="C566" s="6"/>
      <c r="D566" s="18"/>
    </row>
    <row r="567">
      <c r="A567" s="17"/>
      <c r="B567" s="7"/>
      <c r="C567" s="6"/>
      <c r="D567" s="18"/>
    </row>
    <row r="568">
      <c r="A568" s="17"/>
      <c r="B568" s="7"/>
      <c r="C568" s="6"/>
      <c r="D568" s="18"/>
    </row>
    <row r="569">
      <c r="A569" s="17"/>
      <c r="B569" s="7"/>
      <c r="C569" s="6"/>
      <c r="D569" s="18"/>
    </row>
    <row r="570">
      <c r="A570" s="17"/>
      <c r="B570" s="7"/>
      <c r="C570" s="6"/>
      <c r="D570" s="18"/>
    </row>
    <row r="571">
      <c r="A571" s="17"/>
      <c r="B571" s="7"/>
      <c r="C571" s="6"/>
      <c r="D571" s="18"/>
    </row>
    <row r="572">
      <c r="A572" s="17"/>
      <c r="B572" s="7"/>
      <c r="C572" s="6"/>
      <c r="D572" s="18"/>
    </row>
    <row r="573">
      <c r="A573" s="17"/>
      <c r="B573" s="7"/>
      <c r="C573" s="6"/>
      <c r="D573" s="18"/>
    </row>
    <row r="574">
      <c r="A574" s="17"/>
      <c r="B574" s="7"/>
      <c r="C574" s="6"/>
      <c r="D574" s="18"/>
    </row>
    <row r="575">
      <c r="A575" s="17"/>
      <c r="B575" s="7"/>
      <c r="C575" s="6"/>
      <c r="D575" s="18"/>
    </row>
    <row r="576">
      <c r="A576" s="17"/>
      <c r="B576" s="7"/>
      <c r="C576" s="6"/>
      <c r="D576" s="18"/>
    </row>
    <row r="577">
      <c r="A577" s="17"/>
      <c r="B577" s="7"/>
      <c r="C577" s="6"/>
      <c r="D577" s="18"/>
    </row>
    <row r="578">
      <c r="A578" s="17"/>
      <c r="B578" s="7"/>
      <c r="C578" s="6"/>
      <c r="D578" s="18"/>
    </row>
    <row r="579">
      <c r="A579" s="17"/>
      <c r="B579" s="7"/>
      <c r="C579" s="6"/>
      <c r="D579" s="18"/>
    </row>
    <row r="580">
      <c r="A580" s="17"/>
      <c r="B580" s="7"/>
      <c r="C580" s="6"/>
      <c r="D580" s="18"/>
    </row>
    <row r="581">
      <c r="A581" s="17"/>
      <c r="B581" s="7"/>
      <c r="C581" s="6"/>
      <c r="D581" s="18"/>
    </row>
    <row r="582">
      <c r="A582" s="17"/>
      <c r="B582" s="7"/>
      <c r="C582" s="6"/>
      <c r="D582" s="18"/>
    </row>
    <row r="583">
      <c r="A583" s="17"/>
      <c r="B583" s="7"/>
      <c r="C583" s="6"/>
      <c r="D583" s="18"/>
    </row>
    <row r="584">
      <c r="A584" s="17"/>
      <c r="B584" s="7"/>
      <c r="C584" s="6"/>
      <c r="D584" s="18"/>
    </row>
    <row r="585">
      <c r="A585" s="17"/>
      <c r="B585" s="7"/>
      <c r="C585" s="6"/>
      <c r="D585" s="18"/>
    </row>
    <row r="586">
      <c r="A586" s="17"/>
      <c r="B586" s="7"/>
      <c r="C586" s="6"/>
      <c r="D586" s="18"/>
    </row>
    <row r="587">
      <c r="A587" s="17"/>
      <c r="B587" s="7"/>
      <c r="C587" s="6"/>
      <c r="D587" s="18"/>
    </row>
    <row r="588">
      <c r="A588" s="17"/>
      <c r="B588" s="7"/>
      <c r="C588" s="6"/>
      <c r="D588" s="18"/>
    </row>
    <row r="589">
      <c r="A589" s="17"/>
      <c r="B589" s="7"/>
      <c r="C589" s="6"/>
      <c r="D589" s="18"/>
    </row>
    <row r="590">
      <c r="A590" s="17"/>
      <c r="B590" s="7"/>
      <c r="C590" s="6"/>
      <c r="D590" s="18"/>
    </row>
    <row r="591">
      <c r="A591" s="17"/>
      <c r="B591" s="7"/>
      <c r="C591" s="6"/>
      <c r="D591" s="18"/>
    </row>
    <row r="592">
      <c r="A592" s="17"/>
      <c r="B592" s="7"/>
      <c r="C592" s="6"/>
      <c r="D592" s="18"/>
    </row>
    <row r="593">
      <c r="A593" s="17"/>
      <c r="B593" s="7"/>
      <c r="C593" s="6"/>
      <c r="D593" s="18"/>
    </row>
    <row r="594">
      <c r="A594" s="17"/>
      <c r="B594" s="7"/>
      <c r="C594" s="6"/>
      <c r="D594" s="18"/>
    </row>
    <row r="595">
      <c r="A595" s="17"/>
      <c r="B595" s="7"/>
      <c r="C595" s="6"/>
      <c r="D595" s="18"/>
    </row>
    <row r="596">
      <c r="A596" s="17"/>
      <c r="B596" s="7"/>
      <c r="C596" s="6"/>
      <c r="D596" s="18"/>
    </row>
    <row r="597">
      <c r="A597" s="17"/>
      <c r="B597" s="7"/>
      <c r="C597" s="6"/>
      <c r="D597" s="18"/>
    </row>
    <row r="598">
      <c r="A598" s="17"/>
      <c r="B598" s="7"/>
      <c r="C598" s="6"/>
      <c r="D598" s="18"/>
    </row>
    <row r="599">
      <c r="A599" s="17"/>
      <c r="B599" s="7"/>
      <c r="C599" s="6"/>
      <c r="D599" s="18"/>
    </row>
    <row r="600">
      <c r="A600" s="17"/>
      <c r="B600" s="7"/>
      <c r="C600" s="6"/>
      <c r="D600" s="18"/>
    </row>
    <row r="601">
      <c r="A601" s="17"/>
      <c r="B601" s="7"/>
      <c r="C601" s="6"/>
      <c r="D601" s="18"/>
    </row>
    <row r="602">
      <c r="A602" s="17"/>
      <c r="B602" s="7"/>
      <c r="C602" s="6"/>
      <c r="D602" s="18"/>
    </row>
    <row r="603">
      <c r="A603" s="17"/>
      <c r="B603" s="7"/>
      <c r="C603" s="6"/>
      <c r="D603" s="18"/>
    </row>
    <row r="604">
      <c r="A604" s="17"/>
      <c r="B604" s="7"/>
      <c r="C604" s="6"/>
      <c r="D604" s="18"/>
    </row>
    <row r="605">
      <c r="A605" s="17"/>
      <c r="B605" s="7"/>
      <c r="C605" s="6"/>
      <c r="D605" s="18"/>
    </row>
    <row r="606">
      <c r="A606" s="17"/>
      <c r="B606" s="7"/>
      <c r="C606" s="6"/>
      <c r="D606" s="18"/>
    </row>
    <row r="607">
      <c r="A607" s="17"/>
      <c r="B607" s="7"/>
      <c r="C607" s="6"/>
      <c r="D607" s="18"/>
    </row>
    <row r="608">
      <c r="A608" s="17"/>
      <c r="B608" s="7"/>
      <c r="C608" s="6"/>
      <c r="D608" s="18"/>
    </row>
    <row r="609">
      <c r="A609" s="17"/>
      <c r="B609" s="7"/>
      <c r="C609" s="6"/>
      <c r="D609" s="18"/>
    </row>
    <row r="610">
      <c r="A610" s="17"/>
      <c r="B610" s="7"/>
      <c r="C610" s="6"/>
      <c r="D610" s="18"/>
    </row>
    <row r="611">
      <c r="A611" s="17"/>
      <c r="B611" s="7"/>
      <c r="C611" s="6"/>
      <c r="D611" s="18"/>
    </row>
    <row r="612">
      <c r="A612" s="17"/>
      <c r="B612" s="7"/>
      <c r="C612" s="6"/>
      <c r="D612" s="18"/>
    </row>
    <row r="613">
      <c r="A613" s="17"/>
      <c r="B613" s="7"/>
      <c r="C613" s="6"/>
      <c r="D613" s="18"/>
    </row>
    <row r="614">
      <c r="A614" s="17"/>
      <c r="B614" s="7"/>
      <c r="C614" s="6"/>
      <c r="D614" s="18"/>
    </row>
    <row r="615">
      <c r="A615" s="17"/>
      <c r="B615" s="7"/>
      <c r="C615" s="6"/>
      <c r="D615" s="18"/>
    </row>
    <row r="616">
      <c r="A616" s="17"/>
      <c r="B616" s="7"/>
      <c r="C616" s="6"/>
      <c r="D616" s="18"/>
    </row>
    <row r="617">
      <c r="A617" s="17"/>
      <c r="B617" s="7"/>
      <c r="C617" s="6"/>
      <c r="D617" s="18"/>
    </row>
    <row r="618">
      <c r="A618" s="17"/>
      <c r="B618" s="7"/>
      <c r="C618" s="6"/>
      <c r="D618" s="18"/>
    </row>
    <row r="619">
      <c r="A619" s="17"/>
      <c r="B619" s="7"/>
      <c r="C619" s="6"/>
      <c r="D619" s="18"/>
    </row>
    <row r="620">
      <c r="A620" s="17"/>
      <c r="B620" s="7"/>
      <c r="C620" s="6"/>
      <c r="D620" s="18"/>
    </row>
    <row r="621">
      <c r="A621" s="17"/>
      <c r="B621" s="7"/>
      <c r="C621" s="6"/>
      <c r="D621" s="18"/>
    </row>
    <row r="622">
      <c r="A622" s="17"/>
      <c r="B622" s="7"/>
      <c r="C622" s="6"/>
      <c r="D622" s="18"/>
    </row>
    <row r="623">
      <c r="A623" s="17"/>
      <c r="B623" s="7"/>
      <c r="C623" s="6"/>
      <c r="D623" s="18"/>
    </row>
    <row r="624">
      <c r="A624" s="17"/>
      <c r="B624" s="7"/>
      <c r="C624" s="6"/>
      <c r="D624" s="18"/>
    </row>
    <row r="625">
      <c r="A625" s="17"/>
      <c r="B625" s="7"/>
      <c r="C625" s="6"/>
      <c r="D625" s="18"/>
    </row>
    <row r="626">
      <c r="A626" s="17"/>
      <c r="B626" s="7"/>
      <c r="C626" s="6"/>
      <c r="D626" s="18"/>
    </row>
    <row r="627">
      <c r="A627" s="17"/>
      <c r="B627" s="7"/>
      <c r="C627" s="6"/>
      <c r="D627" s="18"/>
    </row>
    <row r="628">
      <c r="A628" s="17"/>
      <c r="B628" s="7"/>
      <c r="C628" s="6"/>
      <c r="D628" s="18"/>
    </row>
    <row r="629">
      <c r="A629" s="17"/>
      <c r="B629" s="7"/>
      <c r="C629" s="6"/>
      <c r="D629" s="18"/>
    </row>
    <row r="630">
      <c r="A630" s="17"/>
      <c r="B630" s="7"/>
      <c r="C630" s="6"/>
      <c r="D630" s="18"/>
    </row>
    <row r="631">
      <c r="A631" s="17"/>
      <c r="B631" s="7"/>
      <c r="C631" s="6"/>
      <c r="D631" s="18"/>
    </row>
    <row r="632">
      <c r="A632" s="17"/>
      <c r="B632" s="7"/>
      <c r="C632" s="6"/>
      <c r="D632" s="18"/>
    </row>
    <row r="633">
      <c r="A633" s="17"/>
      <c r="B633" s="7"/>
      <c r="C633" s="6"/>
      <c r="D633" s="18"/>
    </row>
    <row r="634">
      <c r="A634" s="17"/>
      <c r="B634" s="7"/>
      <c r="C634" s="6"/>
      <c r="D634" s="18"/>
    </row>
    <row r="635">
      <c r="A635" s="17"/>
      <c r="B635" s="7"/>
      <c r="C635" s="6"/>
      <c r="D635" s="18"/>
    </row>
    <row r="636">
      <c r="A636" s="17"/>
      <c r="B636" s="7"/>
      <c r="C636" s="6"/>
      <c r="D636" s="18"/>
    </row>
    <row r="637">
      <c r="A637" s="17"/>
      <c r="B637" s="7"/>
      <c r="C637" s="6"/>
      <c r="D637" s="18"/>
    </row>
    <row r="638">
      <c r="A638" s="17"/>
      <c r="B638" s="7"/>
      <c r="C638" s="6"/>
      <c r="D638" s="18"/>
    </row>
    <row r="639">
      <c r="A639" s="17"/>
      <c r="B639" s="7"/>
      <c r="C639" s="6"/>
      <c r="D639" s="18"/>
    </row>
    <row r="640">
      <c r="A640" s="17"/>
      <c r="B640" s="7"/>
      <c r="C640" s="6"/>
      <c r="D640" s="18"/>
    </row>
    <row r="641">
      <c r="A641" s="17"/>
      <c r="B641" s="7"/>
      <c r="C641" s="6"/>
      <c r="D641" s="18"/>
    </row>
    <row r="642">
      <c r="A642" s="17"/>
      <c r="B642" s="7"/>
      <c r="C642" s="6"/>
      <c r="D642" s="18"/>
    </row>
    <row r="643">
      <c r="A643" s="17"/>
      <c r="B643" s="7"/>
      <c r="C643" s="6"/>
      <c r="D643" s="18"/>
    </row>
    <row r="644">
      <c r="A644" s="17"/>
      <c r="B644" s="7"/>
      <c r="C644" s="6"/>
      <c r="D644" s="18"/>
    </row>
    <row r="645">
      <c r="A645" s="17"/>
      <c r="B645" s="7"/>
      <c r="C645" s="6"/>
      <c r="D645" s="18"/>
    </row>
    <row r="646">
      <c r="A646" s="17"/>
      <c r="B646" s="7"/>
      <c r="C646" s="6"/>
      <c r="D646" s="18"/>
    </row>
    <row r="647">
      <c r="A647" s="17"/>
      <c r="B647" s="7"/>
      <c r="C647" s="6"/>
      <c r="D647" s="18"/>
    </row>
    <row r="648">
      <c r="A648" s="17"/>
      <c r="B648" s="7"/>
      <c r="C648" s="6"/>
      <c r="D648" s="18"/>
    </row>
    <row r="649">
      <c r="A649" s="17"/>
      <c r="B649" s="7"/>
      <c r="C649" s="6"/>
      <c r="D649" s="18"/>
    </row>
    <row r="650">
      <c r="A650" s="17"/>
      <c r="B650" s="7"/>
      <c r="C650" s="6"/>
      <c r="D650" s="18"/>
    </row>
    <row r="651">
      <c r="A651" s="17"/>
      <c r="B651" s="7"/>
      <c r="C651" s="6"/>
      <c r="D651" s="18"/>
    </row>
    <row r="652">
      <c r="A652" s="17"/>
      <c r="B652" s="7"/>
      <c r="C652" s="6"/>
      <c r="D652" s="18"/>
    </row>
    <row r="653">
      <c r="A653" s="17"/>
      <c r="B653" s="7"/>
      <c r="C653" s="6"/>
      <c r="D653" s="18"/>
    </row>
    <row r="654">
      <c r="A654" s="17"/>
      <c r="B654" s="7"/>
      <c r="C654" s="6"/>
      <c r="D654" s="18"/>
    </row>
    <row r="655">
      <c r="A655" s="17"/>
      <c r="B655" s="7"/>
      <c r="C655" s="6"/>
      <c r="D655" s="18"/>
    </row>
    <row r="656">
      <c r="A656" s="17"/>
      <c r="B656" s="7"/>
      <c r="C656" s="6"/>
      <c r="D656" s="18"/>
    </row>
    <row r="657">
      <c r="A657" s="17"/>
      <c r="B657" s="7"/>
      <c r="C657" s="6"/>
      <c r="D657" s="18"/>
    </row>
    <row r="658">
      <c r="A658" s="17"/>
      <c r="B658" s="7"/>
      <c r="C658" s="6"/>
      <c r="D658" s="18"/>
    </row>
    <row r="659">
      <c r="A659" s="17"/>
      <c r="B659" s="7"/>
      <c r="C659" s="6"/>
      <c r="D659" s="18"/>
    </row>
    <row r="660">
      <c r="A660" s="17"/>
      <c r="B660" s="7"/>
      <c r="C660" s="6"/>
      <c r="D660" s="18"/>
    </row>
    <row r="661">
      <c r="A661" s="17"/>
      <c r="B661" s="7"/>
      <c r="C661" s="6"/>
      <c r="D661" s="18"/>
    </row>
    <row r="662">
      <c r="A662" s="17"/>
      <c r="B662" s="7"/>
      <c r="C662" s="6"/>
      <c r="D662" s="18"/>
    </row>
    <row r="663">
      <c r="A663" s="17"/>
      <c r="B663" s="7"/>
      <c r="C663" s="6"/>
      <c r="D663" s="18"/>
    </row>
    <row r="664">
      <c r="A664" s="17"/>
      <c r="B664" s="7"/>
      <c r="C664" s="6"/>
      <c r="D664" s="18"/>
    </row>
    <row r="665">
      <c r="A665" s="17"/>
      <c r="B665" s="7"/>
      <c r="C665" s="6"/>
      <c r="D665" s="18"/>
    </row>
    <row r="666">
      <c r="A666" s="17"/>
      <c r="B666" s="7"/>
      <c r="C666" s="6"/>
      <c r="D666" s="18"/>
    </row>
    <row r="667">
      <c r="A667" s="17"/>
      <c r="B667" s="7"/>
      <c r="C667" s="6"/>
      <c r="D667" s="18"/>
    </row>
    <row r="668">
      <c r="A668" s="17"/>
      <c r="B668" s="7"/>
      <c r="C668" s="6"/>
      <c r="D668" s="18"/>
    </row>
    <row r="669">
      <c r="A669" s="17"/>
      <c r="B669" s="7"/>
      <c r="C669" s="6"/>
      <c r="D669" s="18"/>
    </row>
    <row r="670">
      <c r="A670" s="17"/>
      <c r="B670" s="7"/>
      <c r="C670" s="6"/>
      <c r="D670" s="18"/>
    </row>
    <row r="671">
      <c r="A671" s="17"/>
      <c r="B671" s="7"/>
      <c r="C671" s="6"/>
      <c r="D671" s="18"/>
    </row>
    <row r="672">
      <c r="A672" s="17"/>
      <c r="B672" s="7"/>
      <c r="C672" s="6"/>
      <c r="D672" s="18"/>
    </row>
    <row r="673">
      <c r="A673" s="17"/>
      <c r="B673" s="7"/>
      <c r="C673" s="6"/>
      <c r="D673" s="18"/>
    </row>
    <row r="674">
      <c r="A674" s="17"/>
      <c r="B674" s="7"/>
      <c r="C674" s="6"/>
      <c r="D674" s="18"/>
    </row>
    <row r="675">
      <c r="A675" s="17"/>
      <c r="B675" s="7"/>
      <c r="C675" s="6"/>
      <c r="D675" s="18"/>
    </row>
    <row r="676">
      <c r="A676" s="17"/>
      <c r="B676" s="7"/>
      <c r="C676" s="6"/>
      <c r="D676" s="18"/>
    </row>
    <row r="677">
      <c r="A677" s="17"/>
      <c r="B677" s="7"/>
      <c r="C677" s="6"/>
      <c r="D677" s="18"/>
    </row>
    <row r="678">
      <c r="A678" s="17"/>
      <c r="B678" s="7"/>
      <c r="C678" s="6"/>
      <c r="D678" s="18"/>
    </row>
    <row r="679">
      <c r="A679" s="17"/>
      <c r="B679" s="7"/>
      <c r="C679" s="6"/>
      <c r="D679" s="18"/>
    </row>
    <row r="680">
      <c r="A680" s="17"/>
      <c r="B680" s="7"/>
      <c r="C680" s="6"/>
      <c r="D680" s="18"/>
    </row>
    <row r="681">
      <c r="A681" s="17"/>
      <c r="B681" s="7"/>
      <c r="C681" s="6"/>
      <c r="D681" s="18"/>
    </row>
    <row r="682">
      <c r="A682" s="17"/>
      <c r="B682" s="7"/>
      <c r="C682" s="6"/>
      <c r="D682" s="18"/>
    </row>
    <row r="683">
      <c r="A683" s="17"/>
      <c r="B683" s="7"/>
      <c r="C683" s="6"/>
      <c r="D683" s="18"/>
    </row>
    <row r="684">
      <c r="A684" s="17"/>
      <c r="B684" s="7"/>
      <c r="C684" s="6"/>
      <c r="D684" s="18"/>
    </row>
    <row r="685">
      <c r="A685" s="17"/>
      <c r="B685" s="7"/>
      <c r="C685" s="6"/>
      <c r="D685" s="18"/>
    </row>
    <row r="686">
      <c r="A686" s="17"/>
      <c r="B686" s="7"/>
      <c r="C686" s="6"/>
      <c r="D686" s="18"/>
    </row>
    <row r="687">
      <c r="A687" s="17"/>
      <c r="B687" s="7"/>
      <c r="C687" s="6"/>
      <c r="D687" s="18"/>
    </row>
    <row r="688">
      <c r="A688" s="17"/>
      <c r="B688" s="7"/>
      <c r="C688" s="6"/>
      <c r="D688" s="18"/>
    </row>
    <row r="689">
      <c r="A689" s="17"/>
      <c r="B689" s="7"/>
      <c r="C689" s="6"/>
      <c r="D689" s="18"/>
    </row>
    <row r="690">
      <c r="A690" s="17"/>
      <c r="B690" s="7"/>
      <c r="C690" s="6"/>
      <c r="D690" s="18"/>
    </row>
    <row r="691">
      <c r="A691" s="17"/>
      <c r="B691" s="7"/>
      <c r="C691" s="6"/>
      <c r="D691" s="18"/>
    </row>
    <row r="692">
      <c r="A692" s="17"/>
      <c r="B692" s="7"/>
      <c r="C692" s="6"/>
      <c r="D692" s="18"/>
    </row>
    <row r="693">
      <c r="A693" s="17"/>
      <c r="B693" s="7"/>
      <c r="C693" s="6"/>
      <c r="D693" s="18"/>
    </row>
    <row r="694">
      <c r="A694" s="17"/>
      <c r="B694" s="7"/>
      <c r="C694" s="6"/>
      <c r="D694" s="18"/>
    </row>
    <row r="695">
      <c r="A695" s="17"/>
      <c r="B695" s="7"/>
      <c r="C695" s="6"/>
      <c r="D695" s="18"/>
    </row>
    <row r="696">
      <c r="A696" s="17"/>
      <c r="B696" s="7"/>
      <c r="C696" s="6"/>
      <c r="D696" s="18"/>
    </row>
    <row r="697">
      <c r="A697" s="17"/>
      <c r="B697" s="7"/>
      <c r="C697" s="6"/>
      <c r="D697" s="18"/>
    </row>
    <row r="698">
      <c r="A698" s="17"/>
      <c r="B698" s="7"/>
      <c r="C698" s="6"/>
      <c r="D698" s="18"/>
    </row>
    <row r="699">
      <c r="A699" s="17"/>
      <c r="B699" s="7"/>
      <c r="C699" s="6"/>
      <c r="D699" s="18"/>
    </row>
    <row r="700">
      <c r="A700" s="17"/>
      <c r="B700" s="7"/>
      <c r="C700" s="6"/>
      <c r="D700" s="18"/>
    </row>
    <row r="701">
      <c r="A701" s="17"/>
      <c r="B701" s="7"/>
      <c r="C701" s="6"/>
      <c r="D701" s="18"/>
    </row>
    <row r="702">
      <c r="A702" s="17"/>
      <c r="B702" s="7"/>
      <c r="C702" s="6"/>
      <c r="D702" s="18"/>
    </row>
    <row r="703">
      <c r="A703" s="17"/>
      <c r="B703" s="7"/>
      <c r="C703" s="6"/>
      <c r="D703" s="18"/>
    </row>
    <row r="704">
      <c r="A704" s="17"/>
      <c r="B704" s="7"/>
      <c r="C704" s="6"/>
      <c r="D704" s="18"/>
    </row>
    <row r="705">
      <c r="A705" s="17"/>
      <c r="B705" s="7"/>
      <c r="C705" s="6"/>
      <c r="D705" s="18"/>
    </row>
    <row r="706">
      <c r="A706" s="17"/>
      <c r="B706" s="7"/>
      <c r="C706" s="6"/>
      <c r="D706" s="18"/>
    </row>
    <row r="707">
      <c r="A707" s="17"/>
      <c r="B707" s="7"/>
      <c r="C707" s="6"/>
      <c r="D707" s="18"/>
    </row>
    <row r="708">
      <c r="A708" s="17"/>
      <c r="B708" s="7"/>
      <c r="C708" s="6"/>
      <c r="D708" s="18"/>
    </row>
    <row r="709">
      <c r="A709" s="17"/>
      <c r="B709" s="7"/>
      <c r="C709" s="6"/>
      <c r="D709" s="18"/>
    </row>
    <row r="710">
      <c r="A710" s="17"/>
      <c r="B710" s="7"/>
      <c r="C710" s="6"/>
      <c r="D710" s="18"/>
    </row>
    <row r="711">
      <c r="A711" s="17"/>
      <c r="B711" s="7"/>
      <c r="C711" s="6"/>
      <c r="D711" s="18"/>
    </row>
    <row r="712">
      <c r="A712" s="17"/>
      <c r="B712" s="7"/>
      <c r="C712" s="6"/>
      <c r="D712" s="18"/>
    </row>
    <row r="713">
      <c r="A713" s="17"/>
      <c r="B713" s="7"/>
      <c r="C713" s="6"/>
      <c r="D713" s="18"/>
    </row>
    <row r="714">
      <c r="A714" s="17"/>
      <c r="B714" s="7"/>
      <c r="C714" s="6"/>
      <c r="D714" s="18"/>
    </row>
    <row r="715">
      <c r="A715" s="17"/>
      <c r="B715" s="7"/>
      <c r="C715" s="6"/>
      <c r="D715" s="18"/>
    </row>
    <row r="716">
      <c r="A716" s="17"/>
      <c r="B716" s="7"/>
      <c r="C716" s="6"/>
      <c r="D716" s="18"/>
    </row>
    <row r="717">
      <c r="A717" s="17"/>
      <c r="B717" s="7"/>
      <c r="C717" s="6"/>
      <c r="D717" s="18"/>
    </row>
    <row r="718">
      <c r="A718" s="17"/>
      <c r="B718" s="7"/>
      <c r="C718" s="6"/>
      <c r="D718" s="18"/>
    </row>
    <row r="719">
      <c r="A719" s="17"/>
      <c r="B719" s="7"/>
      <c r="C719" s="6"/>
      <c r="D719" s="18"/>
    </row>
    <row r="720">
      <c r="A720" s="17"/>
      <c r="B720" s="7"/>
      <c r="C720" s="6"/>
      <c r="D720" s="18"/>
    </row>
    <row r="721">
      <c r="A721" s="17"/>
      <c r="B721" s="7"/>
      <c r="C721" s="6"/>
      <c r="D721" s="18"/>
    </row>
    <row r="722">
      <c r="A722" s="17"/>
      <c r="B722" s="7"/>
      <c r="C722" s="6"/>
      <c r="D722" s="18"/>
    </row>
    <row r="723">
      <c r="A723" s="17"/>
      <c r="B723" s="7"/>
      <c r="C723" s="6"/>
      <c r="D723" s="18"/>
    </row>
    <row r="724">
      <c r="A724" s="17"/>
      <c r="B724" s="7"/>
      <c r="C724" s="6"/>
      <c r="D724" s="18"/>
    </row>
    <row r="725">
      <c r="A725" s="17"/>
      <c r="B725" s="7"/>
      <c r="C725" s="6"/>
      <c r="D725" s="18"/>
    </row>
    <row r="726">
      <c r="A726" s="17"/>
      <c r="B726" s="7"/>
      <c r="C726" s="6"/>
      <c r="D726" s="18"/>
    </row>
    <row r="727">
      <c r="A727" s="17"/>
      <c r="B727" s="7"/>
      <c r="C727" s="6"/>
      <c r="D727" s="18"/>
    </row>
    <row r="728">
      <c r="A728" s="17"/>
      <c r="B728" s="7"/>
      <c r="C728" s="6"/>
      <c r="D728" s="18"/>
    </row>
    <row r="729">
      <c r="A729" s="17"/>
      <c r="B729" s="7"/>
      <c r="C729" s="6"/>
      <c r="D729" s="18"/>
    </row>
    <row r="730">
      <c r="A730" s="17"/>
      <c r="B730" s="7"/>
      <c r="C730" s="6"/>
      <c r="D730" s="18"/>
    </row>
    <row r="731">
      <c r="A731" s="17"/>
      <c r="B731" s="7"/>
      <c r="C731" s="6"/>
      <c r="D731" s="18"/>
    </row>
    <row r="732">
      <c r="A732" s="17"/>
      <c r="B732" s="7"/>
      <c r="C732" s="6"/>
      <c r="D732" s="18"/>
    </row>
    <row r="733">
      <c r="A733" s="17"/>
      <c r="B733" s="7"/>
      <c r="C733" s="6"/>
      <c r="D733" s="18"/>
    </row>
    <row r="734">
      <c r="A734" s="17"/>
      <c r="B734" s="7"/>
      <c r="C734" s="6"/>
      <c r="D734" s="18"/>
    </row>
    <row r="735">
      <c r="A735" s="17"/>
      <c r="B735" s="7"/>
      <c r="C735" s="6"/>
      <c r="D735" s="18"/>
    </row>
    <row r="736">
      <c r="A736" s="17"/>
      <c r="B736" s="7"/>
      <c r="C736" s="6"/>
      <c r="D736" s="18"/>
    </row>
    <row r="737">
      <c r="A737" s="17"/>
      <c r="B737" s="7"/>
      <c r="C737" s="6"/>
      <c r="D737" s="18"/>
    </row>
    <row r="738">
      <c r="A738" s="17"/>
      <c r="B738" s="7"/>
      <c r="C738" s="6"/>
      <c r="D738" s="18"/>
    </row>
    <row r="739">
      <c r="A739" s="17"/>
      <c r="B739" s="7"/>
      <c r="C739" s="6"/>
      <c r="D739" s="18"/>
    </row>
    <row r="740">
      <c r="A740" s="17"/>
      <c r="B740" s="7"/>
      <c r="C740" s="6"/>
      <c r="D740" s="18"/>
    </row>
    <row r="741">
      <c r="A741" s="17"/>
      <c r="B741" s="7"/>
      <c r="C741" s="6"/>
      <c r="D741" s="18"/>
    </row>
    <row r="742">
      <c r="A742" s="17"/>
      <c r="B742" s="7"/>
      <c r="C742" s="6"/>
      <c r="D742" s="18"/>
    </row>
    <row r="743">
      <c r="A743" s="17"/>
      <c r="B743" s="7"/>
      <c r="C743" s="6"/>
      <c r="D743" s="18"/>
    </row>
    <row r="744">
      <c r="A744" s="17"/>
      <c r="B744" s="7"/>
      <c r="C744" s="6"/>
      <c r="D744" s="18"/>
    </row>
    <row r="745">
      <c r="A745" s="17"/>
      <c r="B745" s="7"/>
      <c r="C745" s="6"/>
      <c r="D745" s="18"/>
    </row>
    <row r="746">
      <c r="A746" s="17"/>
      <c r="B746" s="7"/>
      <c r="C746" s="6"/>
      <c r="D746" s="18"/>
    </row>
    <row r="747">
      <c r="A747" s="17"/>
      <c r="B747" s="7"/>
      <c r="C747" s="6"/>
      <c r="D747" s="18"/>
    </row>
    <row r="748">
      <c r="A748" s="17"/>
      <c r="B748" s="7"/>
      <c r="C748" s="6"/>
      <c r="D748" s="18"/>
    </row>
    <row r="749">
      <c r="A749" s="17"/>
      <c r="B749" s="7"/>
      <c r="C749" s="6"/>
      <c r="D749" s="18"/>
    </row>
    <row r="750">
      <c r="A750" s="17"/>
      <c r="B750" s="7"/>
      <c r="C750" s="6"/>
      <c r="D750" s="18"/>
    </row>
    <row r="751">
      <c r="A751" s="17"/>
      <c r="B751" s="7"/>
      <c r="C751" s="6"/>
      <c r="D751" s="18"/>
    </row>
    <row r="752">
      <c r="A752" s="17"/>
      <c r="B752" s="7"/>
      <c r="C752" s="6"/>
      <c r="D752" s="18"/>
    </row>
    <row r="753">
      <c r="A753" s="17"/>
      <c r="B753" s="7"/>
      <c r="C753" s="6"/>
      <c r="D753" s="18"/>
    </row>
    <row r="754">
      <c r="A754" s="17"/>
      <c r="B754" s="7"/>
      <c r="C754" s="6"/>
      <c r="D754" s="18"/>
    </row>
    <row r="755">
      <c r="A755" s="17"/>
      <c r="B755" s="7"/>
      <c r="C755" s="6"/>
      <c r="D755" s="18"/>
    </row>
    <row r="756">
      <c r="A756" s="17"/>
      <c r="B756" s="7"/>
      <c r="C756" s="6"/>
      <c r="D756" s="18"/>
    </row>
    <row r="757">
      <c r="A757" s="17"/>
      <c r="B757" s="7"/>
      <c r="C757" s="6"/>
      <c r="D757" s="18"/>
    </row>
    <row r="758">
      <c r="A758" s="17"/>
      <c r="B758" s="7"/>
      <c r="C758" s="6"/>
      <c r="D758" s="18"/>
    </row>
    <row r="759">
      <c r="A759" s="17"/>
      <c r="B759" s="7"/>
      <c r="C759" s="6"/>
      <c r="D759" s="18"/>
    </row>
    <row r="760">
      <c r="A760" s="17"/>
      <c r="B760" s="7"/>
      <c r="C760" s="6"/>
      <c r="D760" s="18"/>
    </row>
    <row r="761">
      <c r="A761" s="17"/>
      <c r="B761" s="7"/>
      <c r="C761" s="6"/>
      <c r="D761" s="18"/>
    </row>
    <row r="762">
      <c r="A762" s="17"/>
      <c r="B762" s="7"/>
      <c r="C762" s="6"/>
      <c r="D762" s="18"/>
    </row>
    <row r="763">
      <c r="A763" s="17"/>
      <c r="B763" s="7"/>
      <c r="C763" s="6"/>
      <c r="D763" s="18"/>
    </row>
    <row r="764">
      <c r="A764" s="17"/>
      <c r="B764" s="7"/>
      <c r="C764" s="6"/>
      <c r="D764" s="18"/>
    </row>
    <row r="765">
      <c r="A765" s="17"/>
      <c r="B765" s="7"/>
      <c r="C765" s="6"/>
      <c r="D765" s="18"/>
    </row>
    <row r="766">
      <c r="A766" s="17"/>
      <c r="B766" s="7"/>
      <c r="C766" s="6"/>
      <c r="D766" s="18"/>
    </row>
    <row r="767">
      <c r="A767" s="17"/>
      <c r="B767" s="7"/>
      <c r="C767" s="6"/>
      <c r="D767" s="18"/>
    </row>
    <row r="768">
      <c r="A768" s="17"/>
      <c r="B768" s="7"/>
      <c r="C768" s="6"/>
      <c r="D768" s="18"/>
    </row>
    <row r="769">
      <c r="A769" s="17"/>
      <c r="B769" s="7"/>
      <c r="C769" s="6"/>
      <c r="D769" s="18"/>
    </row>
    <row r="770">
      <c r="A770" s="17"/>
      <c r="B770" s="7"/>
      <c r="C770" s="6"/>
      <c r="D770" s="18"/>
    </row>
    <row r="771">
      <c r="A771" s="17"/>
      <c r="B771" s="7"/>
      <c r="C771" s="6"/>
      <c r="D771" s="18"/>
    </row>
    <row r="772">
      <c r="A772" s="17"/>
      <c r="B772" s="7"/>
      <c r="C772" s="6"/>
      <c r="D772" s="18"/>
    </row>
    <row r="773">
      <c r="A773" s="17"/>
      <c r="B773" s="7"/>
      <c r="C773" s="6"/>
      <c r="D773" s="18"/>
    </row>
    <row r="774">
      <c r="A774" s="17"/>
      <c r="B774" s="7"/>
      <c r="C774" s="6"/>
      <c r="D774" s="18"/>
    </row>
    <row r="775">
      <c r="A775" s="17"/>
      <c r="B775" s="7"/>
      <c r="C775" s="6"/>
      <c r="D775" s="18"/>
    </row>
    <row r="776">
      <c r="A776" s="17"/>
      <c r="B776" s="7"/>
      <c r="C776" s="6"/>
      <c r="D776" s="18"/>
    </row>
    <row r="777">
      <c r="A777" s="17"/>
      <c r="B777" s="7"/>
      <c r="C777" s="6"/>
      <c r="D777" s="18"/>
    </row>
    <row r="778">
      <c r="A778" s="17"/>
      <c r="B778" s="7"/>
      <c r="C778" s="6"/>
      <c r="D778" s="18"/>
    </row>
    <row r="779">
      <c r="A779" s="17"/>
      <c r="B779" s="7"/>
      <c r="C779" s="6"/>
      <c r="D779" s="18"/>
    </row>
    <row r="780">
      <c r="A780" s="17"/>
      <c r="B780" s="7"/>
      <c r="C780" s="6"/>
      <c r="D780" s="18"/>
    </row>
    <row r="781">
      <c r="A781" s="17"/>
      <c r="B781" s="7"/>
      <c r="C781" s="6"/>
      <c r="D781" s="18"/>
    </row>
    <row r="782">
      <c r="A782" s="17"/>
      <c r="B782" s="7"/>
      <c r="C782" s="6"/>
      <c r="D782" s="18"/>
    </row>
    <row r="783">
      <c r="A783" s="17"/>
      <c r="B783" s="7"/>
      <c r="C783" s="6"/>
      <c r="D783" s="18"/>
    </row>
    <row r="784">
      <c r="A784" s="17"/>
      <c r="B784" s="7"/>
      <c r="C784" s="6"/>
      <c r="D784" s="18"/>
    </row>
    <row r="785">
      <c r="A785" s="17"/>
      <c r="B785" s="7"/>
      <c r="C785" s="6"/>
      <c r="D785" s="18"/>
    </row>
    <row r="786">
      <c r="A786" s="17"/>
      <c r="B786" s="7"/>
      <c r="C786" s="6"/>
      <c r="D786" s="18"/>
    </row>
    <row r="787">
      <c r="A787" s="17"/>
      <c r="B787" s="7"/>
      <c r="C787" s="6"/>
      <c r="D787" s="18"/>
    </row>
    <row r="788">
      <c r="A788" s="17"/>
      <c r="B788" s="7"/>
      <c r="C788" s="6"/>
      <c r="D788" s="18"/>
    </row>
    <row r="789">
      <c r="A789" s="17"/>
      <c r="B789" s="7"/>
      <c r="C789" s="6"/>
      <c r="D789" s="18"/>
    </row>
    <row r="790">
      <c r="A790" s="17"/>
      <c r="B790" s="7"/>
      <c r="C790" s="6"/>
      <c r="D790" s="18"/>
    </row>
    <row r="791">
      <c r="A791" s="17"/>
      <c r="B791" s="7"/>
      <c r="C791" s="6"/>
      <c r="D791" s="18"/>
    </row>
    <row r="792">
      <c r="A792" s="17"/>
      <c r="B792" s="7"/>
      <c r="C792" s="6"/>
      <c r="D792" s="18"/>
    </row>
    <row r="793">
      <c r="A793" s="17"/>
      <c r="B793" s="7"/>
      <c r="C793" s="6"/>
      <c r="D793" s="18"/>
    </row>
    <row r="794">
      <c r="A794" s="17"/>
      <c r="B794" s="7"/>
      <c r="C794" s="6"/>
      <c r="D794" s="18"/>
    </row>
    <row r="795">
      <c r="A795" s="17"/>
      <c r="B795" s="7"/>
      <c r="C795" s="6"/>
      <c r="D795" s="18"/>
    </row>
    <row r="796">
      <c r="A796" s="17"/>
      <c r="B796" s="7"/>
      <c r="C796" s="6"/>
      <c r="D796" s="18"/>
    </row>
    <row r="797">
      <c r="A797" s="17"/>
      <c r="B797" s="7"/>
      <c r="C797" s="6"/>
      <c r="D797" s="18"/>
    </row>
    <row r="798">
      <c r="A798" s="17"/>
      <c r="B798" s="7"/>
      <c r="C798" s="6"/>
      <c r="D798" s="18"/>
    </row>
    <row r="799">
      <c r="A799" s="17"/>
      <c r="B799" s="7"/>
      <c r="C799" s="6"/>
      <c r="D799" s="18"/>
    </row>
    <row r="800">
      <c r="A800" s="17"/>
      <c r="B800" s="7"/>
      <c r="C800" s="6"/>
      <c r="D800" s="18"/>
    </row>
    <row r="801">
      <c r="A801" s="17"/>
      <c r="B801" s="7"/>
      <c r="C801" s="6"/>
      <c r="D801" s="18"/>
    </row>
    <row r="802">
      <c r="A802" s="17"/>
      <c r="B802" s="7"/>
      <c r="C802" s="6"/>
      <c r="D802" s="18"/>
    </row>
    <row r="803">
      <c r="A803" s="17"/>
      <c r="B803" s="7"/>
      <c r="C803" s="6"/>
      <c r="D803" s="18"/>
    </row>
    <row r="804">
      <c r="A804" s="17"/>
      <c r="B804" s="7"/>
      <c r="C804" s="6"/>
      <c r="D804" s="18"/>
    </row>
    <row r="805">
      <c r="A805" s="17"/>
      <c r="B805" s="7"/>
      <c r="C805" s="6"/>
      <c r="D805" s="18"/>
    </row>
    <row r="806">
      <c r="A806" s="17"/>
      <c r="B806" s="7"/>
      <c r="C806" s="6"/>
      <c r="D806" s="18"/>
    </row>
    <row r="807">
      <c r="A807" s="17"/>
      <c r="B807" s="7"/>
      <c r="C807" s="6"/>
      <c r="D807" s="18"/>
    </row>
    <row r="808">
      <c r="A808" s="17"/>
      <c r="B808" s="7"/>
      <c r="C808" s="6"/>
      <c r="D808" s="18"/>
    </row>
    <row r="809">
      <c r="A809" s="17"/>
      <c r="B809" s="7"/>
      <c r="C809" s="6"/>
      <c r="D809" s="18"/>
    </row>
    <row r="810">
      <c r="A810" s="17"/>
      <c r="B810" s="7"/>
      <c r="C810" s="6"/>
      <c r="D810" s="18"/>
    </row>
    <row r="811">
      <c r="A811" s="17"/>
      <c r="B811" s="7"/>
      <c r="C811" s="6"/>
      <c r="D811" s="18"/>
    </row>
    <row r="812">
      <c r="A812" s="17"/>
      <c r="B812" s="7"/>
      <c r="C812" s="6"/>
      <c r="D812" s="18"/>
    </row>
    <row r="813">
      <c r="A813" s="17"/>
      <c r="B813" s="7"/>
      <c r="C813" s="6"/>
      <c r="D813" s="18"/>
    </row>
    <row r="814">
      <c r="A814" s="17"/>
      <c r="B814" s="7"/>
      <c r="C814" s="6"/>
      <c r="D814" s="18"/>
    </row>
    <row r="815">
      <c r="A815" s="17"/>
      <c r="B815" s="7"/>
      <c r="C815" s="6"/>
      <c r="D815" s="18"/>
    </row>
    <row r="816">
      <c r="A816" s="17"/>
      <c r="B816" s="7"/>
      <c r="C816" s="6"/>
      <c r="D816" s="18"/>
    </row>
    <row r="817">
      <c r="A817" s="17"/>
      <c r="B817" s="7"/>
      <c r="C817" s="6"/>
      <c r="D817" s="18"/>
    </row>
    <row r="818">
      <c r="A818" s="17"/>
      <c r="B818" s="7"/>
      <c r="C818" s="6"/>
      <c r="D818" s="18"/>
    </row>
    <row r="819">
      <c r="A819" s="17"/>
      <c r="B819" s="7"/>
      <c r="C819" s="6"/>
      <c r="D819" s="18"/>
    </row>
    <row r="820">
      <c r="A820" s="17"/>
      <c r="B820" s="7"/>
      <c r="C820" s="6"/>
      <c r="D820" s="18"/>
    </row>
    <row r="821">
      <c r="A821" s="17"/>
      <c r="B821" s="7"/>
      <c r="C821" s="6"/>
      <c r="D821" s="18"/>
    </row>
    <row r="822">
      <c r="A822" s="17"/>
      <c r="B822" s="7"/>
      <c r="C822" s="6"/>
      <c r="D822" s="18"/>
    </row>
    <row r="823">
      <c r="A823" s="17"/>
      <c r="B823" s="7"/>
      <c r="C823" s="6"/>
      <c r="D823" s="18"/>
    </row>
    <row r="824">
      <c r="A824" s="17"/>
      <c r="B824" s="7"/>
      <c r="C824" s="6"/>
      <c r="D824" s="18"/>
    </row>
    <row r="825">
      <c r="A825" s="17"/>
      <c r="B825" s="7"/>
      <c r="C825" s="6"/>
      <c r="D825" s="18"/>
    </row>
    <row r="826">
      <c r="A826" s="17"/>
      <c r="B826" s="7"/>
      <c r="C826" s="6"/>
      <c r="D826" s="18"/>
    </row>
    <row r="827">
      <c r="A827" s="17"/>
      <c r="B827" s="7"/>
      <c r="C827" s="6"/>
      <c r="D827" s="18"/>
    </row>
    <row r="828">
      <c r="A828" s="17"/>
      <c r="B828" s="7"/>
      <c r="C828" s="6"/>
      <c r="D828" s="18"/>
    </row>
    <row r="829">
      <c r="A829" s="17"/>
      <c r="B829" s="7"/>
      <c r="C829" s="6"/>
      <c r="D829" s="18"/>
    </row>
    <row r="830">
      <c r="A830" s="17"/>
      <c r="B830" s="7"/>
      <c r="C830" s="6"/>
      <c r="D830" s="18"/>
    </row>
    <row r="831">
      <c r="A831" s="17"/>
      <c r="B831" s="7"/>
      <c r="C831" s="6"/>
      <c r="D831" s="18"/>
    </row>
    <row r="832">
      <c r="A832" s="17"/>
      <c r="B832" s="7"/>
      <c r="C832" s="6"/>
      <c r="D832" s="18"/>
    </row>
    <row r="833">
      <c r="A833" s="17"/>
      <c r="B833" s="7"/>
      <c r="C833" s="6"/>
      <c r="D833" s="18"/>
    </row>
    <row r="834">
      <c r="A834" s="17"/>
      <c r="B834" s="7"/>
      <c r="C834" s="6"/>
      <c r="D834" s="18"/>
    </row>
    <row r="835">
      <c r="A835" s="17"/>
      <c r="B835" s="7"/>
      <c r="C835" s="6"/>
      <c r="D835" s="18"/>
    </row>
    <row r="836">
      <c r="A836" s="17"/>
      <c r="B836" s="7"/>
      <c r="C836" s="6"/>
      <c r="D836" s="18"/>
    </row>
    <row r="837">
      <c r="A837" s="17"/>
      <c r="B837" s="7"/>
      <c r="C837" s="6"/>
      <c r="D837" s="18"/>
    </row>
    <row r="838">
      <c r="A838" s="17"/>
      <c r="B838" s="7"/>
      <c r="C838" s="6"/>
      <c r="D838" s="18"/>
    </row>
    <row r="839">
      <c r="A839" s="17"/>
      <c r="B839" s="7"/>
      <c r="C839" s="6"/>
      <c r="D839" s="18"/>
    </row>
    <row r="840">
      <c r="A840" s="17"/>
      <c r="B840" s="7"/>
      <c r="C840" s="6"/>
      <c r="D840" s="18"/>
    </row>
    <row r="841">
      <c r="A841" s="17"/>
      <c r="B841" s="7"/>
      <c r="C841" s="6"/>
      <c r="D841" s="18"/>
    </row>
    <row r="842">
      <c r="A842" s="17"/>
      <c r="B842" s="7"/>
      <c r="C842" s="6"/>
      <c r="D842" s="18"/>
    </row>
    <row r="843">
      <c r="A843" s="17"/>
      <c r="B843" s="7"/>
      <c r="C843" s="6"/>
      <c r="D843" s="18"/>
    </row>
    <row r="844">
      <c r="A844" s="17"/>
      <c r="B844" s="7"/>
      <c r="C844" s="6"/>
      <c r="D844" s="18"/>
    </row>
    <row r="845">
      <c r="A845" s="17"/>
      <c r="B845" s="7"/>
      <c r="C845" s="6"/>
      <c r="D845" s="18"/>
    </row>
    <row r="846">
      <c r="A846" s="17"/>
      <c r="B846" s="7"/>
      <c r="C846" s="6"/>
      <c r="D846" s="18"/>
    </row>
    <row r="847">
      <c r="A847" s="17"/>
      <c r="B847" s="7"/>
      <c r="C847" s="6"/>
      <c r="D847" s="18"/>
    </row>
    <row r="848">
      <c r="A848" s="17"/>
      <c r="B848" s="7"/>
      <c r="C848" s="6"/>
      <c r="D848" s="18"/>
    </row>
    <row r="849">
      <c r="A849" s="17"/>
      <c r="B849" s="7"/>
      <c r="C849" s="6"/>
      <c r="D849" s="18"/>
    </row>
    <row r="850">
      <c r="A850" s="17"/>
      <c r="B850" s="7"/>
      <c r="C850" s="6"/>
      <c r="D850" s="18"/>
    </row>
    <row r="851">
      <c r="A851" s="17"/>
      <c r="B851" s="7"/>
      <c r="C851" s="6"/>
      <c r="D851" s="18"/>
    </row>
    <row r="852">
      <c r="A852" s="17"/>
      <c r="B852" s="7"/>
      <c r="C852" s="6"/>
      <c r="D852" s="18"/>
    </row>
    <row r="853">
      <c r="A853" s="17"/>
      <c r="B853" s="7"/>
      <c r="C853" s="6"/>
      <c r="D853" s="18"/>
    </row>
    <row r="854">
      <c r="A854" s="17"/>
      <c r="B854" s="7"/>
      <c r="C854" s="6"/>
      <c r="D854" s="18"/>
    </row>
    <row r="855">
      <c r="A855" s="17"/>
      <c r="B855" s="7"/>
      <c r="C855" s="6"/>
      <c r="D855" s="18"/>
    </row>
    <row r="856">
      <c r="A856" s="17"/>
      <c r="B856" s="7"/>
      <c r="C856" s="6"/>
      <c r="D856" s="18"/>
    </row>
    <row r="857">
      <c r="A857" s="17"/>
      <c r="B857" s="7"/>
      <c r="C857" s="6"/>
      <c r="D857" s="18"/>
    </row>
    <row r="858">
      <c r="A858" s="17"/>
      <c r="B858" s="7"/>
      <c r="C858" s="6"/>
      <c r="D858" s="18"/>
    </row>
    <row r="859">
      <c r="A859" s="17"/>
      <c r="B859" s="7"/>
      <c r="C859" s="6"/>
      <c r="D859" s="18"/>
    </row>
    <row r="860">
      <c r="A860" s="17"/>
      <c r="B860" s="7"/>
      <c r="C860" s="6"/>
      <c r="D860" s="18"/>
    </row>
    <row r="861">
      <c r="A861" s="17"/>
      <c r="B861" s="7"/>
      <c r="C861" s="6"/>
      <c r="D861" s="18"/>
    </row>
    <row r="862">
      <c r="A862" s="17"/>
      <c r="B862" s="7"/>
      <c r="C862" s="6"/>
      <c r="D862" s="18"/>
    </row>
    <row r="863">
      <c r="A863" s="17"/>
      <c r="B863" s="7"/>
      <c r="C863" s="6"/>
      <c r="D863" s="18"/>
    </row>
    <row r="864">
      <c r="A864" s="17"/>
      <c r="B864" s="7"/>
      <c r="C864" s="6"/>
      <c r="D864" s="18"/>
    </row>
    <row r="865">
      <c r="A865" s="17"/>
      <c r="B865" s="7"/>
      <c r="C865" s="6"/>
      <c r="D865" s="18"/>
    </row>
    <row r="866">
      <c r="A866" s="17"/>
      <c r="B866" s="7"/>
      <c r="C866" s="6"/>
      <c r="D866" s="18"/>
    </row>
    <row r="867">
      <c r="A867" s="17"/>
      <c r="B867" s="7"/>
      <c r="C867" s="6"/>
      <c r="D867" s="18"/>
    </row>
    <row r="868">
      <c r="A868" s="17"/>
      <c r="B868" s="7"/>
      <c r="C868" s="6"/>
      <c r="D868" s="18"/>
    </row>
    <row r="869">
      <c r="A869" s="17"/>
      <c r="B869" s="7"/>
      <c r="C869" s="6"/>
      <c r="D869" s="18"/>
    </row>
    <row r="870">
      <c r="A870" s="17"/>
      <c r="B870" s="7"/>
      <c r="C870" s="6"/>
      <c r="D870" s="18"/>
    </row>
    <row r="871">
      <c r="A871" s="17"/>
      <c r="B871" s="7"/>
      <c r="C871" s="6"/>
      <c r="D871" s="18"/>
    </row>
    <row r="872">
      <c r="A872" s="17"/>
      <c r="B872" s="7"/>
      <c r="C872" s="6"/>
      <c r="D872" s="18"/>
    </row>
    <row r="873">
      <c r="A873" s="17"/>
      <c r="B873" s="7"/>
      <c r="C873" s="6"/>
      <c r="D873" s="18"/>
    </row>
    <row r="874">
      <c r="A874" s="17"/>
      <c r="B874" s="7"/>
      <c r="C874" s="6"/>
      <c r="D874" s="18"/>
    </row>
    <row r="875">
      <c r="A875" s="17"/>
      <c r="B875" s="7"/>
      <c r="C875" s="6"/>
      <c r="D875" s="18"/>
    </row>
    <row r="876">
      <c r="A876" s="17"/>
      <c r="B876" s="7"/>
      <c r="C876" s="6"/>
      <c r="D876" s="18"/>
    </row>
    <row r="877">
      <c r="A877" s="17"/>
      <c r="B877" s="7"/>
      <c r="C877" s="6"/>
      <c r="D877" s="18"/>
    </row>
    <row r="878">
      <c r="A878" s="17"/>
      <c r="B878" s="7"/>
      <c r="C878" s="6"/>
      <c r="D878" s="18"/>
    </row>
    <row r="879">
      <c r="A879" s="17"/>
      <c r="B879" s="7"/>
      <c r="C879" s="6"/>
      <c r="D879" s="18"/>
    </row>
    <row r="880">
      <c r="A880" s="17"/>
      <c r="B880" s="7"/>
      <c r="C880" s="6"/>
      <c r="D880" s="18"/>
    </row>
    <row r="881">
      <c r="A881" s="17"/>
      <c r="B881" s="7"/>
      <c r="C881" s="6"/>
      <c r="D881" s="18"/>
    </row>
    <row r="882">
      <c r="A882" s="17"/>
      <c r="B882" s="7"/>
      <c r="C882" s="6"/>
      <c r="D882" s="18"/>
    </row>
    <row r="883">
      <c r="A883" s="17"/>
      <c r="B883" s="7"/>
      <c r="C883" s="6"/>
      <c r="D883" s="18"/>
    </row>
    <row r="884">
      <c r="A884" s="17"/>
      <c r="B884" s="7"/>
      <c r="C884" s="6"/>
      <c r="D884" s="18"/>
    </row>
    <row r="885">
      <c r="A885" s="17"/>
      <c r="B885" s="7"/>
      <c r="C885" s="6"/>
      <c r="D885" s="18"/>
    </row>
    <row r="886">
      <c r="A886" s="17"/>
      <c r="B886" s="7"/>
      <c r="C886" s="6"/>
      <c r="D886" s="18"/>
    </row>
    <row r="887">
      <c r="A887" s="17"/>
      <c r="B887" s="7"/>
      <c r="C887" s="6"/>
      <c r="D887" s="18"/>
    </row>
    <row r="888">
      <c r="A888" s="17"/>
      <c r="B888" s="7"/>
      <c r="C888" s="6"/>
      <c r="D888" s="18"/>
    </row>
    <row r="889">
      <c r="A889" s="17"/>
      <c r="B889" s="7"/>
      <c r="C889" s="6"/>
      <c r="D889" s="18"/>
    </row>
    <row r="890">
      <c r="A890" s="17"/>
      <c r="B890" s="7"/>
      <c r="C890" s="6"/>
      <c r="D890" s="18"/>
    </row>
    <row r="891">
      <c r="A891" s="17"/>
      <c r="B891" s="7"/>
      <c r="C891" s="6"/>
      <c r="D891" s="18"/>
    </row>
    <row r="892">
      <c r="A892" s="17"/>
      <c r="B892" s="7"/>
      <c r="C892" s="6"/>
      <c r="D892" s="18"/>
    </row>
    <row r="893">
      <c r="A893" s="17"/>
      <c r="B893" s="7"/>
      <c r="C893" s="6"/>
      <c r="D893" s="18"/>
    </row>
    <row r="894">
      <c r="A894" s="17"/>
      <c r="B894" s="7"/>
      <c r="C894" s="6"/>
      <c r="D894" s="18"/>
    </row>
    <row r="895">
      <c r="A895" s="17"/>
      <c r="B895" s="7"/>
      <c r="C895" s="6"/>
      <c r="D895" s="18"/>
    </row>
    <row r="896">
      <c r="A896" s="17"/>
      <c r="B896" s="7"/>
      <c r="C896" s="6"/>
      <c r="D896" s="18"/>
    </row>
    <row r="897">
      <c r="A897" s="17"/>
      <c r="B897" s="7"/>
      <c r="C897" s="6"/>
      <c r="D897" s="18"/>
    </row>
    <row r="898">
      <c r="A898" s="17"/>
      <c r="B898" s="7"/>
      <c r="C898" s="6"/>
      <c r="D898" s="18"/>
    </row>
    <row r="899">
      <c r="A899" s="17"/>
      <c r="B899" s="7"/>
      <c r="C899" s="6"/>
      <c r="D899" s="18"/>
    </row>
    <row r="900">
      <c r="A900" s="17"/>
      <c r="B900" s="7"/>
      <c r="C900" s="6"/>
      <c r="D900" s="18"/>
    </row>
    <row r="901">
      <c r="A901" s="17"/>
      <c r="B901" s="7"/>
      <c r="C901" s="6"/>
      <c r="D901" s="18"/>
    </row>
    <row r="902">
      <c r="A902" s="17"/>
      <c r="B902" s="7"/>
      <c r="C902" s="6"/>
      <c r="D902" s="18"/>
    </row>
    <row r="903">
      <c r="A903" s="17"/>
      <c r="B903" s="7"/>
      <c r="C903" s="6"/>
      <c r="D903" s="18"/>
    </row>
    <row r="904">
      <c r="A904" s="17"/>
      <c r="B904" s="7"/>
      <c r="C904" s="6"/>
      <c r="D904" s="18"/>
    </row>
    <row r="905">
      <c r="A905" s="17"/>
      <c r="B905" s="7"/>
      <c r="C905" s="6"/>
      <c r="D905" s="18"/>
    </row>
    <row r="906">
      <c r="A906" s="17"/>
      <c r="B906" s="7"/>
      <c r="C906" s="6"/>
      <c r="D906" s="18"/>
    </row>
    <row r="907">
      <c r="A907" s="17"/>
      <c r="B907" s="7"/>
      <c r="C907" s="6"/>
      <c r="D907" s="18"/>
    </row>
    <row r="908">
      <c r="A908" s="17"/>
      <c r="B908" s="7"/>
      <c r="C908" s="6"/>
      <c r="D908" s="18"/>
    </row>
    <row r="909">
      <c r="A909" s="17"/>
      <c r="B909" s="7"/>
      <c r="C909" s="6"/>
      <c r="D909" s="18"/>
    </row>
    <row r="910">
      <c r="A910" s="17"/>
      <c r="B910" s="7"/>
      <c r="C910" s="6"/>
      <c r="D910" s="18"/>
    </row>
    <row r="911">
      <c r="A911" s="17"/>
      <c r="B911" s="7"/>
      <c r="C911" s="6"/>
      <c r="D911" s="18"/>
    </row>
    <row r="912">
      <c r="A912" s="17"/>
      <c r="B912" s="7"/>
      <c r="C912" s="6"/>
      <c r="D912" s="18"/>
    </row>
    <row r="913">
      <c r="A913" s="17"/>
      <c r="B913" s="7"/>
      <c r="C913" s="6"/>
      <c r="D913" s="18"/>
    </row>
    <row r="914">
      <c r="A914" s="17"/>
      <c r="B914" s="7"/>
      <c r="C914" s="6"/>
      <c r="D914" s="18"/>
    </row>
    <row r="915">
      <c r="A915" s="17"/>
      <c r="B915" s="7"/>
      <c r="C915" s="6"/>
      <c r="D915" s="18"/>
    </row>
    <row r="916">
      <c r="A916" s="17"/>
      <c r="B916" s="7"/>
      <c r="C916" s="6"/>
      <c r="D916" s="18"/>
    </row>
    <row r="917">
      <c r="A917" s="17"/>
      <c r="B917" s="7"/>
      <c r="C917" s="6"/>
      <c r="D917" s="18"/>
    </row>
    <row r="918">
      <c r="A918" s="17"/>
      <c r="B918" s="7"/>
      <c r="C918" s="6"/>
      <c r="D918" s="18"/>
    </row>
    <row r="919">
      <c r="A919" s="17"/>
      <c r="B919" s="7"/>
      <c r="C919" s="6"/>
      <c r="D919" s="18"/>
    </row>
    <row r="920">
      <c r="A920" s="17"/>
      <c r="B920" s="7"/>
      <c r="C920" s="6"/>
      <c r="D920" s="18"/>
    </row>
    <row r="921">
      <c r="A921" s="17"/>
      <c r="B921" s="7"/>
      <c r="C921" s="6"/>
      <c r="D921" s="18"/>
    </row>
    <row r="922">
      <c r="A922" s="17"/>
      <c r="B922" s="7"/>
      <c r="C922" s="6"/>
      <c r="D922" s="18"/>
    </row>
    <row r="923">
      <c r="A923" s="17"/>
      <c r="B923" s="7"/>
      <c r="C923" s="6"/>
      <c r="D923" s="18"/>
    </row>
    <row r="924">
      <c r="A924" s="17"/>
      <c r="B924" s="7"/>
      <c r="C924" s="6"/>
      <c r="D924" s="18"/>
    </row>
    <row r="925">
      <c r="A925" s="17"/>
      <c r="B925" s="7"/>
      <c r="C925" s="6"/>
      <c r="D925" s="18"/>
    </row>
    <row r="926">
      <c r="A926" s="17"/>
      <c r="B926" s="7"/>
      <c r="C926" s="6"/>
      <c r="D926" s="18"/>
    </row>
    <row r="927">
      <c r="A927" s="17"/>
      <c r="B927" s="7"/>
      <c r="C927" s="6"/>
      <c r="D927" s="18"/>
    </row>
    <row r="928">
      <c r="A928" s="17"/>
      <c r="B928" s="7"/>
      <c r="C928" s="6"/>
      <c r="D928" s="18"/>
    </row>
    <row r="929">
      <c r="A929" s="17"/>
      <c r="B929" s="7"/>
      <c r="C929" s="6"/>
      <c r="D929" s="18"/>
    </row>
    <row r="930">
      <c r="A930" s="17"/>
      <c r="B930" s="7"/>
      <c r="C930" s="6"/>
      <c r="D930" s="18"/>
    </row>
    <row r="931">
      <c r="A931" s="17"/>
      <c r="B931" s="7"/>
      <c r="C931" s="6"/>
      <c r="D931" s="18"/>
    </row>
    <row r="932">
      <c r="A932" s="17"/>
      <c r="B932" s="7"/>
      <c r="C932" s="6"/>
      <c r="D932" s="18"/>
    </row>
    <row r="933">
      <c r="A933" s="17"/>
      <c r="B933" s="7"/>
      <c r="C933" s="6"/>
      <c r="D933" s="18"/>
    </row>
    <row r="934">
      <c r="A934" s="17"/>
      <c r="B934" s="7"/>
      <c r="C934" s="6"/>
      <c r="D934" s="18"/>
    </row>
    <row r="935">
      <c r="A935" s="17"/>
      <c r="B935" s="7"/>
      <c r="C935" s="6"/>
      <c r="D935" s="18"/>
    </row>
    <row r="936">
      <c r="A936" s="17"/>
      <c r="B936" s="7"/>
      <c r="C936" s="6"/>
      <c r="D936" s="18"/>
    </row>
    <row r="937">
      <c r="A937" s="17"/>
      <c r="B937" s="7"/>
      <c r="C937" s="6"/>
      <c r="D937" s="18"/>
    </row>
    <row r="938">
      <c r="A938" s="17"/>
      <c r="B938" s="7"/>
      <c r="C938" s="6"/>
      <c r="D938" s="18"/>
    </row>
    <row r="939">
      <c r="A939" s="17"/>
      <c r="B939" s="7"/>
      <c r="C939" s="6"/>
      <c r="D939" s="18"/>
    </row>
    <row r="940">
      <c r="A940" s="17"/>
      <c r="B940" s="7"/>
      <c r="C940" s="6"/>
      <c r="D940" s="18"/>
    </row>
    <row r="941">
      <c r="A941" s="17"/>
      <c r="B941" s="7"/>
      <c r="C941" s="6"/>
      <c r="D941" s="18"/>
    </row>
    <row r="942">
      <c r="A942" s="17"/>
      <c r="B942" s="7"/>
      <c r="C942" s="6"/>
      <c r="D942" s="18"/>
    </row>
    <row r="943">
      <c r="A943" s="17"/>
      <c r="B943" s="7"/>
      <c r="C943" s="6"/>
      <c r="D943" s="18"/>
    </row>
    <row r="944">
      <c r="A944" s="17"/>
      <c r="B944" s="7"/>
      <c r="C944" s="6"/>
      <c r="D944" s="18"/>
    </row>
    <row r="945">
      <c r="A945" s="17"/>
      <c r="B945" s="7"/>
      <c r="C945" s="6"/>
      <c r="D945" s="18"/>
    </row>
    <row r="946">
      <c r="A946" s="17"/>
      <c r="B946" s="7"/>
      <c r="C946" s="6"/>
      <c r="D946" s="18"/>
    </row>
    <row r="947">
      <c r="A947" s="17"/>
      <c r="B947" s="7"/>
      <c r="C947" s="6"/>
      <c r="D947" s="18"/>
    </row>
    <row r="948">
      <c r="A948" s="17"/>
      <c r="B948" s="7"/>
      <c r="C948" s="6"/>
      <c r="D948" s="18"/>
    </row>
    <row r="949">
      <c r="A949" s="17"/>
      <c r="B949" s="7"/>
      <c r="C949" s="6"/>
      <c r="D949" s="18"/>
    </row>
    <row r="950">
      <c r="A950" s="17"/>
      <c r="B950" s="7"/>
      <c r="C950" s="6"/>
      <c r="D950" s="18"/>
    </row>
    <row r="951">
      <c r="A951" s="17"/>
      <c r="B951" s="7"/>
      <c r="C951" s="6"/>
      <c r="D951" s="18"/>
    </row>
    <row r="952">
      <c r="A952" s="17"/>
      <c r="B952" s="7"/>
      <c r="C952" s="6"/>
      <c r="D952" s="18"/>
    </row>
    <row r="953">
      <c r="A953" s="17"/>
      <c r="B953" s="7"/>
      <c r="C953" s="6"/>
      <c r="D953" s="18"/>
    </row>
    <row r="954">
      <c r="A954" s="17"/>
      <c r="B954" s="7"/>
      <c r="C954" s="6"/>
      <c r="D954" s="18"/>
    </row>
    <row r="955">
      <c r="A955" s="17"/>
      <c r="B955" s="7"/>
      <c r="C955" s="6"/>
      <c r="D955" s="18"/>
    </row>
    <row r="956">
      <c r="A956" s="17"/>
      <c r="B956" s="7"/>
      <c r="C956" s="6"/>
      <c r="D956" s="18"/>
    </row>
    <row r="957">
      <c r="A957" s="17"/>
      <c r="B957" s="7"/>
      <c r="C957" s="6"/>
      <c r="D957" s="18"/>
    </row>
    <row r="958">
      <c r="A958" s="17"/>
      <c r="B958" s="7"/>
      <c r="C958" s="6"/>
      <c r="D958" s="18"/>
    </row>
    <row r="959">
      <c r="A959" s="17"/>
      <c r="B959" s="7"/>
      <c r="C959" s="6"/>
      <c r="D959" s="18"/>
    </row>
    <row r="960">
      <c r="A960" s="17"/>
      <c r="B960" s="7"/>
      <c r="C960" s="6"/>
      <c r="D960" s="18"/>
    </row>
    <row r="961">
      <c r="A961" s="17"/>
      <c r="B961" s="7"/>
      <c r="C961" s="6"/>
      <c r="D961" s="18"/>
    </row>
    <row r="962">
      <c r="A962" s="17"/>
      <c r="B962" s="7"/>
      <c r="C962" s="6"/>
      <c r="D962" s="18"/>
    </row>
    <row r="963">
      <c r="A963" s="17"/>
      <c r="B963" s="7"/>
      <c r="C963" s="6"/>
      <c r="D963" s="18"/>
    </row>
    <row r="964">
      <c r="A964" s="17"/>
      <c r="B964" s="7"/>
      <c r="C964" s="6"/>
      <c r="D964" s="18"/>
    </row>
    <row r="965">
      <c r="A965" s="17"/>
      <c r="B965" s="7"/>
      <c r="C965" s="6"/>
      <c r="D965" s="18"/>
    </row>
    <row r="966">
      <c r="A966" s="17"/>
      <c r="B966" s="7"/>
      <c r="C966" s="6"/>
      <c r="D966" s="18"/>
    </row>
    <row r="967">
      <c r="A967" s="17"/>
      <c r="B967" s="7"/>
      <c r="C967" s="6"/>
      <c r="D967" s="18"/>
    </row>
    <row r="968">
      <c r="A968" s="17"/>
      <c r="B968" s="7"/>
      <c r="C968" s="6"/>
      <c r="D968" s="18"/>
    </row>
    <row r="969">
      <c r="A969" s="17"/>
      <c r="B969" s="7"/>
      <c r="C969" s="6"/>
      <c r="D969" s="18"/>
    </row>
    <row r="970">
      <c r="A970" s="17"/>
      <c r="B970" s="7"/>
      <c r="C970" s="6"/>
      <c r="D970" s="18"/>
    </row>
    <row r="971">
      <c r="A971" s="17"/>
      <c r="B971" s="7"/>
      <c r="C971" s="6"/>
      <c r="D971" s="18"/>
    </row>
    <row r="972">
      <c r="A972" s="17"/>
      <c r="B972" s="7"/>
      <c r="C972" s="6"/>
      <c r="D972" s="18"/>
    </row>
    <row r="973">
      <c r="A973" s="17"/>
      <c r="B973" s="7"/>
      <c r="C973" s="6"/>
      <c r="D973" s="18"/>
    </row>
    <row r="974">
      <c r="A974" s="17"/>
      <c r="B974" s="7"/>
      <c r="C974" s="6"/>
      <c r="D974" s="18"/>
    </row>
    <row r="975">
      <c r="A975" s="17"/>
      <c r="B975" s="7"/>
      <c r="C975" s="6"/>
      <c r="D975" s="18"/>
    </row>
    <row r="976">
      <c r="A976" s="17"/>
      <c r="B976" s="7"/>
      <c r="C976" s="6"/>
      <c r="D976" s="18"/>
    </row>
    <row r="977">
      <c r="A977" s="17"/>
      <c r="B977" s="7"/>
      <c r="C977" s="6"/>
      <c r="D977" s="18"/>
    </row>
    <row r="978">
      <c r="A978" s="17"/>
      <c r="B978" s="7"/>
      <c r="C978" s="6"/>
      <c r="D978" s="18"/>
    </row>
    <row r="979">
      <c r="A979" s="17"/>
      <c r="B979" s="7"/>
      <c r="C979" s="6"/>
      <c r="D979" s="18"/>
    </row>
    <row r="980">
      <c r="A980" s="17"/>
      <c r="B980" s="7"/>
      <c r="C980" s="6"/>
      <c r="D980" s="18"/>
    </row>
    <row r="981">
      <c r="A981" s="17"/>
      <c r="B981" s="7"/>
      <c r="C981" s="6"/>
      <c r="D981" s="18"/>
    </row>
    <row r="982">
      <c r="A982" s="17"/>
      <c r="B982" s="7"/>
      <c r="C982" s="6"/>
      <c r="D982" s="18"/>
    </row>
    <row r="983">
      <c r="A983" s="17"/>
      <c r="B983" s="7"/>
      <c r="C983" s="6"/>
      <c r="D983" s="18"/>
    </row>
    <row r="984">
      <c r="A984" s="17"/>
      <c r="B984" s="7"/>
      <c r="C984" s="6"/>
      <c r="D984" s="18"/>
    </row>
    <row r="985">
      <c r="A985" s="17"/>
      <c r="B985" s="7"/>
      <c r="C985" s="6"/>
      <c r="D985" s="18"/>
    </row>
    <row r="986">
      <c r="A986" s="17"/>
      <c r="B986" s="7"/>
      <c r="C986" s="6"/>
      <c r="D986" s="18"/>
    </row>
    <row r="987">
      <c r="A987" s="17"/>
      <c r="B987" s="7"/>
      <c r="C987" s="6"/>
      <c r="D987" s="18"/>
    </row>
    <row r="988">
      <c r="A988" s="17"/>
      <c r="B988" s="7"/>
      <c r="C988" s="6"/>
      <c r="D988" s="18"/>
    </row>
    <row r="989">
      <c r="A989" s="17"/>
      <c r="B989" s="7"/>
      <c r="C989" s="6"/>
      <c r="D989" s="18"/>
    </row>
    <row r="990">
      <c r="A990" s="17"/>
      <c r="B990" s="7"/>
      <c r="C990" s="6"/>
      <c r="D990" s="18"/>
    </row>
    <row r="991">
      <c r="A991" s="17"/>
      <c r="B991" s="7"/>
      <c r="C991" s="6"/>
      <c r="D991" s="18"/>
    </row>
    <row r="992">
      <c r="A992" s="17"/>
      <c r="B992" s="7"/>
      <c r="C992" s="6"/>
      <c r="D992" s="18"/>
    </row>
    <row r="993">
      <c r="A993" s="17"/>
      <c r="B993" s="7"/>
      <c r="C993" s="6"/>
      <c r="D993" s="18"/>
    </row>
    <row r="994">
      <c r="A994" s="17"/>
      <c r="B994" s="7"/>
      <c r="C994" s="6"/>
      <c r="D994" s="18"/>
    </row>
    <row r="995">
      <c r="A995" s="17"/>
      <c r="B995" s="7"/>
      <c r="C995" s="6"/>
      <c r="D995" s="18"/>
    </row>
    <row r="996">
      <c r="A996" s="17"/>
      <c r="B996" s="7"/>
      <c r="C996" s="6"/>
      <c r="D996" s="18"/>
    </row>
    <row r="997">
      <c r="A997" s="17"/>
      <c r="B997" s="7"/>
      <c r="C997" s="6"/>
      <c r="D997" s="18"/>
    </row>
    <row r="998">
      <c r="A998" s="17"/>
      <c r="B998" s="7"/>
      <c r="C998" s="6"/>
      <c r="D998" s="18"/>
    </row>
    <row r="999">
      <c r="A999" s="17"/>
      <c r="B999" s="7"/>
      <c r="C999" s="6"/>
      <c r="D999" s="18"/>
    </row>
    <row r="1000">
      <c r="A1000" s="17"/>
      <c r="B1000" s="7"/>
      <c r="C1000" s="6"/>
      <c r="D1000" s="18"/>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8" t="s">
        <v>6883</v>
      </c>
      <c r="H1" s="68"/>
      <c r="O1" s="68"/>
      <c r="V1" s="68"/>
    </row>
    <row r="17">
      <c r="A17" s="38" t="s">
        <v>8907</v>
      </c>
    </row>
    <row r="18">
      <c r="A18" s="69" t="s">
        <v>8908</v>
      </c>
      <c r="B18" s="70"/>
      <c r="C18" s="70"/>
      <c r="D18" s="70"/>
      <c r="E18" s="70"/>
      <c r="F18" s="70"/>
      <c r="G18" s="70"/>
      <c r="H18" s="70"/>
      <c r="I18" s="70"/>
      <c r="J18" s="70"/>
    </row>
    <row r="19">
      <c r="A19" s="69" t="s">
        <v>8909</v>
      </c>
      <c r="B19" s="70"/>
      <c r="C19" s="70"/>
      <c r="D19" s="70"/>
      <c r="E19" s="70"/>
      <c r="F19" s="70"/>
      <c r="G19" s="70"/>
      <c r="H19" s="70"/>
      <c r="I19" s="70"/>
      <c r="J19" s="70"/>
    </row>
    <row r="20">
      <c r="A20" s="69" t="s">
        <v>8910</v>
      </c>
      <c r="B20" s="70"/>
      <c r="C20" s="70"/>
      <c r="D20" s="70"/>
      <c r="E20" s="70"/>
      <c r="F20" s="70"/>
      <c r="G20" s="70"/>
      <c r="H20" s="70"/>
      <c r="I20" s="70"/>
      <c r="J20" s="70"/>
    </row>
    <row r="21">
      <c r="A21" s="69" t="s">
        <v>8911</v>
      </c>
      <c r="B21" s="70"/>
      <c r="C21" s="70"/>
      <c r="D21" s="70"/>
      <c r="E21" s="70"/>
      <c r="F21" s="70"/>
      <c r="G21" s="70"/>
      <c r="H21" s="70"/>
      <c r="I21" s="70"/>
      <c r="J21" s="70"/>
    </row>
    <row r="23">
      <c r="A23" s="68" t="s">
        <v>6901</v>
      </c>
      <c r="H23" s="68"/>
    </row>
    <row r="42">
      <c r="A42" s="38" t="s">
        <v>8907</v>
      </c>
    </row>
    <row r="43">
      <c r="A43" s="69" t="s">
        <v>8912</v>
      </c>
    </row>
    <row r="44">
      <c r="A44" s="39" t="s">
        <v>8913</v>
      </c>
    </row>
    <row r="45">
      <c r="A45" s="39" t="s">
        <v>8914</v>
      </c>
    </row>
    <row r="46">
      <c r="A46" s="39" t="s">
        <v>8915</v>
      </c>
    </row>
    <row r="47">
      <c r="A47" s="40"/>
    </row>
    <row r="48">
      <c r="A48" s="68" t="s">
        <v>6914</v>
      </c>
    </row>
    <row r="68">
      <c r="A68" s="38" t="s">
        <v>8907</v>
      </c>
    </row>
    <row r="69">
      <c r="A69" s="39" t="s">
        <v>8916</v>
      </c>
    </row>
    <row r="70">
      <c r="A70" s="39" t="s">
        <v>8917</v>
      </c>
    </row>
    <row r="71">
      <c r="A71" s="39" t="s">
        <v>8918</v>
      </c>
    </row>
    <row r="72">
      <c r="A72" s="39" t="s">
        <v>8919</v>
      </c>
    </row>
    <row r="73">
      <c r="A73" s="40"/>
    </row>
    <row r="74">
      <c r="A74" s="68" t="s">
        <v>8920</v>
      </c>
    </row>
    <row r="94">
      <c r="A94" s="38" t="s">
        <v>8907</v>
      </c>
    </row>
    <row r="95">
      <c r="A95" s="39" t="s">
        <v>8921</v>
      </c>
    </row>
    <row r="96">
      <c r="A96" s="39" t="s">
        <v>8922</v>
      </c>
    </row>
    <row r="97">
      <c r="A97" s="39" t="s">
        <v>8923</v>
      </c>
    </row>
    <row r="98">
      <c r="A98" s="39" t="s">
        <v>8924</v>
      </c>
    </row>
    <row r="99">
      <c r="A99" s="40"/>
    </row>
    <row r="100">
      <c r="A100" s="68" t="s">
        <v>8925</v>
      </c>
    </row>
    <row r="122">
      <c r="A122" s="38" t="s">
        <v>8907</v>
      </c>
    </row>
    <row r="123">
      <c r="A123" s="39" t="s">
        <v>8926</v>
      </c>
    </row>
    <row r="124">
      <c r="A124" s="39" t="s">
        <v>8927</v>
      </c>
    </row>
    <row r="125">
      <c r="A125" s="39" t="s">
        <v>8928</v>
      </c>
    </row>
    <row r="126">
      <c r="A126" s="39" t="s">
        <v>8929</v>
      </c>
    </row>
    <row r="128">
      <c r="A128" s="68" t="s">
        <v>6956</v>
      </c>
    </row>
    <row r="149">
      <c r="A149" s="38" t="s">
        <v>8907</v>
      </c>
    </row>
    <row r="150">
      <c r="A150" s="39" t="s">
        <v>8930</v>
      </c>
    </row>
    <row r="151">
      <c r="A151" s="39" t="s">
        <v>8931</v>
      </c>
    </row>
    <row r="152">
      <c r="A152" s="39" t="s">
        <v>8932</v>
      </c>
    </row>
    <row r="153">
      <c r="A153" s="39" t="s">
        <v>8933</v>
      </c>
    </row>
    <row r="155">
      <c r="A155" s="38" t="s">
        <v>8934</v>
      </c>
      <c r="B155" s="40"/>
    </row>
    <row r="157">
      <c r="A157" s="39" t="s">
        <v>8935</v>
      </c>
    </row>
    <row r="158">
      <c r="A158" s="39" t="s">
        <v>8936</v>
      </c>
    </row>
    <row r="159">
      <c r="A159" s="39" t="s">
        <v>8937</v>
      </c>
    </row>
    <row r="160">
      <c r="A160" s="39" t="s">
        <v>8938</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6" t="s">
        <v>6867</v>
      </c>
      <c r="B1" s="33" t="s">
        <v>6876</v>
      </c>
      <c r="C1" s="33" t="s">
        <v>8829</v>
      </c>
      <c r="D1" s="33" t="s">
        <v>8830</v>
      </c>
      <c r="E1" s="33" t="s">
        <v>8831</v>
      </c>
    </row>
    <row r="2">
      <c r="A2" s="14" t="s">
        <v>6883</v>
      </c>
      <c r="B2" s="18">
        <v>1.0571258114202289</v>
      </c>
      <c r="C2" s="57">
        <v>0.0242</v>
      </c>
      <c r="D2" s="57">
        <v>0.06</v>
      </c>
      <c r="E2" s="30">
        <f t="shared" ref="E2:E7" si="1">D2+B2*(C2-D2)</f>
        <v>0.02215489595</v>
      </c>
      <c r="F2" s="58"/>
    </row>
    <row r="3">
      <c r="A3" s="14" t="s">
        <v>6901</v>
      </c>
      <c r="B3" s="18">
        <v>0.8278398461526016</v>
      </c>
      <c r="C3" s="57">
        <v>0.0242</v>
      </c>
      <c r="D3" s="57">
        <v>0.06</v>
      </c>
      <c r="E3" s="30">
        <f t="shared" si="1"/>
        <v>0.03036333351</v>
      </c>
    </row>
    <row r="4">
      <c r="A4" s="14" t="s">
        <v>6914</v>
      </c>
      <c r="B4" s="18">
        <v>0.9030650066669603</v>
      </c>
      <c r="C4" s="57">
        <v>0.0242</v>
      </c>
      <c r="D4" s="57">
        <v>0.06</v>
      </c>
      <c r="E4" s="30">
        <f t="shared" si="1"/>
        <v>0.02767027276</v>
      </c>
    </row>
    <row r="5">
      <c r="A5" s="14" t="s">
        <v>6930</v>
      </c>
      <c r="B5" s="18">
        <v>1.225598377988276</v>
      </c>
      <c r="C5" s="57">
        <v>0.0242</v>
      </c>
      <c r="D5" s="57">
        <v>0.06</v>
      </c>
      <c r="E5" s="30">
        <f t="shared" si="1"/>
        <v>0.01612357807</v>
      </c>
    </row>
    <row r="6">
      <c r="A6" s="14" t="s">
        <v>6943</v>
      </c>
      <c r="B6" s="18">
        <v>0.9296986590728165</v>
      </c>
      <c r="C6" s="57">
        <v>0.0242</v>
      </c>
      <c r="D6" s="57">
        <v>0.06</v>
      </c>
      <c r="E6" s="30">
        <f t="shared" si="1"/>
        <v>0.02671678801</v>
      </c>
    </row>
    <row r="7">
      <c r="A7" s="14" t="s">
        <v>6956</v>
      </c>
      <c r="B7" s="18">
        <v>0.6455313226657289</v>
      </c>
      <c r="C7" s="57">
        <v>0.0242</v>
      </c>
      <c r="D7" s="57">
        <v>0.06</v>
      </c>
      <c r="E7" s="30">
        <f t="shared" si="1"/>
        <v>0.03688997865</v>
      </c>
    </row>
    <row r="8">
      <c r="A8" s="17"/>
    </row>
    <row r="9">
      <c r="A9" s="38" t="s">
        <v>8832</v>
      </c>
    </row>
    <row r="11">
      <c r="A11" s="39" t="s">
        <v>8833</v>
      </c>
    </row>
    <row r="12">
      <c r="A12" s="39" t="s">
        <v>8834</v>
      </c>
    </row>
    <row r="13">
      <c r="A13" s="39" t="s">
        <v>8835</v>
      </c>
    </row>
    <row r="14">
      <c r="A14" s="39" t="s">
        <v>8836</v>
      </c>
    </row>
    <row r="15">
      <c r="A15" s="17"/>
    </row>
    <row r="16">
      <c r="A16" s="17"/>
    </row>
    <row r="17">
      <c r="A17" s="17"/>
    </row>
    <row r="18">
      <c r="A18" s="17"/>
    </row>
    <row r="19">
      <c r="A19" s="17"/>
    </row>
    <row r="20">
      <c r="A20" s="17"/>
    </row>
    <row r="21">
      <c r="A21" s="17"/>
    </row>
    <row r="22">
      <c r="A22" s="17"/>
    </row>
    <row r="23">
      <c r="A23" s="17"/>
    </row>
    <row r="24">
      <c r="A24" s="17"/>
    </row>
    <row r="25">
      <c r="A25" s="17"/>
    </row>
    <row r="26">
      <c r="A26" s="17"/>
    </row>
    <row r="27">
      <c r="A27" s="17"/>
    </row>
    <row r="28">
      <c r="A28" s="17"/>
    </row>
    <row r="29">
      <c r="A29" s="17"/>
    </row>
    <row r="30">
      <c r="A30" s="17"/>
    </row>
    <row r="31">
      <c r="A31" s="17"/>
    </row>
    <row r="32">
      <c r="A32" s="17"/>
    </row>
    <row r="33">
      <c r="A33" s="17"/>
    </row>
    <row r="34">
      <c r="A34" s="17"/>
    </row>
    <row r="35">
      <c r="A35" s="17"/>
    </row>
    <row r="36">
      <c r="A36" s="17"/>
    </row>
    <row r="37">
      <c r="A37" s="17"/>
    </row>
    <row r="38">
      <c r="A38" s="17"/>
    </row>
    <row r="39">
      <c r="A39" s="17"/>
    </row>
    <row r="40">
      <c r="A40" s="17"/>
    </row>
    <row r="41">
      <c r="A41" s="17"/>
    </row>
    <row r="42">
      <c r="A42" s="17"/>
    </row>
    <row r="43">
      <c r="A43" s="17"/>
    </row>
    <row r="44">
      <c r="A44" s="17"/>
    </row>
    <row r="45">
      <c r="A45" s="17"/>
    </row>
    <row r="46">
      <c r="A46" s="17"/>
    </row>
    <row r="47">
      <c r="A47" s="17"/>
    </row>
    <row r="48">
      <c r="A48" s="17"/>
    </row>
    <row r="49">
      <c r="A49" s="17"/>
    </row>
    <row r="50">
      <c r="A50" s="17"/>
    </row>
    <row r="51">
      <c r="A51" s="17"/>
    </row>
    <row r="52">
      <c r="A52" s="17"/>
    </row>
    <row r="53">
      <c r="A53" s="17"/>
    </row>
    <row r="54">
      <c r="A54" s="17"/>
    </row>
    <row r="55">
      <c r="A55" s="17"/>
    </row>
    <row r="56">
      <c r="A56" s="17"/>
    </row>
    <row r="57">
      <c r="A57" s="17"/>
    </row>
    <row r="58">
      <c r="A58" s="17"/>
    </row>
    <row r="59">
      <c r="A59" s="17"/>
    </row>
    <row r="60">
      <c r="A60" s="17"/>
    </row>
    <row r="61">
      <c r="A61" s="17"/>
    </row>
    <row r="62">
      <c r="A62" s="17"/>
    </row>
    <row r="63">
      <c r="A63" s="17"/>
    </row>
    <row r="64">
      <c r="A64" s="17"/>
    </row>
    <row r="65">
      <c r="A65" s="17"/>
    </row>
    <row r="66">
      <c r="A66" s="17"/>
    </row>
    <row r="67">
      <c r="A67" s="17"/>
    </row>
    <row r="68">
      <c r="A68" s="17"/>
    </row>
    <row r="69">
      <c r="A69" s="17"/>
    </row>
    <row r="70">
      <c r="A70" s="17"/>
    </row>
    <row r="71">
      <c r="A71" s="17"/>
    </row>
    <row r="72">
      <c r="A72" s="17"/>
    </row>
    <row r="73">
      <c r="A73" s="17"/>
    </row>
    <row r="74">
      <c r="A74" s="17"/>
    </row>
    <row r="75">
      <c r="A75" s="17"/>
    </row>
    <row r="76">
      <c r="A76" s="17"/>
    </row>
    <row r="77">
      <c r="A77" s="17"/>
    </row>
    <row r="78">
      <c r="A78" s="17"/>
    </row>
    <row r="79">
      <c r="A79" s="17"/>
    </row>
    <row r="80">
      <c r="A80" s="17"/>
    </row>
    <row r="81">
      <c r="A81" s="17"/>
    </row>
    <row r="82">
      <c r="A82" s="17"/>
    </row>
    <row r="83">
      <c r="A83" s="17"/>
    </row>
    <row r="84">
      <c r="A84" s="17"/>
    </row>
    <row r="85">
      <c r="A85" s="17"/>
    </row>
    <row r="86">
      <c r="A86" s="17"/>
    </row>
    <row r="87">
      <c r="A87" s="17"/>
    </row>
    <row r="88">
      <c r="A88" s="17"/>
    </row>
    <row r="89">
      <c r="A89" s="17"/>
    </row>
    <row r="90">
      <c r="A90" s="17"/>
    </row>
    <row r="91">
      <c r="A91" s="17"/>
    </row>
    <row r="92">
      <c r="A92" s="17"/>
    </row>
    <row r="93">
      <c r="A93" s="17"/>
    </row>
    <row r="94">
      <c r="A94" s="17"/>
    </row>
    <row r="95">
      <c r="A95" s="17"/>
    </row>
    <row r="96">
      <c r="A96" s="17"/>
    </row>
    <row r="97">
      <c r="A97" s="17"/>
    </row>
    <row r="98">
      <c r="A98" s="17"/>
    </row>
    <row r="99">
      <c r="A99" s="17"/>
    </row>
    <row r="100">
      <c r="A100" s="17"/>
    </row>
    <row r="101">
      <c r="A101" s="17"/>
    </row>
    <row r="102">
      <c r="A102" s="17"/>
    </row>
    <row r="103">
      <c r="A103" s="17"/>
    </row>
    <row r="104">
      <c r="A104" s="17"/>
    </row>
    <row r="105">
      <c r="A105" s="17"/>
    </row>
    <row r="106">
      <c r="A106" s="17"/>
    </row>
    <row r="107">
      <c r="A107" s="17"/>
    </row>
    <row r="108">
      <c r="A108" s="17"/>
    </row>
    <row r="109">
      <c r="A109" s="17"/>
    </row>
    <row r="110">
      <c r="A110" s="17"/>
    </row>
    <row r="111">
      <c r="A111" s="17"/>
    </row>
    <row r="112">
      <c r="A112" s="17"/>
    </row>
    <row r="113">
      <c r="A113" s="17"/>
    </row>
    <row r="114">
      <c r="A114" s="17"/>
    </row>
    <row r="115">
      <c r="A115" s="17"/>
    </row>
    <row r="116">
      <c r="A116" s="17"/>
    </row>
    <row r="117">
      <c r="A117" s="17"/>
    </row>
    <row r="118">
      <c r="A118" s="17"/>
    </row>
    <row r="119">
      <c r="A119" s="17"/>
    </row>
    <row r="120">
      <c r="A120" s="17"/>
    </row>
    <row r="121">
      <c r="A121" s="17"/>
    </row>
    <row r="122">
      <c r="A122" s="17"/>
    </row>
    <row r="123">
      <c r="A123" s="17"/>
    </row>
    <row r="124">
      <c r="A124" s="17"/>
    </row>
    <row r="125">
      <c r="A125" s="17"/>
    </row>
    <row r="126">
      <c r="A126" s="17"/>
    </row>
    <row r="127">
      <c r="A127" s="17"/>
    </row>
    <row r="128">
      <c r="A128" s="17"/>
    </row>
    <row r="129">
      <c r="A129" s="17"/>
    </row>
    <row r="130">
      <c r="A130" s="17"/>
    </row>
    <row r="131">
      <c r="A131" s="17"/>
    </row>
    <row r="132">
      <c r="A132" s="17"/>
    </row>
    <row r="133">
      <c r="A133" s="17"/>
    </row>
    <row r="134">
      <c r="A134" s="17"/>
    </row>
    <row r="135">
      <c r="A135" s="17"/>
    </row>
    <row r="136">
      <c r="A136" s="17"/>
    </row>
    <row r="137">
      <c r="A137" s="17"/>
    </row>
    <row r="138">
      <c r="A138" s="17"/>
    </row>
    <row r="139">
      <c r="A139" s="17"/>
    </row>
    <row r="140">
      <c r="A140" s="17"/>
    </row>
    <row r="141">
      <c r="A141" s="17"/>
    </row>
    <row r="142">
      <c r="A142" s="17"/>
    </row>
    <row r="143">
      <c r="A143" s="17"/>
    </row>
    <row r="144">
      <c r="A144" s="17"/>
    </row>
    <row r="145">
      <c r="A145" s="17"/>
    </row>
    <row r="146">
      <c r="A146" s="17"/>
    </row>
    <row r="147">
      <c r="A147" s="17"/>
    </row>
    <row r="148">
      <c r="A148" s="17"/>
    </row>
    <row r="149">
      <c r="A149" s="17"/>
    </row>
    <row r="150">
      <c r="A150" s="17"/>
    </row>
    <row r="151">
      <c r="A151" s="17"/>
    </row>
    <row r="152">
      <c r="A152" s="17"/>
    </row>
    <row r="153">
      <c r="A153" s="17"/>
    </row>
    <row r="154">
      <c r="A154" s="17"/>
    </row>
    <row r="155">
      <c r="A155" s="17"/>
    </row>
    <row r="156">
      <c r="A156" s="17"/>
    </row>
    <row r="157">
      <c r="A157" s="17"/>
    </row>
    <row r="158">
      <c r="A158" s="17"/>
    </row>
    <row r="159">
      <c r="A159" s="17"/>
    </row>
    <row r="160">
      <c r="A160" s="17"/>
    </row>
    <row r="161">
      <c r="A161" s="17"/>
    </row>
    <row r="162">
      <c r="A162" s="17"/>
    </row>
    <row r="163">
      <c r="A163" s="17"/>
    </row>
    <row r="164">
      <c r="A164" s="17"/>
    </row>
    <row r="165">
      <c r="A165" s="17"/>
    </row>
    <row r="166">
      <c r="A166" s="17"/>
    </row>
    <row r="167">
      <c r="A167" s="17"/>
    </row>
    <row r="168">
      <c r="A168" s="17"/>
    </row>
    <row r="169">
      <c r="A169" s="17"/>
    </row>
    <row r="170">
      <c r="A170" s="17"/>
    </row>
    <row r="171">
      <c r="A171" s="17"/>
    </row>
    <row r="172">
      <c r="A172" s="17"/>
    </row>
    <row r="173">
      <c r="A173" s="17"/>
    </row>
    <row r="174">
      <c r="A174" s="17"/>
    </row>
    <row r="175">
      <c r="A175" s="17"/>
    </row>
    <row r="176">
      <c r="A176" s="17"/>
    </row>
    <row r="177">
      <c r="A177" s="17"/>
    </row>
    <row r="178">
      <c r="A178" s="17"/>
    </row>
    <row r="179">
      <c r="A179" s="17"/>
    </row>
    <row r="180">
      <c r="A180" s="17"/>
    </row>
    <row r="181">
      <c r="A181" s="17"/>
    </row>
    <row r="182">
      <c r="A182" s="17"/>
    </row>
    <row r="183">
      <c r="A183" s="17"/>
    </row>
    <row r="184">
      <c r="A184" s="17"/>
    </row>
    <row r="185">
      <c r="A185" s="17"/>
    </row>
    <row r="186">
      <c r="A186" s="17"/>
    </row>
    <row r="187">
      <c r="A187" s="17"/>
    </row>
    <row r="188">
      <c r="A188" s="17"/>
    </row>
    <row r="189">
      <c r="A189" s="17"/>
    </row>
    <row r="190">
      <c r="A190" s="17"/>
    </row>
    <row r="191">
      <c r="A191" s="17"/>
    </row>
    <row r="192">
      <c r="A192" s="17"/>
    </row>
    <row r="193">
      <c r="A193" s="17"/>
    </row>
    <row r="194">
      <c r="A194" s="17"/>
    </row>
    <row r="195">
      <c r="A195" s="17"/>
    </row>
    <row r="196">
      <c r="A196" s="17"/>
    </row>
    <row r="197">
      <c r="A197" s="17"/>
    </row>
    <row r="198">
      <c r="A198" s="17"/>
    </row>
    <row r="199">
      <c r="A199" s="17"/>
    </row>
    <row r="200">
      <c r="A200" s="17"/>
    </row>
    <row r="201">
      <c r="A201" s="17"/>
    </row>
    <row r="202">
      <c r="A202" s="17"/>
    </row>
    <row r="203">
      <c r="A203" s="17"/>
    </row>
    <row r="204">
      <c r="A204" s="17"/>
    </row>
    <row r="205">
      <c r="A205" s="17"/>
    </row>
    <row r="206">
      <c r="A206" s="17"/>
    </row>
    <row r="207">
      <c r="A207" s="17"/>
    </row>
    <row r="208">
      <c r="A208" s="17"/>
    </row>
    <row r="209">
      <c r="A209" s="17"/>
    </row>
    <row r="210">
      <c r="A210" s="17"/>
    </row>
    <row r="211">
      <c r="A211" s="17"/>
    </row>
    <row r="212">
      <c r="A212" s="17"/>
    </row>
    <row r="213">
      <c r="A213" s="17"/>
    </row>
    <row r="214">
      <c r="A214" s="17"/>
    </row>
    <row r="215">
      <c r="A215" s="17"/>
    </row>
    <row r="216">
      <c r="A216" s="17"/>
    </row>
    <row r="217">
      <c r="A217" s="17"/>
    </row>
    <row r="218">
      <c r="A218" s="17"/>
    </row>
    <row r="219">
      <c r="A219" s="17"/>
    </row>
    <row r="220">
      <c r="A220" s="17"/>
    </row>
    <row r="221">
      <c r="A221" s="17"/>
    </row>
    <row r="222">
      <c r="A222" s="17"/>
    </row>
    <row r="223">
      <c r="A223" s="17"/>
    </row>
    <row r="224">
      <c r="A224" s="17"/>
    </row>
    <row r="225">
      <c r="A225" s="17"/>
    </row>
    <row r="226">
      <c r="A226" s="17"/>
    </row>
    <row r="227">
      <c r="A227" s="17"/>
    </row>
    <row r="228">
      <c r="A228" s="17"/>
    </row>
    <row r="229">
      <c r="A229" s="17"/>
    </row>
    <row r="230">
      <c r="A230" s="17"/>
    </row>
    <row r="231">
      <c r="A231" s="17"/>
    </row>
    <row r="232">
      <c r="A232" s="17"/>
    </row>
    <row r="233">
      <c r="A233" s="17"/>
    </row>
    <row r="234">
      <c r="A234" s="17"/>
    </row>
    <row r="235">
      <c r="A235" s="17"/>
    </row>
    <row r="236">
      <c r="A236" s="17"/>
    </row>
    <row r="237">
      <c r="A237" s="17"/>
    </row>
    <row r="238">
      <c r="A238" s="17"/>
    </row>
    <row r="239">
      <c r="A239" s="17"/>
    </row>
    <row r="240">
      <c r="A240" s="17"/>
    </row>
    <row r="241">
      <c r="A241" s="17"/>
    </row>
    <row r="242">
      <c r="A242" s="17"/>
    </row>
    <row r="243">
      <c r="A243" s="17"/>
    </row>
    <row r="244">
      <c r="A244" s="17"/>
    </row>
    <row r="245">
      <c r="A245" s="17"/>
    </row>
    <row r="246">
      <c r="A246" s="17"/>
    </row>
    <row r="247">
      <c r="A247" s="17"/>
    </row>
    <row r="248">
      <c r="A248" s="17"/>
    </row>
    <row r="249">
      <c r="A249" s="17"/>
    </row>
    <row r="250">
      <c r="A250" s="17"/>
    </row>
    <row r="251">
      <c r="A251" s="17"/>
    </row>
    <row r="252">
      <c r="A252" s="17"/>
    </row>
    <row r="253">
      <c r="A253" s="17"/>
    </row>
    <row r="254">
      <c r="A254" s="17"/>
    </row>
    <row r="255">
      <c r="A255" s="17"/>
    </row>
    <row r="256">
      <c r="A256" s="17"/>
    </row>
    <row r="257">
      <c r="A257" s="17"/>
    </row>
    <row r="258">
      <c r="A258" s="17"/>
    </row>
    <row r="259">
      <c r="A259" s="17"/>
    </row>
    <row r="260">
      <c r="A260" s="17"/>
    </row>
    <row r="261">
      <c r="A261" s="17"/>
    </row>
    <row r="262">
      <c r="A262" s="17"/>
    </row>
    <row r="263">
      <c r="A263" s="17"/>
    </row>
    <row r="264">
      <c r="A264" s="17"/>
    </row>
    <row r="265">
      <c r="A265" s="17"/>
    </row>
    <row r="266">
      <c r="A266" s="17"/>
    </row>
    <row r="267">
      <c r="A267" s="17"/>
    </row>
    <row r="268">
      <c r="A268" s="17"/>
    </row>
    <row r="269">
      <c r="A269" s="17"/>
    </row>
    <row r="270">
      <c r="A270" s="17"/>
    </row>
    <row r="271">
      <c r="A271" s="17"/>
    </row>
    <row r="272">
      <c r="A272" s="17"/>
    </row>
    <row r="273">
      <c r="A273" s="17"/>
    </row>
    <row r="274">
      <c r="A274" s="17"/>
    </row>
    <row r="275">
      <c r="A275" s="17"/>
    </row>
    <row r="276">
      <c r="A276" s="17"/>
    </row>
    <row r="277">
      <c r="A277" s="17"/>
    </row>
    <row r="278">
      <c r="A278" s="17"/>
    </row>
    <row r="279">
      <c r="A279" s="17"/>
    </row>
    <row r="280">
      <c r="A280" s="17"/>
    </row>
    <row r="281">
      <c r="A281" s="17"/>
    </row>
    <row r="282">
      <c r="A282" s="17"/>
    </row>
    <row r="283">
      <c r="A283" s="17"/>
    </row>
    <row r="284">
      <c r="A284" s="17"/>
    </row>
    <row r="285">
      <c r="A285" s="17"/>
    </row>
    <row r="286">
      <c r="A286" s="17"/>
    </row>
    <row r="287">
      <c r="A287" s="17"/>
    </row>
    <row r="288">
      <c r="A288" s="17"/>
    </row>
    <row r="289">
      <c r="A289" s="17"/>
    </row>
    <row r="290">
      <c r="A290" s="17"/>
    </row>
    <row r="291">
      <c r="A291" s="17"/>
    </row>
    <row r="292">
      <c r="A292" s="17"/>
    </row>
    <row r="293">
      <c r="A293" s="17"/>
    </row>
    <row r="294">
      <c r="A294" s="17"/>
    </row>
    <row r="295">
      <c r="A295" s="17"/>
    </row>
    <row r="296">
      <c r="A296" s="17"/>
    </row>
    <row r="297">
      <c r="A297" s="17"/>
    </row>
    <row r="298">
      <c r="A298" s="17"/>
    </row>
    <row r="299">
      <c r="A299" s="17"/>
    </row>
    <row r="300">
      <c r="A300" s="17"/>
    </row>
    <row r="301">
      <c r="A301" s="17"/>
    </row>
    <row r="302">
      <c r="A302" s="17"/>
    </row>
    <row r="303">
      <c r="A303" s="17"/>
    </row>
    <row r="304">
      <c r="A304" s="17"/>
    </row>
    <row r="305">
      <c r="A305" s="17"/>
    </row>
    <row r="306">
      <c r="A306" s="17"/>
    </row>
    <row r="307">
      <c r="A307" s="17"/>
    </row>
    <row r="308">
      <c r="A308" s="17"/>
    </row>
    <row r="309">
      <c r="A309" s="17"/>
    </row>
    <row r="310">
      <c r="A310" s="17"/>
    </row>
    <row r="311">
      <c r="A311" s="17"/>
    </row>
    <row r="312">
      <c r="A312" s="17"/>
    </row>
    <row r="313">
      <c r="A313" s="17"/>
    </row>
    <row r="314">
      <c r="A314" s="17"/>
    </row>
    <row r="315">
      <c r="A315" s="17"/>
    </row>
    <row r="316">
      <c r="A316" s="17"/>
    </row>
    <row r="317">
      <c r="A317" s="17"/>
    </row>
    <row r="318">
      <c r="A318" s="17"/>
    </row>
    <row r="319">
      <c r="A319" s="17"/>
    </row>
    <row r="320">
      <c r="A320" s="17"/>
    </row>
    <row r="321">
      <c r="A321" s="17"/>
    </row>
    <row r="322">
      <c r="A322" s="17"/>
    </row>
    <row r="323">
      <c r="A323" s="17"/>
    </row>
    <row r="324">
      <c r="A324" s="17"/>
    </row>
    <row r="325">
      <c r="A325" s="17"/>
    </row>
    <row r="326">
      <c r="A326" s="17"/>
    </row>
    <row r="327">
      <c r="A327" s="17"/>
    </row>
    <row r="328">
      <c r="A328" s="17"/>
    </row>
    <row r="329">
      <c r="A329" s="17"/>
    </row>
    <row r="330">
      <c r="A330" s="17"/>
    </row>
    <row r="331">
      <c r="A331" s="17"/>
    </row>
    <row r="332">
      <c r="A332" s="17"/>
    </row>
    <row r="333">
      <c r="A333" s="17"/>
    </row>
    <row r="334">
      <c r="A334" s="17"/>
    </row>
    <row r="335">
      <c r="A335" s="17"/>
    </row>
    <row r="336">
      <c r="A336" s="17"/>
    </row>
    <row r="337">
      <c r="A337" s="17"/>
    </row>
    <row r="338">
      <c r="A338" s="17"/>
    </row>
    <row r="339">
      <c r="A339" s="17"/>
    </row>
    <row r="340">
      <c r="A340" s="17"/>
    </row>
    <row r="341">
      <c r="A341" s="17"/>
    </row>
    <row r="342">
      <c r="A342" s="17"/>
    </row>
    <row r="343">
      <c r="A343" s="17"/>
    </row>
    <row r="344">
      <c r="A344" s="17"/>
    </row>
    <row r="345">
      <c r="A345" s="17"/>
    </row>
    <row r="346">
      <c r="A346" s="17"/>
    </row>
    <row r="347">
      <c r="A347" s="17"/>
    </row>
    <row r="348">
      <c r="A348" s="17"/>
    </row>
    <row r="349">
      <c r="A349" s="17"/>
    </row>
    <row r="350">
      <c r="A350" s="17"/>
    </row>
    <row r="351">
      <c r="A351" s="17"/>
    </row>
    <row r="352">
      <c r="A352" s="17"/>
    </row>
    <row r="353">
      <c r="A353" s="17"/>
    </row>
    <row r="354">
      <c r="A354" s="17"/>
    </row>
    <row r="355">
      <c r="A355" s="17"/>
    </row>
    <row r="356">
      <c r="A356" s="17"/>
    </row>
    <row r="357">
      <c r="A357" s="17"/>
    </row>
    <row r="358">
      <c r="A358" s="17"/>
    </row>
    <row r="359">
      <c r="A359" s="17"/>
    </row>
    <row r="360">
      <c r="A360" s="17"/>
    </row>
    <row r="361">
      <c r="A361" s="17"/>
    </row>
    <row r="362">
      <c r="A362" s="17"/>
    </row>
    <row r="363">
      <c r="A363" s="17"/>
    </row>
    <row r="364">
      <c r="A364" s="17"/>
    </row>
    <row r="365">
      <c r="A365" s="17"/>
    </row>
    <row r="366">
      <c r="A366" s="17"/>
    </row>
    <row r="367">
      <c r="A367" s="17"/>
    </row>
    <row r="368">
      <c r="A368" s="17"/>
    </row>
    <row r="369">
      <c r="A369" s="17"/>
    </row>
    <row r="370">
      <c r="A370" s="17"/>
    </row>
    <row r="371">
      <c r="A371" s="17"/>
    </row>
    <row r="372">
      <c r="A372" s="17"/>
    </row>
    <row r="373">
      <c r="A373" s="17"/>
    </row>
    <row r="374">
      <c r="A374" s="17"/>
    </row>
    <row r="375">
      <c r="A375" s="17"/>
    </row>
    <row r="376">
      <c r="A376" s="17"/>
    </row>
    <row r="377">
      <c r="A377" s="17"/>
    </row>
    <row r="378">
      <c r="A378" s="17"/>
    </row>
    <row r="379">
      <c r="A379" s="17"/>
    </row>
    <row r="380">
      <c r="A380" s="17"/>
    </row>
    <row r="381">
      <c r="A381" s="17"/>
    </row>
    <row r="382">
      <c r="A382" s="17"/>
    </row>
    <row r="383">
      <c r="A383" s="17"/>
    </row>
    <row r="384">
      <c r="A384" s="17"/>
    </row>
    <row r="385">
      <c r="A385" s="17"/>
    </row>
    <row r="386">
      <c r="A386" s="17"/>
    </row>
    <row r="387">
      <c r="A387" s="17"/>
    </row>
    <row r="388">
      <c r="A388" s="17"/>
    </row>
    <row r="389">
      <c r="A389" s="17"/>
    </row>
    <row r="390">
      <c r="A390" s="17"/>
    </row>
    <row r="391">
      <c r="A391" s="17"/>
    </row>
    <row r="392">
      <c r="A392" s="17"/>
    </row>
    <row r="393">
      <c r="A393" s="17"/>
    </row>
    <row r="394">
      <c r="A394" s="17"/>
    </row>
    <row r="395">
      <c r="A395" s="17"/>
    </row>
    <row r="396">
      <c r="A396" s="17"/>
    </row>
    <row r="397">
      <c r="A397" s="17"/>
    </row>
    <row r="398">
      <c r="A398" s="17"/>
    </row>
    <row r="399">
      <c r="A399" s="17"/>
    </row>
    <row r="400">
      <c r="A400" s="17"/>
    </row>
    <row r="401">
      <c r="A401" s="17"/>
    </row>
    <row r="402">
      <c r="A402" s="17"/>
    </row>
    <row r="403">
      <c r="A403" s="17"/>
    </row>
    <row r="404">
      <c r="A404" s="17"/>
    </row>
    <row r="405">
      <c r="A405" s="17"/>
    </row>
    <row r="406">
      <c r="A406" s="17"/>
    </row>
    <row r="407">
      <c r="A407" s="17"/>
    </row>
    <row r="408">
      <c r="A408" s="17"/>
    </row>
    <row r="409">
      <c r="A409" s="17"/>
    </row>
    <row r="410">
      <c r="A410" s="17"/>
    </row>
    <row r="411">
      <c r="A411" s="17"/>
    </row>
    <row r="412">
      <c r="A412" s="17"/>
    </row>
    <row r="413">
      <c r="A413" s="17"/>
    </row>
    <row r="414">
      <c r="A414" s="17"/>
    </row>
    <row r="415">
      <c r="A415" s="17"/>
    </row>
    <row r="416">
      <c r="A416" s="17"/>
    </row>
    <row r="417">
      <c r="A417" s="17"/>
    </row>
    <row r="418">
      <c r="A418" s="17"/>
    </row>
    <row r="419">
      <c r="A419" s="17"/>
    </row>
    <row r="420">
      <c r="A420" s="17"/>
    </row>
    <row r="421">
      <c r="A421" s="17"/>
    </row>
    <row r="422">
      <c r="A422" s="17"/>
    </row>
    <row r="423">
      <c r="A423" s="17"/>
    </row>
    <row r="424">
      <c r="A424" s="17"/>
    </row>
    <row r="425">
      <c r="A425" s="17"/>
    </row>
    <row r="426">
      <c r="A426" s="17"/>
    </row>
    <row r="427">
      <c r="A427" s="17"/>
    </row>
    <row r="428">
      <c r="A428" s="17"/>
    </row>
    <row r="429">
      <c r="A429" s="17"/>
    </row>
    <row r="430">
      <c r="A430" s="17"/>
    </row>
    <row r="431">
      <c r="A431" s="17"/>
    </row>
    <row r="432">
      <c r="A432" s="17"/>
    </row>
    <row r="433">
      <c r="A433" s="17"/>
    </row>
    <row r="434">
      <c r="A434" s="17"/>
    </row>
    <row r="435">
      <c r="A435" s="17"/>
    </row>
    <row r="436">
      <c r="A436" s="17"/>
    </row>
    <row r="437">
      <c r="A437" s="17"/>
    </row>
    <row r="438">
      <c r="A438" s="17"/>
    </row>
    <row r="439">
      <c r="A439" s="17"/>
    </row>
    <row r="440">
      <c r="A440" s="17"/>
    </row>
    <row r="441">
      <c r="A441" s="17"/>
    </row>
    <row r="442">
      <c r="A442" s="17"/>
    </row>
    <row r="443">
      <c r="A443" s="17"/>
    </row>
    <row r="444">
      <c r="A444" s="17"/>
    </row>
    <row r="445">
      <c r="A445" s="17"/>
    </row>
    <row r="446">
      <c r="A446" s="17"/>
    </row>
    <row r="447">
      <c r="A447" s="17"/>
    </row>
    <row r="448">
      <c r="A448" s="17"/>
    </row>
    <row r="449">
      <c r="A449" s="17"/>
    </row>
    <row r="450">
      <c r="A450" s="17"/>
    </row>
    <row r="451">
      <c r="A451" s="17"/>
    </row>
    <row r="452">
      <c r="A452" s="17"/>
    </row>
    <row r="453">
      <c r="A453" s="17"/>
    </row>
    <row r="454">
      <c r="A454" s="17"/>
    </row>
    <row r="455">
      <c r="A455" s="17"/>
    </row>
    <row r="456">
      <c r="A456" s="17"/>
    </row>
    <row r="457">
      <c r="A457" s="17"/>
    </row>
    <row r="458">
      <c r="A458" s="17"/>
    </row>
    <row r="459">
      <c r="A459" s="17"/>
    </row>
    <row r="460">
      <c r="A460" s="17"/>
    </row>
    <row r="461">
      <c r="A461" s="17"/>
    </row>
    <row r="462">
      <c r="A462" s="17"/>
    </row>
    <row r="463">
      <c r="A463" s="17"/>
    </row>
    <row r="464">
      <c r="A464" s="17"/>
    </row>
    <row r="465">
      <c r="A465" s="17"/>
    </row>
    <row r="466">
      <c r="A466" s="17"/>
    </row>
    <row r="467">
      <c r="A467" s="17"/>
    </row>
    <row r="468">
      <c r="A468" s="17"/>
    </row>
    <row r="469">
      <c r="A469" s="17"/>
    </row>
    <row r="470">
      <c r="A470" s="17"/>
    </row>
    <row r="471">
      <c r="A471" s="17"/>
    </row>
    <row r="472">
      <c r="A472" s="17"/>
    </row>
    <row r="473">
      <c r="A473" s="17"/>
    </row>
    <row r="474">
      <c r="A474" s="17"/>
    </row>
    <row r="475">
      <c r="A475" s="17"/>
    </row>
    <row r="476">
      <c r="A476" s="17"/>
    </row>
    <row r="477">
      <c r="A477" s="17"/>
    </row>
    <row r="478">
      <c r="A478" s="17"/>
    </row>
    <row r="479">
      <c r="A479" s="17"/>
    </row>
    <row r="480">
      <c r="A480" s="17"/>
    </row>
    <row r="481">
      <c r="A481" s="17"/>
    </row>
    <row r="482">
      <c r="A482" s="17"/>
    </row>
    <row r="483">
      <c r="A483" s="17"/>
    </row>
    <row r="484">
      <c r="A484" s="17"/>
    </row>
    <row r="485">
      <c r="A485" s="17"/>
    </row>
    <row r="486">
      <c r="A486" s="17"/>
    </row>
    <row r="487">
      <c r="A487" s="17"/>
    </row>
    <row r="488">
      <c r="A488" s="17"/>
    </row>
    <row r="489">
      <c r="A489" s="17"/>
    </row>
    <row r="490">
      <c r="A490" s="17"/>
    </row>
    <row r="491">
      <c r="A491" s="17"/>
    </row>
    <row r="492">
      <c r="A492" s="17"/>
    </row>
    <row r="493">
      <c r="A493" s="17"/>
    </row>
    <row r="494">
      <c r="A494" s="17"/>
    </row>
    <row r="495">
      <c r="A495" s="17"/>
    </row>
    <row r="496">
      <c r="A496" s="17"/>
    </row>
    <row r="497">
      <c r="A497" s="17"/>
    </row>
    <row r="498">
      <c r="A498" s="17"/>
    </row>
    <row r="499">
      <c r="A499" s="17"/>
    </row>
    <row r="500">
      <c r="A500" s="17"/>
    </row>
    <row r="501">
      <c r="A501" s="17"/>
    </row>
    <row r="502">
      <c r="A502" s="17"/>
    </row>
    <row r="503">
      <c r="A503" s="17"/>
    </row>
    <row r="504">
      <c r="A504" s="17"/>
    </row>
    <row r="505">
      <c r="A505" s="17"/>
    </row>
    <row r="506">
      <c r="A506" s="17"/>
    </row>
    <row r="507">
      <c r="A507" s="17"/>
    </row>
    <row r="508">
      <c r="A508" s="17"/>
    </row>
    <row r="509">
      <c r="A509" s="17"/>
    </row>
    <row r="510">
      <c r="A510" s="17"/>
    </row>
    <row r="511">
      <c r="A511" s="17"/>
    </row>
    <row r="512">
      <c r="A512" s="17"/>
    </row>
    <row r="513">
      <c r="A513" s="17"/>
    </row>
    <row r="514">
      <c r="A514" s="17"/>
    </row>
    <row r="515">
      <c r="A515" s="17"/>
    </row>
    <row r="516">
      <c r="A516" s="17"/>
    </row>
    <row r="517">
      <c r="A517" s="17"/>
    </row>
    <row r="518">
      <c r="A518" s="17"/>
    </row>
    <row r="519">
      <c r="A519" s="17"/>
    </row>
    <row r="520">
      <c r="A520" s="17"/>
    </row>
    <row r="521">
      <c r="A521" s="17"/>
    </row>
    <row r="522">
      <c r="A522" s="17"/>
    </row>
    <row r="523">
      <c r="A523" s="17"/>
    </row>
    <row r="524">
      <c r="A524" s="17"/>
    </row>
    <row r="525">
      <c r="A525" s="17"/>
    </row>
    <row r="526">
      <c r="A526" s="17"/>
    </row>
    <row r="527">
      <c r="A527" s="17"/>
    </row>
    <row r="528">
      <c r="A528" s="17"/>
    </row>
    <row r="529">
      <c r="A529" s="17"/>
    </row>
    <row r="530">
      <c r="A530" s="17"/>
    </row>
    <row r="531">
      <c r="A531" s="17"/>
    </row>
    <row r="532">
      <c r="A532" s="17"/>
    </row>
    <row r="533">
      <c r="A533" s="17"/>
    </row>
    <row r="534">
      <c r="A534" s="17"/>
    </row>
    <row r="535">
      <c r="A535" s="17"/>
    </row>
    <row r="536">
      <c r="A536" s="17"/>
    </row>
    <row r="537">
      <c r="A537" s="17"/>
    </row>
    <row r="538">
      <c r="A538" s="17"/>
    </row>
    <row r="539">
      <c r="A539" s="17"/>
    </row>
    <row r="540">
      <c r="A540" s="17"/>
    </row>
    <row r="541">
      <c r="A541" s="17"/>
    </row>
    <row r="542">
      <c r="A542" s="17"/>
    </row>
    <row r="543">
      <c r="A543" s="17"/>
    </row>
    <row r="544">
      <c r="A544" s="17"/>
    </row>
    <row r="545">
      <c r="A545" s="17"/>
    </row>
    <row r="546">
      <c r="A546" s="17"/>
    </row>
    <row r="547">
      <c r="A547" s="17"/>
    </row>
    <row r="548">
      <c r="A548" s="17"/>
    </row>
    <row r="549">
      <c r="A549" s="17"/>
    </row>
    <row r="550">
      <c r="A550" s="17"/>
    </row>
    <row r="551">
      <c r="A551" s="17"/>
    </row>
    <row r="552">
      <c r="A552" s="17"/>
    </row>
    <row r="553">
      <c r="A553" s="17"/>
    </row>
    <row r="554">
      <c r="A554" s="17"/>
    </row>
    <row r="555">
      <c r="A555" s="17"/>
    </row>
    <row r="556">
      <c r="A556" s="17"/>
    </row>
    <row r="557">
      <c r="A557" s="17"/>
    </row>
    <row r="558">
      <c r="A558" s="17"/>
    </row>
    <row r="559">
      <c r="A559" s="17"/>
    </row>
    <row r="560">
      <c r="A560" s="17"/>
    </row>
    <row r="561">
      <c r="A561" s="17"/>
    </row>
    <row r="562">
      <c r="A562" s="17"/>
    </row>
    <row r="563">
      <c r="A563" s="17"/>
    </row>
    <row r="564">
      <c r="A564" s="17"/>
    </row>
    <row r="565">
      <c r="A565" s="17"/>
    </row>
    <row r="566">
      <c r="A566" s="17"/>
    </row>
    <row r="567">
      <c r="A567" s="17"/>
    </row>
    <row r="568">
      <c r="A568" s="17"/>
    </row>
    <row r="569">
      <c r="A569" s="17"/>
    </row>
    <row r="570">
      <c r="A570" s="17"/>
    </row>
    <row r="571">
      <c r="A571" s="17"/>
    </row>
    <row r="572">
      <c r="A572" s="17"/>
    </row>
    <row r="573">
      <c r="A573" s="17"/>
    </row>
    <row r="574">
      <c r="A574" s="17"/>
    </row>
    <row r="575">
      <c r="A575" s="17"/>
    </row>
    <row r="576">
      <c r="A576" s="17"/>
    </row>
    <row r="577">
      <c r="A577" s="17"/>
    </row>
    <row r="578">
      <c r="A578" s="17"/>
    </row>
    <row r="579">
      <c r="A579" s="17"/>
    </row>
    <row r="580">
      <c r="A580" s="17"/>
    </row>
    <row r="581">
      <c r="A581" s="17"/>
    </row>
    <row r="582">
      <c r="A582" s="17"/>
    </row>
    <row r="583">
      <c r="A583" s="17"/>
    </row>
    <row r="584">
      <c r="A584" s="17"/>
    </row>
    <row r="585">
      <c r="A585" s="17"/>
    </row>
    <row r="586">
      <c r="A586" s="17"/>
    </row>
    <row r="587">
      <c r="A587" s="17"/>
    </row>
    <row r="588">
      <c r="A588" s="17"/>
    </row>
    <row r="589">
      <c r="A589" s="17"/>
    </row>
    <row r="590">
      <c r="A590" s="17"/>
    </row>
    <row r="591">
      <c r="A591" s="17"/>
    </row>
    <row r="592">
      <c r="A592" s="17"/>
    </row>
    <row r="593">
      <c r="A593" s="17"/>
    </row>
    <row r="594">
      <c r="A594" s="17"/>
    </row>
    <row r="595">
      <c r="A595" s="17"/>
    </row>
    <row r="596">
      <c r="A596" s="17"/>
    </row>
    <row r="597">
      <c r="A597" s="17"/>
    </row>
    <row r="598">
      <c r="A598" s="17"/>
    </row>
    <row r="599">
      <c r="A599" s="17"/>
    </row>
    <row r="600">
      <c r="A600" s="17"/>
    </row>
    <row r="601">
      <c r="A601" s="17"/>
    </row>
    <row r="602">
      <c r="A602" s="17"/>
    </row>
    <row r="603">
      <c r="A603" s="17"/>
    </row>
    <row r="604">
      <c r="A604" s="17"/>
    </row>
    <row r="605">
      <c r="A605" s="17"/>
    </row>
    <row r="606">
      <c r="A606" s="17"/>
    </row>
    <row r="607">
      <c r="A607" s="17"/>
    </row>
    <row r="608">
      <c r="A608" s="17"/>
    </row>
    <row r="609">
      <c r="A609" s="17"/>
    </row>
    <row r="610">
      <c r="A610" s="17"/>
    </row>
    <row r="611">
      <c r="A611" s="17"/>
    </row>
    <row r="612">
      <c r="A612" s="17"/>
    </row>
    <row r="613">
      <c r="A613" s="17"/>
    </row>
    <row r="614">
      <c r="A614" s="17"/>
    </row>
    <row r="615">
      <c r="A615" s="17"/>
    </row>
    <row r="616">
      <c r="A616" s="17"/>
    </row>
    <row r="617">
      <c r="A617" s="17"/>
    </row>
    <row r="618">
      <c r="A618" s="17"/>
    </row>
    <row r="619">
      <c r="A619" s="17"/>
    </row>
    <row r="620">
      <c r="A620" s="17"/>
    </row>
    <row r="621">
      <c r="A621" s="17"/>
    </row>
    <row r="622">
      <c r="A622" s="17"/>
    </row>
    <row r="623">
      <c r="A623" s="17"/>
    </row>
    <row r="624">
      <c r="A624" s="17"/>
    </row>
    <row r="625">
      <c r="A625" s="17"/>
    </row>
    <row r="626">
      <c r="A626" s="17"/>
    </row>
    <row r="627">
      <c r="A627" s="17"/>
    </row>
    <row r="628">
      <c r="A628" s="17"/>
    </row>
    <row r="629">
      <c r="A629" s="17"/>
    </row>
    <row r="630">
      <c r="A630" s="17"/>
    </row>
    <row r="631">
      <c r="A631" s="17"/>
    </row>
    <row r="632">
      <c r="A632" s="17"/>
    </row>
    <row r="633">
      <c r="A633" s="17"/>
    </row>
    <row r="634">
      <c r="A634" s="17"/>
    </row>
    <row r="635">
      <c r="A635" s="17"/>
    </row>
    <row r="636">
      <c r="A636" s="17"/>
    </row>
    <row r="637">
      <c r="A637" s="17"/>
    </row>
    <row r="638">
      <c r="A638" s="17"/>
    </row>
    <row r="639">
      <c r="A639" s="17"/>
    </row>
    <row r="640">
      <c r="A640" s="17"/>
    </row>
    <row r="641">
      <c r="A641" s="17"/>
    </row>
    <row r="642">
      <c r="A642" s="17"/>
    </row>
    <row r="643">
      <c r="A643" s="17"/>
    </row>
    <row r="644">
      <c r="A644" s="17"/>
    </row>
    <row r="645">
      <c r="A645" s="17"/>
    </row>
    <row r="646">
      <c r="A646" s="17"/>
    </row>
    <row r="647">
      <c r="A647" s="17"/>
    </row>
    <row r="648">
      <c r="A648" s="17"/>
    </row>
    <row r="649">
      <c r="A649" s="17"/>
    </row>
    <row r="650">
      <c r="A650" s="17"/>
    </row>
    <row r="651">
      <c r="A651" s="17"/>
    </row>
    <row r="652">
      <c r="A652" s="17"/>
    </row>
    <row r="653">
      <c r="A653" s="17"/>
    </row>
    <row r="654">
      <c r="A654" s="17"/>
    </row>
    <row r="655">
      <c r="A655" s="17"/>
    </row>
    <row r="656">
      <c r="A656" s="17"/>
    </row>
    <row r="657">
      <c r="A657" s="17"/>
    </row>
    <row r="658">
      <c r="A658" s="17"/>
    </row>
    <row r="659">
      <c r="A659" s="17"/>
    </row>
    <row r="660">
      <c r="A660" s="17"/>
    </row>
    <row r="661">
      <c r="A661" s="17"/>
    </row>
    <row r="662">
      <c r="A662" s="17"/>
    </row>
    <row r="663">
      <c r="A663" s="17"/>
    </row>
    <row r="664">
      <c r="A664" s="17"/>
    </row>
    <row r="665">
      <c r="A665" s="17"/>
    </row>
    <row r="666">
      <c r="A666" s="17"/>
    </row>
    <row r="667">
      <c r="A667" s="17"/>
    </row>
    <row r="668">
      <c r="A668" s="17"/>
    </row>
    <row r="669">
      <c r="A669" s="17"/>
    </row>
    <row r="670">
      <c r="A670" s="17"/>
    </row>
    <row r="671">
      <c r="A671" s="17"/>
    </row>
    <row r="672">
      <c r="A672" s="17"/>
    </row>
    <row r="673">
      <c r="A673" s="17"/>
    </row>
    <row r="674">
      <c r="A674" s="17"/>
    </row>
    <row r="675">
      <c r="A675" s="17"/>
    </row>
    <row r="676">
      <c r="A676" s="17"/>
    </row>
    <row r="677">
      <c r="A677" s="17"/>
    </row>
    <row r="678">
      <c r="A678" s="17"/>
    </row>
    <row r="679">
      <c r="A679" s="17"/>
    </row>
    <row r="680">
      <c r="A680" s="17"/>
    </row>
    <row r="681">
      <c r="A681" s="17"/>
    </row>
    <row r="682">
      <c r="A682" s="17"/>
    </row>
    <row r="683">
      <c r="A683" s="17"/>
    </row>
    <row r="684">
      <c r="A684" s="17"/>
    </row>
    <row r="685">
      <c r="A685" s="17"/>
    </row>
    <row r="686">
      <c r="A686" s="17"/>
    </row>
    <row r="687">
      <c r="A687" s="17"/>
    </row>
    <row r="688">
      <c r="A688" s="17"/>
    </row>
    <row r="689">
      <c r="A689" s="17"/>
    </row>
    <row r="690">
      <c r="A690" s="17"/>
    </row>
    <row r="691">
      <c r="A691" s="17"/>
    </row>
    <row r="692">
      <c r="A692" s="17"/>
    </row>
    <row r="693">
      <c r="A693" s="17"/>
    </row>
    <row r="694">
      <c r="A694" s="17"/>
    </row>
    <row r="695">
      <c r="A695" s="17"/>
    </row>
    <row r="696">
      <c r="A696" s="17"/>
    </row>
    <row r="697">
      <c r="A697" s="17"/>
    </row>
    <row r="698">
      <c r="A698" s="17"/>
    </row>
    <row r="699">
      <c r="A699" s="17"/>
    </row>
    <row r="700">
      <c r="A700" s="17"/>
    </row>
    <row r="701">
      <c r="A701" s="17"/>
    </row>
    <row r="702">
      <c r="A702" s="17"/>
    </row>
    <row r="703">
      <c r="A703" s="17"/>
    </row>
    <row r="704">
      <c r="A704" s="17"/>
    </row>
    <row r="705">
      <c r="A705" s="17"/>
    </row>
    <row r="706">
      <c r="A706" s="17"/>
    </row>
    <row r="707">
      <c r="A707" s="17"/>
    </row>
    <row r="708">
      <c r="A708" s="17"/>
    </row>
    <row r="709">
      <c r="A709" s="17"/>
    </row>
    <row r="710">
      <c r="A710" s="17"/>
    </row>
    <row r="711">
      <c r="A711" s="17"/>
    </row>
    <row r="712">
      <c r="A712" s="17"/>
    </row>
    <row r="713">
      <c r="A713" s="17"/>
    </row>
    <row r="714">
      <c r="A714" s="17"/>
    </row>
    <row r="715">
      <c r="A715" s="17"/>
    </row>
    <row r="716">
      <c r="A716" s="17"/>
    </row>
    <row r="717">
      <c r="A717" s="17"/>
    </row>
    <row r="718">
      <c r="A718" s="17"/>
    </row>
    <row r="719">
      <c r="A719" s="17"/>
    </row>
    <row r="720">
      <c r="A720" s="17"/>
    </row>
    <row r="721">
      <c r="A721" s="17"/>
    </row>
    <row r="722">
      <c r="A722" s="17"/>
    </row>
    <row r="723">
      <c r="A723" s="17"/>
    </row>
    <row r="724">
      <c r="A724" s="17"/>
    </row>
    <row r="725">
      <c r="A725" s="17"/>
    </row>
    <row r="726">
      <c r="A726" s="17"/>
    </row>
    <row r="727">
      <c r="A727" s="17"/>
    </row>
    <row r="728">
      <c r="A728" s="17"/>
    </row>
    <row r="729">
      <c r="A729" s="17"/>
    </row>
    <row r="730">
      <c r="A730" s="17"/>
    </row>
    <row r="731">
      <c r="A731" s="17"/>
    </row>
    <row r="732">
      <c r="A732" s="17"/>
    </row>
    <row r="733">
      <c r="A733" s="17"/>
    </row>
    <row r="734">
      <c r="A734" s="17"/>
    </row>
    <row r="735">
      <c r="A735" s="17"/>
    </row>
    <row r="736">
      <c r="A736" s="17"/>
    </row>
    <row r="737">
      <c r="A737" s="17"/>
    </row>
    <row r="738">
      <c r="A738" s="17"/>
    </row>
    <row r="739">
      <c r="A739" s="17"/>
    </row>
    <row r="740">
      <c r="A740" s="17"/>
    </row>
    <row r="741">
      <c r="A741" s="17"/>
    </row>
    <row r="742">
      <c r="A742" s="17"/>
    </row>
    <row r="743">
      <c r="A743" s="17"/>
    </row>
    <row r="744">
      <c r="A744" s="17"/>
    </row>
    <row r="745">
      <c r="A745" s="17"/>
    </row>
    <row r="746">
      <c r="A746" s="17"/>
    </row>
    <row r="747">
      <c r="A747" s="17"/>
    </row>
    <row r="748">
      <c r="A748" s="17"/>
    </row>
    <row r="749">
      <c r="A749" s="17"/>
    </row>
    <row r="750">
      <c r="A750" s="17"/>
    </row>
    <row r="751">
      <c r="A751" s="17"/>
    </row>
    <row r="752">
      <c r="A752" s="17"/>
    </row>
    <row r="753">
      <c r="A753" s="17"/>
    </row>
    <row r="754">
      <c r="A754" s="17"/>
    </row>
    <row r="755">
      <c r="A755" s="17"/>
    </row>
    <row r="756">
      <c r="A756" s="17"/>
    </row>
    <row r="757">
      <c r="A757" s="17"/>
    </row>
    <row r="758">
      <c r="A758" s="17"/>
    </row>
    <row r="759">
      <c r="A759" s="17"/>
    </row>
    <row r="760">
      <c r="A760" s="17"/>
    </row>
    <row r="761">
      <c r="A761" s="17"/>
    </row>
    <row r="762">
      <c r="A762" s="17"/>
    </row>
    <row r="763">
      <c r="A763" s="17"/>
    </row>
    <row r="764">
      <c r="A764" s="17"/>
    </row>
    <row r="765">
      <c r="A765" s="17"/>
    </row>
    <row r="766">
      <c r="A766" s="17"/>
    </row>
    <row r="767">
      <c r="A767" s="17"/>
    </row>
    <row r="768">
      <c r="A768" s="17"/>
    </row>
    <row r="769">
      <c r="A769" s="17"/>
    </row>
    <row r="770">
      <c r="A770" s="17"/>
    </row>
    <row r="771">
      <c r="A771" s="17"/>
    </row>
    <row r="772">
      <c r="A772" s="17"/>
    </row>
    <row r="773">
      <c r="A773" s="17"/>
    </row>
    <row r="774">
      <c r="A774" s="17"/>
    </row>
    <row r="775">
      <c r="A775" s="17"/>
    </row>
    <row r="776">
      <c r="A776" s="17"/>
    </row>
    <row r="777">
      <c r="A777" s="17"/>
    </row>
    <row r="778">
      <c r="A778" s="17"/>
    </row>
    <row r="779">
      <c r="A779" s="17"/>
    </row>
    <row r="780">
      <c r="A780" s="17"/>
    </row>
    <row r="781">
      <c r="A781" s="17"/>
    </row>
    <row r="782">
      <c r="A782" s="17"/>
    </row>
    <row r="783">
      <c r="A783" s="17"/>
    </row>
    <row r="784">
      <c r="A784" s="17"/>
    </row>
    <row r="785">
      <c r="A785" s="17"/>
    </row>
    <row r="786">
      <c r="A786" s="17"/>
    </row>
    <row r="787">
      <c r="A787" s="17"/>
    </row>
    <row r="788">
      <c r="A788" s="17"/>
    </row>
    <row r="789">
      <c r="A789" s="17"/>
    </row>
    <row r="790">
      <c r="A790" s="17"/>
    </row>
    <row r="791">
      <c r="A791" s="17"/>
    </row>
    <row r="792">
      <c r="A792" s="17"/>
    </row>
    <row r="793">
      <c r="A793" s="17"/>
    </row>
    <row r="794">
      <c r="A794" s="17"/>
    </row>
    <row r="795">
      <c r="A795" s="17"/>
    </row>
    <row r="796">
      <c r="A796" s="17"/>
    </row>
    <row r="797">
      <c r="A797" s="17"/>
    </row>
    <row r="798">
      <c r="A798" s="17"/>
    </row>
    <row r="799">
      <c r="A799" s="17"/>
    </row>
    <row r="800">
      <c r="A800" s="17"/>
    </row>
    <row r="801">
      <c r="A801" s="17"/>
    </row>
    <row r="802">
      <c r="A802" s="17"/>
    </row>
    <row r="803">
      <c r="A803" s="17"/>
    </row>
    <row r="804">
      <c r="A804" s="17"/>
    </row>
    <row r="805">
      <c r="A805" s="17"/>
    </row>
    <row r="806">
      <c r="A806" s="17"/>
    </row>
    <row r="807">
      <c r="A807" s="17"/>
    </row>
    <row r="808">
      <c r="A808" s="17"/>
    </row>
    <row r="809">
      <c r="A809" s="17"/>
    </row>
    <row r="810">
      <c r="A810" s="17"/>
    </row>
    <row r="811">
      <c r="A811" s="17"/>
    </row>
    <row r="812">
      <c r="A812" s="17"/>
    </row>
    <row r="813">
      <c r="A813" s="17"/>
    </row>
    <row r="814">
      <c r="A814" s="17"/>
    </row>
    <row r="815">
      <c r="A815" s="17"/>
    </row>
    <row r="816">
      <c r="A816" s="17"/>
    </row>
    <row r="817">
      <c r="A817" s="17"/>
    </row>
    <row r="818">
      <c r="A818" s="17"/>
    </row>
    <row r="819">
      <c r="A819" s="17"/>
    </row>
    <row r="820">
      <c r="A820" s="17"/>
    </row>
    <row r="821">
      <c r="A821" s="17"/>
    </row>
    <row r="822">
      <c r="A822" s="17"/>
    </row>
    <row r="823">
      <c r="A823" s="17"/>
    </row>
    <row r="824">
      <c r="A824" s="17"/>
    </row>
    <row r="825">
      <c r="A825" s="17"/>
    </row>
    <row r="826">
      <c r="A826" s="17"/>
    </row>
    <row r="827">
      <c r="A827" s="17"/>
    </row>
    <row r="828">
      <c r="A828" s="17"/>
    </row>
    <row r="829">
      <c r="A829" s="17"/>
    </row>
    <row r="830">
      <c r="A830" s="17"/>
    </row>
    <row r="831">
      <c r="A831" s="17"/>
    </row>
    <row r="832">
      <c r="A832" s="17"/>
    </row>
    <row r="833">
      <c r="A833" s="17"/>
    </row>
    <row r="834">
      <c r="A834" s="17"/>
    </row>
    <row r="835">
      <c r="A835" s="17"/>
    </row>
    <row r="836">
      <c r="A836" s="17"/>
    </row>
    <row r="837">
      <c r="A837" s="17"/>
    </row>
    <row r="838">
      <c r="A838" s="17"/>
    </row>
    <row r="839">
      <c r="A839" s="17"/>
    </row>
    <row r="840">
      <c r="A840" s="17"/>
    </row>
    <row r="841">
      <c r="A841" s="17"/>
    </row>
    <row r="842">
      <c r="A842" s="17"/>
    </row>
    <row r="843">
      <c r="A843" s="17"/>
    </row>
    <row r="844">
      <c r="A844" s="17"/>
    </row>
    <row r="845">
      <c r="A845" s="17"/>
    </row>
    <row r="846">
      <c r="A846" s="17"/>
    </row>
    <row r="847">
      <c r="A847" s="17"/>
    </row>
    <row r="848">
      <c r="A848" s="17"/>
    </row>
    <row r="849">
      <c r="A849" s="17"/>
    </row>
    <row r="850">
      <c r="A850" s="17"/>
    </row>
    <row r="851">
      <c r="A851" s="17"/>
    </row>
    <row r="852">
      <c r="A852" s="17"/>
    </row>
    <row r="853">
      <c r="A853" s="17"/>
    </row>
    <row r="854">
      <c r="A854" s="17"/>
    </row>
    <row r="855">
      <c r="A855" s="17"/>
    </row>
    <row r="856">
      <c r="A856" s="17"/>
    </row>
    <row r="857">
      <c r="A857" s="17"/>
    </row>
    <row r="858">
      <c r="A858" s="17"/>
    </row>
    <row r="859">
      <c r="A859" s="17"/>
    </row>
    <row r="860">
      <c r="A860" s="17"/>
    </row>
    <row r="861">
      <c r="A861" s="17"/>
    </row>
    <row r="862">
      <c r="A862" s="17"/>
    </row>
    <row r="863">
      <c r="A863" s="17"/>
    </row>
    <row r="864">
      <c r="A864" s="17"/>
    </row>
    <row r="865">
      <c r="A865" s="17"/>
    </row>
    <row r="866">
      <c r="A866" s="17"/>
    </row>
    <row r="867">
      <c r="A867" s="17"/>
    </row>
    <row r="868">
      <c r="A868" s="17"/>
    </row>
    <row r="869">
      <c r="A869" s="17"/>
    </row>
    <row r="870">
      <c r="A870" s="17"/>
    </row>
    <row r="871">
      <c r="A871" s="17"/>
    </row>
    <row r="872">
      <c r="A872" s="17"/>
    </row>
    <row r="873">
      <c r="A873" s="17"/>
    </row>
    <row r="874">
      <c r="A874" s="17"/>
    </row>
    <row r="875">
      <c r="A875" s="17"/>
    </row>
    <row r="876">
      <c r="A876" s="17"/>
    </row>
    <row r="877">
      <c r="A877" s="17"/>
    </row>
    <row r="878">
      <c r="A878" s="17"/>
    </row>
    <row r="879">
      <c r="A879" s="17"/>
    </row>
    <row r="880">
      <c r="A880" s="17"/>
    </row>
    <row r="881">
      <c r="A881" s="17"/>
    </row>
    <row r="882">
      <c r="A882" s="17"/>
    </row>
    <row r="883">
      <c r="A883" s="17"/>
    </row>
    <row r="884">
      <c r="A884" s="17"/>
    </row>
    <row r="885">
      <c r="A885" s="17"/>
    </row>
    <row r="886">
      <c r="A886" s="17"/>
    </row>
    <row r="887">
      <c r="A887" s="17"/>
    </row>
    <row r="888">
      <c r="A888" s="17"/>
    </row>
    <row r="889">
      <c r="A889" s="17"/>
    </row>
    <row r="890">
      <c r="A890" s="17"/>
    </row>
    <row r="891">
      <c r="A891" s="17"/>
    </row>
    <row r="892">
      <c r="A892" s="17"/>
    </row>
    <row r="893">
      <c r="A893" s="17"/>
    </row>
    <row r="894">
      <c r="A894" s="17"/>
    </row>
    <row r="895">
      <c r="A895" s="17"/>
    </row>
    <row r="896">
      <c r="A896" s="17"/>
    </row>
    <row r="897">
      <c r="A897" s="17"/>
    </row>
    <row r="898">
      <c r="A898" s="17"/>
    </row>
    <row r="899">
      <c r="A899" s="17"/>
    </row>
    <row r="900">
      <c r="A900" s="17"/>
    </row>
    <row r="901">
      <c r="A901" s="17"/>
    </row>
    <row r="902">
      <c r="A902" s="17"/>
    </row>
    <row r="903">
      <c r="A903" s="17"/>
    </row>
    <row r="904">
      <c r="A904" s="17"/>
    </row>
    <row r="905">
      <c r="A905" s="17"/>
    </row>
    <row r="906">
      <c r="A906" s="17"/>
    </row>
    <row r="907">
      <c r="A907" s="17"/>
    </row>
    <row r="908">
      <c r="A908" s="17"/>
    </row>
    <row r="909">
      <c r="A909" s="17"/>
    </row>
    <row r="910">
      <c r="A910" s="17"/>
    </row>
    <row r="911">
      <c r="A911" s="17"/>
    </row>
    <row r="912">
      <c r="A912" s="17"/>
    </row>
    <row r="913">
      <c r="A913" s="17"/>
    </row>
    <row r="914">
      <c r="A914" s="17"/>
    </row>
    <row r="915">
      <c r="A915" s="17"/>
    </row>
    <row r="916">
      <c r="A916" s="17"/>
    </row>
    <row r="917">
      <c r="A917" s="17"/>
    </row>
    <row r="918">
      <c r="A918" s="17"/>
    </row>
    <row r="919">
      <c r="A919" s="17"/>
    </row>
    <row r="920">
      <c r="A920" s="17"/>
    </row>
    <row r="921">
      <c r="A921" s="17"/>
    </row>
    <row r="922">
      <c r="A922" s="17"/>
    </row>
    <row r="923">
      <c r="A923" s="17"/>
    </row>
    <row r="924">
      <c r="A924" s="17"/>
    </row>
    <row r="925">
      <c r="A925" s="17"/>
    </row>
    <row r="926">
      <c r="A926" s="17"/>
    </row>
    <row r="927">
      <c r="A927" s="17"/>
    </row>
    <row r="928">
      <c r="A928" s="17"/>
    </row>
    <row r="929">
      <c r="A929" s="17"/>
    </row>
    <row r="930">
      <c r="A930" s="17"/>
    </row>
    <row r="931">
      <c r="A931" s="17"/>
    </row>
    <row r="932">
      <c r="A932" s="17"/>
    </row>
    <row r="933">
      <c r="A933" s="17"/>
    </row>
    <row r="934">
      <c r="A934" s="17"/>
    </row>
    <row r="935">
      <c r="A935" s="17"/>
    </row>
    <row r="936">
      <c r="A936" s="17"/>
    </row>
    <row r="937">
      <c r="A937" s="17"/>
    </row>
    <row r="938">
      <c r="A938" s="17"/>
    </row>
    <row r="939">
      <c r="A939" s="17"/>
    </row>
    <row r="940">
      <c r="A940" s="17"/>
    </row>
    <row r="941">
      <c r="A941" s="17"/>
    </row>
    <row r="942">
      <c r="A942" s="17"/>
    </row>
    <row r="943">
      <c r="A943" s="17"/>
    </row>
    <row r="944">
      <c r="A944" s="17"/>
    </row>
    <row r="945">
      <c r="A945" s="17"/>
    </row>
    <row r="946">
      <c r="A946" s="17"/>
    </row>
    <row r="947">
      <c r="A947" s="17"/>
    </row>
    <row r="948">
      <c r="A948" s="17"/>
    </row>
    <row r="949">
      <c r="A949" s="17"/>
    </row>
    <row r="950">
      <c r="A950" s="17"/>
    </row>
    <row r="951">
      <c r="A951" s="17"/>
    </row>
    <row r="952">
      <c r="A952" s="17"/>
    </row>
    <row r="953">
      <c r="A953" s="17"/>
    </row>
    <row r="954">
      <c r="A954" s="17"/>
    </row>
    <row r="955">
      <c r="A955" s="17"/>
    </row>
    <row r="956">
      <c r="A956" s="17"/>
    </row>
    <row r="957">
      <c r="A957" s="17"/>
    </row>
    <row r="958">
      <c r="A958" s="17"/>
    </row>
    <row r="959">
      <c r="A959" s="17"/>
    </row>
    <row r="960">
      <c r="A960" s="17"/>
    </row>
    <row r="961">
      <c r="A961" s="17"/>
    </row>
    <row r="962">
      <c r="A962" s="17"/>
    </row>
    <row r="963">
      <c r="A963" s="17"/>
    </row>
    <row r="964">
      <c r="A964" s="17"/>
    </row>
    <row r="965">
      <c r="A965" s="17"/>
    </row>
    <row r="966">
      <c r="A966" s="17"/>
    </row>
    <row r="967">
      <c r="A967" s="17"/>
    </row>
    <row r="968">
      <c r="A968" s="17"/>
    </row>
    <row r="969">
      <c r="A969" s="17"/>
    </row>
    <row r="970">
      <c r="A970" s="17"/>
    </row>
    <row r="971">
      <c r="A971" s="17"/>
    </row>
    <row r="972">
      <c r="A972" s="17"/>
    </row>
    <row r="973">
      <c r="A973" s="17"/>
    </row>
    <row r="974">
      <c r="A974" s="17"/>
    </row>
    <row r="975">
      <c r="A975" s="17"/>
    </row>
    <row r="976">
      <c r="A976" s="17"/>
    </row>
    <row r="977">
      <c r="A977" s="17"/>
    </row>
    <row r="978">
      <c r="A978" s="17"/>
    </row>
    <row r="979">
      <c r="A979" s="17"/>
    </row>
    <row r="980">
      <c r="A980" s="17"/>
    </row>
    <row r="981">
      <c r="A981" s="17"/>
    </row>
    <row r="982">
      <c r="A982" s="17"/>
    </row>
    <row r="983">
      <c r="A983" s="17"/>
    </row>
    <row r="984">
      <c r="A984" s="17"/>
    </row>
    <row r="985">
      <c r="A985" s="17"/>
    </row>
    <row r="986">
      <c r="A986" s="17"/>
    </row>
    <row r="987">
      <c r="A987" s="17"/>
    </row>
    <row r="988">
      <c r="A988" s="17"/>
    </row>
    <row r="989">
      <c r="A989" s="17"/>
    </row>
    <row r="990">
      <c r="A990" s="17"/>
    </row>
    <row r="991">
      <c r="A991" s="17"/>
    </row>
    <row r="992">
      <c r="A992" s="17"/>
    </row>
    <row r="993">
      <c r="A993" s="17"/>
    </row>
    <row r="994">
      <c r="A994" s="17"/>
    </row>
    <row r="995">
      <c r="A995" s="17"/>
    </row>
    <row r="996">
      <c r="A996" s="17"/>
    </row>
    <row r="997">
      <c r="A997" s="17"/>
    </row>
    <row r="998">
      <c r="A998" s="17"/>
    </row>
    <row r="999">
      <c r="A999" s="17"/>
    </row>
    <row r="1000">
      <c r="A1000" s="17"/>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5"/>
    <col customWidth="1" min="3" max="3" width="42.25"/>
  </cols>
  <sheetData>
    <row r="1">
      <c r="A1" s="26" t="s">
        <v>8837</v>
      </c>
      <c r="B1" s="26" t="s">
        <v>8838</v>
      </c>
      <c r="C1" s="26" t="s">
        <v>8839</v>
      </c>
      <c r="D1" s="14" t="s">
        <v>8840</v>
      </c>
      <c r="E1" s="33"/>
      <c r="F1" s="33"/>
      <c r="G1" s="33"/>
      <c r="H1" s="33"/>
      <c r="I1" s="33"/>
      <c r="J1" s="26"/>
    </row>
    <row r="2">
      <c r="A2" s="14" t="s">
        <v>8841</v>
      </c>
      <c r="B2" s="1" t="s">
        <v>8842</v>
      </c>
      <c r="C2" s="1" t="s">
        <v>8843</v>
      </c>
      <c r="D2" s="1" t="s">
        <v>8844</v>
      </c>
      <c r="G2" s="57"/>
    </row>
    <row r="3">
      <c r="A3" s="14" t="s">
        <v>8845</v>
      </c>
      <c r="B3" s="1" t="s">
        <v>8846</v>
      </c>
      <c r="C3" s="1" t="s">
        <v>8846</v>
      </c>
      <c r="D3" s="1" t="s">
        <v>8847</v>
      </c>
    </row>
    <row r="4">
      <c r="A4" s="14" t="s">
        <v>8848</v>
      </c>
      <c r="B4" s="1">
        <v>101.605</v>
      </c>
      <c r="C4" s="1">
        <v>100.865</v>
      </c>
      <c r="D4" s="1">
        <v>100.2425</v>
      </c>
    </row>
    <row r="5">
      <c r="A5" s="14" t="s">
        <v>8849</v>
      </c>
      <c r="B5" s="1">
        <v>165.0</v>
      </c>
      <c r="C5" s="1">
        <v>28155.0</v>
      </c>
      <c r="D5" s="1">
        <v>306.5</v>
      </c>
    </row>
    <row r="6">
      <c r="A6" s="14" t="s">
        <v>8850</v>
      </c>
      <c r="B6" s="57">
        <v>0.060055</v>
      </c>
      <c r="C6" s="57">
        <v>0.068152</v>
      </c>
      <c r="D6" s="57">
        <v>0.08633</v>
      </c>
      <c r="E6" s="57"/>
    </row>
    <row r="7">
      <c r="A7" s="14" t="s">
        <v>8851</v>
      </c>
      <c r="B7" s="1" t="s">
        <v>8852</v>
      </c>
      <c r="C7" s="1" t="s">
        <v>8852</v>
      </c>
      <c r="D7" s="1" t="s">
        <v>8852</v>
      </c>
    </row>
    <row r="8">
      <c r="A8" s="14" t="s">
        <v>8853</v>
      </c>
      <c r="B8" s="57">
        <v>0.0706</v>
      </c>
      <c r="C8" s="57">
        <v>0.0694</v>
      </c>
      <c r="D8" s="57">
        <v>0.0865</v>
      </c>
      <c r="E8" s="57"/>
    </row>
    <row r="9">
      <c r="A9" s="14" t="s">
        <v>8854</v>
      </c>
      <c r="B9" s="1">
        <v>101.65</v>
      </c>
      <c r="C9" s="1">
        <v>100.87</v>
      </c>
      <c r="D9" s="1">
        <v>100.2425</v>
      </c>
    </row>
    <row r="10">
      <c r="A10" s="14" t="s">
        <v>8855</v>
      </c>
      <c r="B10" s="1">
        <v>101.5825</v>
      </c>
      <c r="C10" s="1">
        <v>100.68</v>
      </c>
      <c r="D10" s="1">
        <v>100.2425</v>
      </c>
    </row>
    <row r="11">
      <c r="A11" s="14" t="s">
        <v>8856</v>
      </c>
      <c r="B11" s="1" t="s">
        <v>8857</v>
      </c>
      <c r="C11" s="1" t="s">
        <v>8857</v>
      </c>
      <c r="D11" s="1" t="s">
        <v>8858</v>
      </c>
    </row>
    <row r="12">
      <c r="A12" s="14" t="s">
        <v>8859</v>
      </c>
      <c r="B12" s="1" t="s">
        <v>8860</v>
      </c>
      <c r="C12" s="1" t="s">
        <v>8861</v>
      </c>
      <c r="D12" s="1" t="s">
        <v>8862</v>
      </c>
    </row>
    <row r="13">
      <c r="A13" s="26"/>
      <c r="B13" s="26"/>
      <c r="C13" s="26"/>
    </row>
    <row r="14">
      <c r="A14" s="17"/>
    </row>
    <row r="15">
      <c r="A15" s="17"/>
    </row>
    <row r="16">
      <c r="A16" s="17"/>
    </row>
    <row r="17">
      <c r="A17" s="17"/>
    </row>
    <row r="18">
      <c r="A18" s="17"/>
    </row>
    <row r="19">
      <c r="A19" s="17"/>
    </row>
    <row r="20">
      <c r="A20" s="17"/>
    </row>
    <row r="21">
      <c r="A21" s="17"/>
    </row>
    <row r="22">
      <c r="A22" s="17"/>
    </row>
    <row r="23">
      <c r="A23" s="17"/>
    </row>
    <row r="24">
      <c r="A24" s="17"/>
    </row>
    <row r="25">
      <c r="A25" s="17"/>
    </row>
    <row r="26">
      <c r="A26" s="17"/>
    </row>
    <row r="27">
      <c r="A27" s="17"/>
    </row>
    <row r="28">
      <c r="A28" s="17"/>
    </row>
    <row r="29">
      <c r="A29" s="17"/>
    </row>
    <row r="30">
      <c r="A30" s="17"/>
    </row>
    <row r="31">
      <c r="A31" s="17"/>
    </row>
    <row r="32">
      <c r="A32" s="17"/>
    </row>
    <row r="33">
      <c r="A33" s="17"/>
    </row>
    <row r="34">
      <c r="A34" s="17"/>
    </row>
    <row r="35">
      <c r="A35" s="17"/>
    </row>
    <row r="36">
      <c r="A36" s="17"/>
    </row>
    <row r="37">
      <c r="A37" s="17"/>
    </row>
    <row r="38">
      <c r="A38" s="17"/>
    </row>
    <row r="39">
      <c r="A39" s="17"/>
    </row>
    <row r="40">
      <c r="A40" s="17"/>
    </row>
    <row r="41">
      <c r="A41" s="17"/>
    </row>
    <row r="42">
      <c r="A42" s="17"/>
    </row>
    <row r="43">
      <c r="A43" s="17"/>
    </row>
    <row r="44">
      <c r="A44" s="17"/>
    </row>
    <row r="45">
      <c r="A45" s="17"/>
    </row>
    <row r="46">
      <c r="A46" s="17"/>
    </row>
    <row r="47">
      <c r="A47" s="17"/>
    </row>
    <row r="48">
      <c r="A48" s="17"/>
    </row>
    <row r="49">
      <c r="A49" s="17"/>
    </row>
    <row r="50">
      <c r="A50" s="17"/>
    </row>
    <row r="51">
      <c r="A51" s="17"/>
    </row>
    <row r="52">
      <c r="A52" s="17"/>
    </row>
    <row r="53">
      <c r="A53" s="17"/>
    </row>
    <row r="54">
      <c r="A54" s="17"/>
    </row>
    <row r="55">
      <c r="A55" s="17"/>
    </row>
    <row r="56">
      <c r="A56" s="17"/>
    </row>
    <row r="57">
      <c r="A57" s="17"/>
    </row>
    <row r="58">
      <c r="A58" s="17"/>
    </row>
    <row r="59">
      <c r="A59" s="17"/>
    </row>
    <row r="60">
      <c r="A60" s="17"/>
    </row>
    <row r="61">
      <c r="A61" s="17"/>
    </row>
    <row r="62">
      <c r="A62" s="17"/>
    </row>
    <row r="63">
      <c r="A63" s="17"/>
    </row>
    <row r="64">
      <c r="A64" s="17"/>
    </row>
    <row r="65">
      <c r="A65" s="17"/>
    </row>
    <row r="66">
      <c r="A66" s="17"/>
    </row>
    <row r="67">
      <c r="A67" s="17"/>
    </row>
    <row r="68">
      <c r="A68" s="17"/>
    </row>
    <row r="69">
      <c r="A69" s="17"/>
    </row>
    <row r="70">
      <c r="A70" s="17"/>
    </row>
    <row r="71">
      <c r="A71" s="17"/>
    </row>
    <row r="72">
      <c r="A72" s="17"/>
    </row>
    <row r="73">
      <c r="A73" s="17"/>
    </row>
    <row r="74">
      <c r="A74" s="17"/>
    </row>
    <row r="75">
      <c r="A75" s="17"/>
    </row>
    <row r="76">
      <c r="A76" s="17"/>
    </row>
    <row r="77">
      <c r="A77" s="17"/>
    </row>
    <row r="78">
      <c r="A78" s="17"/>
    </row>
    <row r="79">
      <c r="A79" s="17"/>
    </row>
    <row r="80">
      <c r="A80" s="17"/>
    </row>
    <row r="81">
      <c r="A81" s="17"/>
    </row>
    <row r="82">
      <c r="A82" s="17"/>
    </row>
    <row r="83">
      <c r="A83" s="17"/>
    </row>
    <row r="84">
      <c r="A84" s="17"/>
    </row>
    <row r="85">
      <c r="A85" s="17"/>
    </row>
    <row r="86">
      <c r="A86" s="17"/>
    </row>
    <row r="87">
      <c r="A87" s="17"/>
    </row>
    <row r="88">
      <c r="A88" s="17"/>
    </row>
    <row r="89">
      <c r="A89" s="17"/>
    </row>
    <row r="90">
      <c r="A90" s="17"/>
    </row>
    <row r="91">
      <c r="A91" s="17"/>
    </row>
    <row r="92">
      <c r="A92" s="17"/>
    </row>
    <row r="93">
      <c r="A93" s="17"/>
    </row>
    <row r="94">
      <c r="A94" s="17"/>
    </row>
    <row r="95">
      <c r="A95" s="17"/>
    </row>
    <row r="96">
      <c r="A96" s="17"/>
    </row>
    <row r="97">
      <c r="A97" s="17"/>
    </row>
    <row r="98">
      <c r="A98" s="17"/>
    </row>
    <row r="99">
      <c r="A99" s="17"/>
    </row>
    <row r="100">
      <c r="A100" s="17"/>
    </row>
    <row r="101">
      <c r="A101" s="17"/>
    </row>
    <row r="102">
      <c r="A102" s="17"/>
    </row>
    <row r="103">
      <c r="A103" s="17"/>
    </row>
    <row r="104">
      <c r="A104" s="17"/>
    </row>
    <row r="105">
      <c r="A105" s="17"/>
    </row>
    <row r="106">
      <c r="A106" s="17"/>
    </row>
    <row r="107">
      <c r="A107" s="17"/>
    </row>
    <row r="108">
      <c r="A108" s="17"/>
    </row>
    <row r="109">
      <c r="A109" s="17"/>
    </row>
    <row r="110">
      <c r="A110" s="17"/>
    </row>
    <row r="111">
      <c r="A111" s="17"/>
    </row>
    <row r="112">
      <c r="A112" s="17"/>
    </row>
    <row r="113">
      <c r="A113" s="17"/>
    </row>
    <row r="114">
      <c r="A114" s="17"/>
    </row>
    <row r="115">
      <c r="A115" s="17"/>
    </row>
    <row r="116">
      <c r="A116" s="17"/>
    </row>
    <row r="117">
      <c r="A117" s="17"/>
    </row>
    <row r="118">
      <c r="A118" s="17"/>
    </row>
    <row r="119">
      <c r="A119" s="17"/>
    </row>
    <row r="120">
      <c r="A120" s="17"/>
    </row>
    <row r="121">
      <c r="A121" s="17"/>
    </row>
    <row r="122">
      <c r="A122" s="17"/>
    </row>
    <row r="123">
      <c r="A123" s="17"/>
    </row>
    <row r="124">
      <c r="A124" s="17"/>
    </row>
    <row r="125">
      <c r="A125" s="17"/>
    </row>
    <row r="126">
      <c r="A126" s="17"/>
    </row>
    <row r="127">
      <c r="A127" s="17"/>
    </row>
    <row r="128">
      <c r="A128" s="17"/>
    </row>
    <row r="129">
      <c r="A129" s="17"/>
    </row>
    <row r="130">
      <c r="A130" s="17"/>
    </row>
    <row r="131">
      <c r="A131" s="17"/>
    </row>
    <row r="132">
      <c r="A132" s="17"/>
    </row>
    <row r="133">
      <c r="A133" s="17"/>
    </row>
    <row r="134">
      <c r="A134" s="17"/>
    </row>
    <row r="135">
      <c r="A135" s="17"/>
    </row>
    <row r="136">
      <c r="A136" s="17"/>
    </row>
    <row r="137">
      <c r="A137" s="17"/>
    </row>
    <row r="138">
      <c r="A138" s="17"/>
    </row>
    <row r="139">
      <c r="A139" s="17"/>
    </row>
    <row r="140">
      <c r="A140" s="17"/>
    </row>
    <row r="141">
      <c r="A141" s="17"/>
    </row>
    <row r="142">
      <c r="A142" s="17"/>
    </row>
    <row r="143">
      <c r="A143" s="17"/>
    </row>
    <row r="144">
      <c r="A144" s="17"/>
    </row>
    <row r="145">
      <c r="A145" s="17"/>
    </row>
    <row r="146">
      <c r="A146" s="17"/>
    </row>
    <row r="147">
      <c r="A147" s="17"/>
    </row>
    <row r="148">
      <c r="A148" s="17"/>
    </row>
    <row r="149">
      <c r="A149" s="17"/>
    </row>
    <row r="150">
      <c r="A150" s="17"/>
    </row>
    <row r="151">
      <c r="A151" s="17"/>
    </row>
    <row r="152">
      <c r="A152" s="17"/>
    </row>
    <row r="153">
      <c r="A153" s="17"/>
    </row>
    <row r="154">
      <c r="A154" s="17"/>
    </row>
    <row r="155">
      <c r="A155" s="17"/>
    </row>
    <row r="156">
      <c r="A156" s="17"/>
    </row>
    <row r="157">
      <c r="A157" s="17"/>
    </row>
    <row r="158">
      <c r="A158" s="17"/>
    </row>
    <row r="159">
      <c r="A159" s="17"/>
    </row>
    <row r="160">
      <c r="A160" s="17"/>
    </row>
    <row r="161">
      <c r="A161" s="17"/>
    </row>
    <row r="162">
      <c r="A162" s="17"/>
    </row>
    <row r="163">
      <c r="A163" s="17"/>
    </row>
    <row r="164">
      <c r="A164" s="17"/>
    </row>
    <row r="165">
      <c r="A165" s="17"/>
    </row>
    <row r="166">
      <c r="A166" s="17"/>
    </row>
    <row r="167">
      <c r="A167" s="17"/>
    </row>
    <row r="168">
      <c r="A168" s="17"/>
    </row>
    <row r="169">
      <c r="A169" s="17"/>
    </row>
    <row r="170">
      <c r="A170" s="17"/>
    </row>
    <row r="171">
      <c r="A171" s="17"/>
    </row>
    <row r="172">
      <c r="A172" s="17"/>
    </row>
    <row r="173">
      <c r="A173" s="17"/>
    </row>
    <row r="174">
      <c r="A174" s="17"/>
    </row>
    <row r="175">
      <c r="A175" s="17"/>
    </row>
    <row r="176">
      <c r="A176" s="17"/>
    </row>
    <row r="177">
      <c r="A177" s="17"/>
    </row>
    <row r="178">
      <c r="A178" s="17"/>
    </row>
    <row r="179">
      <c r="A179" s="17"/>
    </row>
    <row r="180">
      <c r="A180" s="17"/>
    </row>
    <row r="181">
      <c r="A181" s="17"/>
    </row>
    <row r="182">
      <c r="A182" s="17"/>
    </row>
    <row r="183">
      <c r="A183" s="17"/>
    </row>
    <row r="184">
      <c r="A184" s="17"/>
    </row>
    <row r="185">
      <c r="A185" s="17"/>
    </row>
    <row r="186">
      <c r="A186" s="17"/>
    </row>
    <row r="187">
      <c r="A187" s="17"/>
    </row>
    <row r="188">
      <c r="A188" s="17"/>
    </row>
    <row r="189">
      <c r="A189" s="17"/>
    </row>
    <row r="190">
      <c r="A190" s="17"/>
    </row>
    <row r="191">
      <c r="A191" s="17"/>
    </row>
    <row r="192">
      <c r="A192" s="17"/>
    </row>
    <row r="193">
      <c r="A193" s="17"/>
    </row>
    <row r="194">
      <c r="A194" s="17"/>
    </row>
    <row r="195">
      <c r="A195" s="17"/>
    </row>
    <row r="196">
      <c r="A196" s="17"/>
    </row>
    <row r="197">
      <c r="A197" s="17"/>
    </row>
    <row r="198">
      <c r="A198" s="17"/>
    </row>
    <row r="199">
      <c r="A199" s="17"/>
    </row>
    <row r="200">
      <c r="A200" s="17"/>
    </row>
    <row r="201">
      <c r="A201" s="17"/>
    </row>
    <row r="202">
      <c r="A202" s="17"/>
    </row>
    <row r="203">
      <c r="A203" s="17"/>
    </row>
    <row r="204">
      <c r="A204" s="17"/>
    </row>
    <row r="205">
      <c r="A205" s="17"/>
    </row>
    <row r="206">
      <c r="A206" s="17"/>
    </row>
    <row r="207">
      <c r="A207" s="17"/>
    </row>
    <row r="208">
      <c r="A208" s="17"/>
    </row>
    <row r="209">
      <c r="A209" s="17"/>
    </row>
    <row r="210">
      <c r="A210" s="17"/>
    </row>
    <row r="211">
      <c r="A211" s="17"/>
    </row>
    <row r="212">
      <c r="A212" s="17"/>
    </row>
    <row r="213">
      <c r="A213" s="17"/>
    </row>
    <row r="214">
      <c r="A214" s="17"/>
    </row>
    <row r="215">
      <c r="A215" s="17"/>
    </row>
    <row r="216">
      <c r="A216" s="17"/>
    </row>
    <row r="217">
      <c r="A217" s="17"/>
    </row>
    <row r="218">
      <c r="A218" s="17"/>
    </row>
    <row r="219">
      <c r="A219" s="17"/>
    </row>
    <row r="220">
      <c r="A220" s="17"/>
    </row>
    <row r="221">
      <c r="A221" s="17"/>
    </row>
    <row r="222">
      <c r="A222" s="17"/>
    </row>
    <row r="223">
      <c r="A223" s="17"/>
    </row>
    <row r="224">
      <c r="A224" s="17"/>
    </row>
    <row r="225">
      <c r="A225" s="17"/>
    </row>
    <row r="226">
      <c r="A226" s="17"/>
    </row>
    <row r="227">
      <c r="A227" s="17"/>
    </row>
    <row r="228">
      <c r="A228" s="17"/>
    </row>
    <row r="229">
      <c r="A229" s="17"/>
    </row>
    <row r="230">
      <c r="A230" s="17"/>
    </row>
    <row r="231">
      <c r="A231" s="17"/>
    </row>
    <row r="232">
      <c r="A232" s="17"/>
    </row>
    <row r="233">
      <c r="A233" s="17"/>
    </row>
    <row r="234">
      <c r="A234" s="17"/>
    </row>
    <row r="235">
      <c r="A235" s="17"/>
    </row>
    <row r="236">
      <c r="A236" s="17"/>
    </row>
    <row r="237">
      <c r="A237" s="17"/>
    </row>
    <row r="238">
      <c r="A238" s="17"/>
    </row>
    <row r="239">
      <c r="A239" s="17"/>
    </row>
    <row r="240">
      <c r="A240" s="17"/>
    </row>
    <row r="241">
      <c r="A241" s="17"/>
    </row>
    <row r="242">
      <c r="A242" s="17"/>
    </row>
    <row r="243">
      <c r="A243" s="17"/>
    </row>
    <row r="244">
      <c r="A244" s="17"/>
    </row>
    <row r="245">
      <c r="A245" s="17"/>
    </row>
    <row r="246">
      <c r="A246" s="17"/>
    </row>
    <row r="247">
      <c r="A247" s="17"/>
    </row>
    <row r="248">
      <c r="A248" s="17"/>
    </row>
    <row r="249">
      <c r="A249" s="17"/>
    </row>
    <row r="250">
      <c r="A250" s="17"/>
    </row>
    <row r="251">
      <c r="A251" s="17"/>
    </row>
    <row r="252">
      <c r="A252" s="17"/>
    </row>
    <row r="253">
      <c r="A253" s="17"/>
    </row>
    <row r="254">
      <c r="A254" s="17"/>
    </row>
    <row r="255">
      <c r="A255" s="17"/>
    </row>
    <row r="256">
      <c r="A256" s="17"/>
    </row>
    <row r="257">
      <c r="A257" s="17"/>
    </row>
    <row r="258">
      <c r="A258" s="17"/>
    </row>
    <row r="259">
      <c r="A259" s="17"/>
    </row>
    <row r="260">
      <c r="A260" s="17"/>
    </row>
    <row r="261">
      <c r="A261" s="17"/>
    </row>
    <row r="262">
      <c r="A262" s="17"/>
    </row>
    <row r="263">
      <c r="A263" s="17"/>
    </row>
    <row r="264">
      <c r="A264" s="17"/>
    </row>
    <row r="265">
      <c r="A265" s="17"/>
    </row>
    <row r="266">
      <c r="A266" s="17"/>
    </row>
    <row r="267">
      <c r="A267" s="17"/>
    </row>
    <row r="268">
      <c r="A268" s="17"/>
    </row>
    <row r="269">
      <c r="A269" s="17"/>
    </row>
    <row r="270">
      <c r="A270" s="17"/>
    </row>
    <row r="271">
      <c r="A271" s="17"/>
    </row>
    <row r="272">
      <c r="A272" s="17"/>
    </row>
    <row r="273">
      <c r="A273" s="17"/>
    </row>
    <row r="274">
      <c r="A274" s="17"/>
    </row>
    <row r="275">
      <c r="A275" s="17"/>
    </row>
    <row r="276">
      <c r="A276" s="17"/>
    </row>
    <row r="277">
      <c r="A277" s="17"/>
    </row>
    <row r="278">
      <c r="A278" s="17"/>
    </row>
    <row r="279">
      <c r="A279" s="17"/>
    </row>
    <row r="280">
      <c r="A280" s="17"/>
    </row>
    <row r="281">
      <c r="A281" s="17"/>
    </row>
    <row r="282">
      <c r="A282" s="17"/>
    </row>
    <row r="283">
      <c r="A283" s="17"/>
    </row>
    <row r="284">
      <c r="A284" s="17"/>
    </row>
    <row r="285">
      <c r="A285" s="17"/>
    </row>
    <row r="286">
      <c r="A286" s="17"/>
    </row>
    <row r="287">
      <c r="A287" s="17"/>
    </row>
    <row r="288">
      <c r="A288" s="17"/>
    </row>
    <row r="289">
      <c r="A289" s="17"/>
    </row>
    <row r="290">
      <c r="A290" s="17"/>
    </row>
    <row r="291">
      <c r="A291" s="17"/>
    </row>
    <row r="292">
      <c r="A292" s="17"/>
    </row>
    <row r="293">
      <c r="A293" s="17"/>
    </row>
    <row r="294">
      <c r="A294" s="17"/>
    </row>
    <row r="295">
      <c r="A295" s="17"/>
    </row>
    <row r="296">
      <c r="A296" s="17"/>
    </row>
    <row r="297">
      <c r="A297" s="17"/>
    </row>
    <row r="298">
      <c r="A298" s="17"/>
    </row>
    <row r="299">
      <c r="A299" s="17"/>
    </row>
    <row r="300">
      <c r="A300" s="17"/>
    </row>
    <row r="301">
      <c r="A301" s="17"/>
    </row>
    <row r="302">
      <c r="A302" s="17"/>
    </row>
    <row r="303">
      <c r="A303" s="17"/>
    </row>
    <row r="304">
      <c r="A304" s="17"/>
    </row>
    <row r="305">
      <c r="A305" s="17"/>
    </row>
    <row r="306">
      <c r="A306" s="17"/>
    </row>
    <row r="307">
      <c r="A307" s="17"/>
    </row>
    <row r="308">
      <c r="A308" s="17"/>
    </row>
    <row r="309">
      <c r="A309" s="17"/>
    </row>
    <row r="310">
      <c r="A310" s="17"/>
    </row>
    <row r="311">
      <c r="A311" s="17"/>
    </row>
    <row r="312">
      <c r="A312" s="17"/>
    </row>
    <row r="313">
      <c r="A313" s="17"/>
    </row>
    <row r="314">
      <c r="A314" s="17"/>
    </row>
    <row r="315">
      <c r="A315" s="17"/>
    </row>
    <row r="316">
      <c r="A316" s="17"/>
    </row>
    <row r="317">
      <c r="A317" s="17"/>
    </row>
    <row r="318">
      <c r="A318" s="17"/>
    </row>
    <row r="319">
      <c r="A319" s="17"/>
    </row>
    <row r="320">
      <c r="A320" s="17"/>
    </row>
    <row r="321">
      <c r="A321" s="17"/>
    </row>
    <row r="322">
      <c r="A322" s="17"/>
    </row>
    <row r="323">
      <c r="A323" s="17"/>
    </row>
    <row r="324">
      <c r="A324" s="17"/>
    </row>
    <row r="325">
      <c r="A325" s="17"/>
    </row>
    <row r="326">
      <c r="A326" s="17"/>
    </row>
    <row r="327">
      <c r="A327" s="17"/>
    </row>
    <row r="328">
      <c r="A328" s="17"/>
    </row>
    <row r="329">
      <c r="A329" s="17"/>
    </row>
    <row r="330">
      <c r="A330" s="17"/>
    </row>
    <row r="331">
      <c r="A331" s="17"/>
    </row>
    <row r="332">
      <c r="A332" s="17"/>
    </row>
    <row r="333">
      <c r="A333" s="17"/>
    </row>
    <row r="334">
      <c r="A334" s="17"/>
    </row>
    <row r="335">
      <c r="A335" s="17"/>
    </row>
    <row r="336">
      <c r="A336" s="17"/>
    </row>
    <row r="337">
      <c r="A337" s="17"/>
    </row>
    <row r="338">
      <c r="A338" s="17"/>
    </row>
    <row r="339">
      <c r="A339" s="17"/>
    </row>
    <row r="340">
      <c r="A340" s="17"/>
    </row>
    <row r="341">
      <c r="A341" s="17"/>
    </row>
    <row r="342">
      <c r="A342" s="17"/>
    </row>
    <row r="343">
      <c r="A343" s="17"/>
    </row>
    <row r="344">
      <c r="A344" s="17"/>
    </row>
    <row r="345">
      <c r="A345" s="17"/>
    </row>
    <row r="346">
      <c r="A346" s="17"/>
    </row>
    <row r="347">
      <c r="A347" s="17"/>
    </row>
    <row r="348">
      <c r="A348" s="17"/>
    </row>
    <row r="349">
      <c r="A349" s="17"/>
    </row>
    <row r="350">
      <c r="A350" s="17"/>
    </row>
    <row r="351">
      <c r="A351" s="17"/>
    </row>
    <row r="352">
      <c r="A352" s="17"/>
    </row>
    <row r="353">
      <c r="A353" s="17"/>
    </row>
    <row r="354">
      <c r="A354" s="17"/>
    </row>
    <row r="355">
      <c r="A355" s="17"/>
    </row>
    <row r="356">
      <c r="A356" s="17"/>
    </row>
    <row r="357">
      <c r="A357" s="17"/>
    </row>
    <row r="358">
      <c r="A358" s="17"/>
    </row>
    <row r="359">
      <c r="A359" s="17"/>
    </row>
    <row r="360">
      <c r="A360" s="17"/>
    </row>
    <row r="361">
      <c r="A361" s="17"/>
    </row>
    <row r="362">
      <c r="A362" s="17"/>
    </row>
    <row r="363">
      <c r="A363" s="17"/>
    </row>
    <row r="364">
      <c r="A364" s="17"/>
    </row>
    <row r="365">
      <c r="A365" s="17"/>
    </row>
    <row r="366">
      <c r="A366" s="17"/>
    </row>
    <row r="367">
      <c r="A367" s="17"/>
    </row>
    <row r="368">
      <c r="A368" s="17"/>
    </row>
    <row r="369">
      <c r="A369" s="17"/>
    </row>
    <row r="370">
      <c r="A370" s="17"/>
    </row>
    <row r="371">
      <c r="A371" s="17"/>
    </row>
    <row r="372">
      <c r="A372" s="17"/>
    </row>
    <row r="373">
      <c r="A373" s="17"/>
    </row>
    <row r="374">
      <c r="A374" s="17"/>
    </row>
    <row r="375">
      <c r="A375" s="17"/>
    </row>
    <row r="376">
      <c r="A376" s="17"/>
    </row>
    <row r="377">
      <c r="A377" s="17"/>
    </row>
    <row r="378">
      <c r="A378" s="17"/>
    </row>
    <row r="379">
      <c r="A379" s="17"/>
    </row>
    <row r="380">
      <c r="A380" s="17"/>
    </row>
    <row r="381">
      <c r="A381" s="17"/>
    </row>
    <row r="382">
      <c r="A382" s="17"/>
    </row>
    <row r="383">
      <c r="A383" s="17"/>
    </row>
    <row r="384">
      <c r="A384" s="17"/>
    </row>
    <row r="385">
      <c r="A385" s="17"/>
    </row>
    <row r="386">
      <c r="A386" s="17"/>
    </row>
    <row r="387">
      <c r="A387" s="17"/>
    </row>
    <row r="388">
      <c r="A388" s="17"/>
    </row>
    <row r="389">
      <c r="A389" s="17"/>
    </row>
    <row r="390">
      <c r="A390" s="17"/>
    </row>
    <row r="391">
      <c r="A391" s="17"/>
    </row>
    <row r="392">
      <c r="A392" s="17"/>
    </row>
    <row r="393">
      <c r="A393" s="17"/>
    </row>
    <row r="394">
      <c r="A394" s="17"/>
    </row>
    <row r="395">
      <c r="A395" s="17"/>
    </row>
    <row r="396">
      <c r="A396" s="17"/>
    </row>
    <row r="397">
      <c r="A397" s="17"/>
    </row>
    <row r="398">
      <c r="A398" s="17"/>
    </row>
    <row r="399">
      <c r="A399" s="17"/>
    </row>
    <row r="400">
      <c r="A400" s="17"/>
    </row>
    <row r="401">
      <c r="A401" s="17"/>
    </row>
    <row r="402">
      <c r="A402" s="17"/>
    </row>
    <row r="403">
      <c r="A403" s="17"/>
    </row>
    <row r="404">
      <c r="A404" s="17"/>
    </row>
    <row r="405">
      <c r="A405" s="17"/>
    </row>
    <row r="406">
      <c r="A406" s="17"/>
    </row>
    <row r="407">
      <c r="A407" s="17"/>
    </row>
    <row r="408">
      <c r="A408" s="17"/>
    </row>
    <row r="409">
      <c r="A409" s="17"/>
    </row>
    <row r="410">
      <c r="A410" s="17"/>
    </row>
    <row r="411">
      <c r="A411" s="17"/>
    </row>
    <row r="412">
      <c r="A412" s="17"/>
    </row>
    <row r="413">
      <c r="A413" s="17"/>
    </row>
    <row r="414">
      <c r="A414" s="17"/>
    </row>
    <row r="415">
      <c r="A415" s="17"/>
    </row>
    <row r="416">
      <c r="A416" s="17"/>
    </row>
    <row r="417">
      <c r="A417" s="17"/>
    </row>
    <row r="418">
      <c r="A418" s="17"/>
    </row>
    <row r="419">
      <c r="A419" s="17"/>
    </row>
    <row r="420">
      <c r="A420" s="17"/>
    </row>
    <row r="421">
      <c r="A421" s="17"/>
    </row>
    <row r="422">
      <c r="A422" s="17"/>
    </row>
    <row r="423">
      <c r="A423" s="17"/>
    </row>
    <row r="424">
      <c r="A424" s="17"/>
    </row>
    <row r="425">
      <c r="A425" s="17"/>
    </row>
    <row r="426">
      <c r="A426" s="17"/>
    </row>
    <row r="427">
      <c r="A427" s="17"/>
    </row>
    <row r="428">
      <c r="A428" s="17"/>
    </row>
    <row r="429">
      <c r="A429" s="17"/>
    </row>
    <row r="430">
      <c r="A430" s="17"/>
    </row>
    <row r="431">
      <c r="A431" s="17"/>
    </row>
    <row r="432">
      <c r="A432" s="17"/>
    </row>
    <row r="433">
      <c r="A433" s="17"/>
    </row>
    <row r="434">
      <c r="A434" s="17"/>
    </row>
    <row r="435">
      <c r="A435" s="17"/>
    </row>
    <row r="436">
      <c r="A436" s="17"/>
    </row>
    <row r="437">
      <c r="A437" s="17"/>
    </row>
    <row r="438">
      <c r="A438" s="17"/>
    </row>
    <row r="439">
      <c r="A439" s="17"/>
    </row>
    <row r="440">
      <c r="A440" s="17"/>
    </row>
    <row r="441">
      <c r="A441" s="17"/>
    </row>
    <row r="442">
      <c r="A442" s="17"/>
    </row>
    <row r="443">
      <c r="A443" s="17"/>
    </row>
    <row r="444">
      <c r="A444" s="17"/>
    </row>
    <row r="445">
      <c r="A445" s="17"/>
    </row>
    <row r="446">
      <c r="A446" s="17"/>
    </row>
    <row r="447">
      <c r="A447" s="17"/>
    </row>
    <row r="448">
      <c r="A448" s="17"/>
    </row>
    <row r="449">
      <c r="A449" s="17"/>
    </row>
    <row r="450">
      <c r="A450" s="17"/>
    </row>
    <row r="451">
      <c r="A451" s="17"/>
    </row>
    <row r="452">
      <c r="A452" s="17"/>
    </row>
    <row r="453">
      <c r="A453" s="17"/>
    </row>
    <row r="454">
      <c r="A454" s="17"/>
    </row>
    <row r="455">
      <c r="A455" s="17"/>
    </row>
    <row r="456">
      <c r="A456" s="17"/>
    </row>
    <row r="457">
      <c r="A457" s="17"/>
    </row>
    <row r="458">
      <c r="A458" s="17"/>
    </row>
    <row r="459">
      <c r="A459" s="17"/>
    </row>
    <row r="460">
      <c r="A460" s="17"/>
    </row>
    <row r="461">
      <c r="A461" s="17"/>
    </row>
    <row r="462">
      <c r="A462" s="17"/>
    </row>
    <row r="463">
      <c r="A463" s="17"/>
    </row>
    <row r="464">
      <c r="A464" s="17"/>
    </row>
    <row r="465">
      <c r="A465" s="17"/>
    </row>
    <row r="466">
      <c r="A466" s="17"/>
    </row>
    <row r="467">
      <c r="A467" s="17"/>
    </row>
    <row r="468">
      <c r="A468" s="17"/>
    </row>
    <row r="469">
      <c r="A469" s="17"/>
    </row>
    <row r="470">
      <c r="A470" s="17"/>
    </row>
    <row r="471">
      <c r="A471" s="17"/>
    </row>
    <row r="472">
      <c r="A472" s="17"/>
    </row>
    <row r="473">
      <c r="A473" s="17"/>
    </row>
    <row r="474">
      <c r="A474" s="17"/>
    </row>
    <row r="475">
      <c r="A475" s="17"/>
    </row>
    <row r="476">
      <c r="A476" s="17"/>
    </row>
    <row r="477">
      <c r="A477" s="17"/>
    </row>
    <row r="478">
      <c r="A478" s="17"/>
    </row>
    <row r="479">
      <c r="A479" s="17"/>
    </row>
    <row r="480">
      <c r="A480" s="17"/>
    </row>
    <row r="481">
      <c r="A481" s="17"/>
    </row>
    <row r="482">
      <c r="A482" s="17"/>
    </row>
    <row r="483">
      <c r="A483" s="17"/>
    </row>
    <row r="484">
      <c r="A484" s="17"/>
    </row>
    <row r="485">
      <c r="A485" s="17"/>
    </row>
    <row r="486">
      <c r="A486" s="17"/>
    </row>
    <row r="487">
      <c r="A487" s="17"/>
    </row>
    <row r="488">
      <c r="A488" s="17"/>
    </row>
    <row r="489">
      <c r="A489" s="17"/>
    </row>
    <row r="490">
      <c r="A490" s="17"/>
    </row>
    <row r="491">
      <c r="A491" s="17"/>
    </row>
    <row r="492">
      <c r="A492" s="17"/>
    </row>
    <row r="493">
      <c r="A493" s="17"/>
    </row>
    <row r="494">
      <c r="A494" s="17"/>
    </row>
    <row r="495">
      <c r="A495" s="17"/>
    </row>
    <row r="496">
      <c r="A496" s="17"/>
    </row>
    <row r="497">
      <c r="A497" s="17"/>
    </row>
    <row r="498">
      <c r="A498" s="17"/>
    </row>
    <row r="499">
      <c r="A499" s="17"/>
    </row>
    <row r="500">
      <c r="A500" s="17"/>
    </row>
    <row r="501">
      <c r="A501" s="17"/>
    </row>
    <row r="502">
      <c r="A502" s="17"/>
    </row>
    <row r="503">
      <c r="A503" s="17"/>
    </row>
    <row r="504">
      <c r="A504" s="17"/>
    </row>
    <row r="505">
      <c r="A505" s="17"/>
    </row>
    <row r="506">
      <c r="A506" s="17"/>
    </row>
    <row r="507">
      <c r="A507" s="17"/>
    </row>
    <row r="508">
      <c r="A508" s="17"/>
    </row>
    <row r="509">
      <c r="A509" s="17"/>
    </row>
    <row r="510">
      <c r="A510" s="17"/>
    </row>
    <row r="511">
      <c r="A511" s="17"/>
    </row>
    <row r="512">
      <c r="A512" s="17"/>
    </row>
    <row r="513">
      <c r="A513" s="17"/>
    </row>
    <row r="514">
      <c r="A514" s="17"/>
    </row>
    <row r="515">
      <c r="A515" s="17"/>
    </row>
    <row r="516">
      <c r="A516" s="17"/>
    </row>
    <row r="517">
      <c r="A517" s="17"/>
    </row>
    <row r="518">
      <c r="A518" s="17"/>
    </row>
    <row r="519">
      <c r="A519" s="17"/>
    </row>
    <row r="520">
      <c r="A520" s="17"/>
    </row>
    <row r="521">
      <c r="A521" s="17"/>
    </row>
    <row r="522">
      <c r="A522" s="17"/>
    </row>
    <row r="523">
      <c r="A523" s="17"/>
    </row>
    <row r="524">
      <c r="A524" s="17"/>
    </row>
    <row r="525">
      <c r="A525" s="17"/>
    </row>
    <row r="526">
      <c r="A526" s="17"/>
    </row>
    <row r="527">
      <c r="A527" s="17"/>
    </row>
    <row r="528">
      <c r="A528" s="17"/>
    </row>
    <row r="529">
      <c r="A529" s="17"/>
    </row>
    <row r="530">
      <c r="A530" s="17"/>
    </row>
    <row r="531">
      <c r="A531" s="17"/>
    </row>
    <row r="532">
      <c r="A532" s="17"/>
    </row>
    <row r="533">
      <c r="A533" s="17"/>
    </row>
    <row r="534">
      <c r="A534" s="17"/>
    </row>
    <row r="535">
      <c r="A535" s="17"/>
    </row>
    <row r="536">
      <c r="A536" s="17"/>
    </row>
    <row r="537">
      <c r="A537" s="17"/>
    </row>
    <row r="538">
      <c r="A538" s="17"/>
    </row>
    <row r="539">
      <c r="A539" s="17"/>
    </row>
    <row r="540">
      <c r="A540" s="17"/>
    </row>
    <row r="541">
      <c r="A541" s="17"/>
    </row>
    <row r="542">
      <c r="A542" s="17"/>
    </row>
    <row r="543">
      <c r="A543" s="17"/>
    </row>
    <row r="544">
      <c r="A544" s="17"/>
    </row>
    <row r="545">
      <c r="A545" s="17"/>
    </row>
    <row r="546">
      <c r="A546" s="17"/>
    </row>
    <row r="547">
      <c r="A547" s="17"/>
    </row>
    <row r="548">
      <c r="A548" s="17"/>
    </row>
    <row r="549">
      <c r="A549" s="17"/>
    </row>
    <row r="550">
      <c r="A550" s="17"/>
    </row>
    <row r="551">
      <c r="A551" s="17"/>
    </row>
    <row r="552">
      <c r="A552" s="17"/>
    </row>
    <row r="553">
      <c r="A553" s="17"/>
    </row>
    <row r="554">
      <c r="A554" s="17"/>
    </row>
    <row r="555">
      <c r="A555" s="17"/>
    </row>
    <row r="556">
      <c r="A556" s="17"/>
    </row>
    <row r="557">
      <c r="A557" s="17"/>
    </row>
    <row r="558">
      <c r="A558" s="17"/>
    </row>
    <row r="559">
      <c r="A559" s="17"/>
    </row>
    <row r="560">
      <c r="A560" s="17"/>
    </row>
    <row r="561">
      <c r="A561" s="17"/>
    </row>
    <row r="562">
      <c r="A562" s="17"/>
    </row>
    <row r="563">
      <c r="A563" s="17"/>
    </row>
    <row r="564">
      <c r="A564" s="17"/>
    </row>
    <row r="565">
      <c r="A565" s="17"/>
    </row>
    <row r="566">
      <c r="A566" s="17"/>
    </row>
    <row r="567">
      <c r="A567" s="17"/>
    </row>
    <row r="568">
      <c r="A568" s="17"/>
    </row>
    <row r="569">
      <c r="A569" s="17"/>
    </row>
    <row r="570">
      <c r="A570" s="17"/>
    </row>
    <row r="571">
      <c r="A571" s="17"/>
    </row>
    <row r="572">
      <c r="A572" s="17"/>
    </row>
    <row r="573">
      <c r="A573" s="17"/>
    </row>
    <row r="574">
      <c r="A574" s="17"/>
    </row>
    <row r="575">
      <c r="A575" s="17"/>
    </row>
    <row r="576">
      <c r="A576" s="17"/>
    </row>
    <row r="577">
      <c r="A577" s="17"/>
    </row>
    <row r="578">
      <c r="A578" s="17"/>
    </row>
    <row r="579">
      <c r="A579" s="17"/>
    </row>
    <row r="580">
      <c r="A580" s="17"/>
    </row>
    <row r="581">
      <c r="A581" s="17"/>
    </row>
    <row r="582">
      <c r="A582" s="17"/>
    </row>
    <row r="583">
      <c r="A583" s="17"/>
    </row>
    <row r="584">
      <c r="A584" s="17"/>
    </row>
    <row r="585">
      <c r="A585" s="17"/>
    </row>
    <row r="586">
      <c r="A586" s="17"/>
    </row>
    <row r="587">
      <c r="A587" s="17"/>
    </row>
    <row r="588">
      <c r="A588" s="17"/>
    </row>
    <row r="589">
      <c r="A589" s="17"/>
    </row>
    <row r="590">
      <c r="A590" s="17"/>
    </row>
    <row r="591">
      <c r="A591" s="17"/>
    </row>
    <row r="592">
      <c r="A592" s="17"/>
    </row>
    <row r="593">
      <c r="A593" s="17"/>
    </row>
    <row r="594">
      <c r="A594" s="17"/>
    </row>
    <row r="595">
      <c r="A595" s="17"/>
    </row>
    <row r="596">
      <c r="A596" s="17"/>
    </row>
    <row r="597">
      <c r="A597" s="17"/>
    </row>
    <row r="598">
      <c r="A598" s="17"/>
    </row>
    <row r="599">
      <c r="A599" s="17"/>
    </row>
    <row r="600">
      <c r="A600" s="17"/>
    </row>
    <row r="601">
      <c r="A601" s="17"/>
    </row>
    <row r="602">
      <c r="A602" s="17"/>
    </row>
    <row r="603">
      <c r="A603" s="17"/>
    </row>
    <row r="604">
      <c r="A604" s="17"/>
    </row>
    <row r="605">
      <c r="A605" s="17"/>
    </row>
    <row r="606">
      <c r="A606" s="17"/>
    </row>
    <row r="607">
      <c r="A607" s="17"/>
    </row>
    <row r="608">
      <c r="A608" s="17"/>
    </row>
    <row r="609">
      <c r="A609" s="17"/>
    </row>
    <row r="610">
      <c r="A610" s="17"/>
    </row>
    <row r="611">
      <c r="A611" s="17"/>
    </row>
    <row r="612">
      <c r="A612" s="17"/>
    </row>
    <row r="613">
      <c r="A613" s="17"/>
    </row>
    <row r="614">
      <c r="A614" s="17"/>
    </row>
    <row r="615">
      <c r="A615" s="17"/>
    </row>
    <row r="616">
      <c r="A616" s="17"/>
    </row>
    <row r="617">
      <c r="A617" s="17"/>
    </row>
    <row r="618">
      <c r="A618" s="17"/>
    </row>
    <row r="619">
      <c r="A619" s="17"/>
    </row>
    <row r="620">
      <c r="A620" s="17"/>
    </row>
    <row r="621">
      <c r="A621" s="17"/>
    </row>
    <row r="622">
      <c r="A622" s="17"/>
    </row>
    <row r="623">
      <c r="A623" s="17"/>
    </row>
    <row r="624">
      <c r="A624" s="17"/>
    </row>
    <row r="625">
      <c r="A625" s="17"/>
    </row>
    <row r="626">
      <c r="A626" s="17"/>
    </row>
    <row r="627">
      <c r="A627" s="17"/>
    </row>
    <row r="628">
      <c r="A628" s="17"/>
    </row>
    <row r="629">
      <c r="A629" s="17"/>
    </row>
    <row r="630">
      <c r="A630" s="17"/>
    </row>
    <row r="631">
      <c r="A631" s="17"/>
    </row>
    <row r="632">
      <c r="A632" s="17"/>
    </row>
    <row r="633">
      <c r="A633" s="17"/>
    </row>
    <row r="634">
      <c r="A634" s="17"/>
    </row>
    <row r="635">
      <c r="A635" s="17"/>
    </row>
    <row r="636">
      <c r="A636" s="17"/>
    </row>
    <row r="637">
      <c r="A637" s="17"/>
    </row>
    <row r="638">
      <c r="A638" s="17"/>
    </row>
    <row r="639">
      <c r="A639" s="17"/>
    </row>
    <row r="640">
      <c r="A640" s="17"/>
    </row>
    <row r="641">
      <c r="A641" s="17"/>
    </row>
    <row r="642">
      <c r="A642" s="17"/>
    </row>
    <row r="643">
      <c r="A643" s="17"/>
    </row>
    <row r="644">
      <c r="A644" s="17"/>
    </row>
    <row r="645">
      <c r="A645" s="17"/>
    </row>
    <row r="646">
      <c r="A646" s="17"/>
    </row>
    <row r="647">
      <c r="A647" s="17"/>
    </row>
    <row r="648">
      <c r="A648" s="17"/>
    </row>
    <row r="649">
      <c r="A649" s="17"/>
    </row>
    <row r="650">
      <c r="A650" s="17"/>
    </row>
    <row r="651">
      <c r="A651" s="17"/>
    </row>
    <row r="652">
      <c r="A652" s="17"/>
    </row>
    <row r="653">
      <c r="A653" s="17"/>
    </row>
    <row r="654">
      <c r="A654" s="17"/>
    </row>
    <row r="655">
      <c r="A655" s="17"/>
    </row>
    <row r="656">
      <c r="A656" s="17"/>
    </row>
    <row r="657">
      <c r="A657" s="17"/>
    </row>
    <row r="658">
      <c r="A658" s="17"/>
    </row>
    <row r="659">
      <c r="A659" s="17"/>
    </row>
    <row r="660">
      <c r="A660" s="17"/>
    </row>
    <row r="661">
      <c r="A661" s="17"/>
    </row>
    <row r="662">
      <c r="A662" s="17"/>
    </row>
    <row r="663">
      <c r="A663" s="17"/>
    </row>
    <row r="664">
      <c r="A664" s="17"/>
    </row>
    <row r="665">
      <c r="A665" s="17"/>
    </row>
    <row r="666">
      <c r="A666" s="17"/>
    </row>
    <row r="667">
      <c r="A667" s="17"/>
    </row>
    <row r="668">
      <c r="A668" s="17"/>
    </row>
    <row r="669">
      <c r="A669" s="17"/>
    </row>
    <row r="670">
      <c r="A670" s="17"/>
    </row>
    <row r="671">
      <c r="A671" s="17"/>
    </row>
    <row r="672">
      <c r="A672" s="17"/>
    </row>
    <row r="673">
      <c r="A673" s="17"/>
    </row>
    <row r="674">
      <c r="A674" s="17"/>
    </row>
    <row r="675">
      <c r="A675" s="17"/>
    </row>
    <row r="676">
      <c r="A676" s="17"/>
    </row>
    <row r="677">
      <c r="A677" s="17"/>
    </row>
    <row r="678">
      <c r="A678" s="17"/>
    </row>
    <row r="679">
      <c r="A679" s="17"/>
    </row>
    <row r="680">
      <c r="A680" s="17"/>
    </row>
    <row r="681">
      <c r="A681" s="17"/>
    </row>
    <row r="682">
      <c r="A682" s="17"/>
    </row>
    <row r="683">
      <c r="A683" s="17"/>
    </row>
    <row r="684">
      <c r="A684" s="17"/>
    </row>
    <row r="685">
      <c r="A685" s="17"/>
    </row>
    <row r="686">
      <c r="A686" s="17"/>
    </row>
    <row r="687">
      <c r="A687" s="17"/>
    </row>
    <row r="688">
      <c r="A688" s="17"/>
    </row>
    <row r="689">
      <c r="A689" s="17"/>
    </row>
    <row r="690">
      <c r="A690" s="17"/>
    </row>
    <row r="691">
      <c r="A691" s="17"/>
    </row>
    <row r="692">
      <c r="A692" s="17"/>
    </row>
    <row r="693">
      <c r="A693" s="17"/>
    </row>
    <row r="694">
      <c r="A694" s="17"/>
    </row>
    <row r="695">
      <c r="A695" s="17"/>
    </row>
    <row r="696">
      <c r="A696" s="17"/>
    </row>
    <row r="697">
      <c r="A697" s="17"/>
    </row>
    <row r="698">
      <c r="A698" s="17"/>
    </row>
    <row r="699">
      <c r="A699" s="17"/>
    </row>
    <row r="700">
      <c r="A700" s="17"/>
    </row>
    <row r="701">
      <c r="A701" s="17"/>
    </row>
    <row r="702">
      <c r="A702" s="17"/>
    </row>
    <row r="703">
      <c r="A703" s="17"/>
    </row>
    <row r="704">
      <c r="A704" s="17"/>
    </row>
    <row r="705">
      <c r="A705" s="17"/>
    </row>
    <row r="706">
      <c r="A706" s="17"/>
    </row>
    <row r="707">
      <c r="A707" s="17"/>
    </row>
    <row r="708">
      <c r="A708" s="17"/>
    </row>
    <row r="709">
      <c r="A709" s="17"/>
    </row>
    <row r="710">
      <c r="A710" s="17"/>
    </row>
    <row r="711">
      <c r="A711" s="17"/>
    </row>
    <row r="712">
      <c r="A712" s="17"/>
    </row>
    <row r="713">
      <c r="A713" s="17"/>
    </row>
    <row r="714">
      <c r="A714" s="17"/>
    </row>
    <row r="715">
      <c r="A715" s="17"/>
    </row>
    <row r="716">
      <c r="A716" s="17"/>
    </row>
    <row r="717">
      <c r="A717" s="17"/>
    </row>
    <row r="718">
      <c r="A718" s="17"/>
    </row>
    <row r="719">
      <c r="A719" s="17"/>
    </row>
    <row r="720">
      <c r="A720" s="17"/>
    </row>
    <row r="721">
      <c r="A721" s="17"/>
    </row>
    <row r="722">
      <c r="A722" s="17"/>
    </row>
    <row r="723">
      <c r="A723" s="17"/>
    </row>
    <row r="724">
      <c r="A724" s="17"/>
    </row>
    <row r="725">
      <c r="A725" s="17"/>
    </row>
    <row r="726">
      <c r="A726" s="17"/>
    </row>
    <row r="727">
      <c r="A727" s="17"/>
    </row>
    <row r="728">
      <c r="A728" s="17"/>
    </row>
    <row r="729">
      <c r="A729" s="17"/>
    </row>
    <row r="730">
      <c r="A730" s="17"/>
    </row>
    <row r="731">
      <c r="A731" s="17"/>
    </row>
    <row r="732">
      <c r="A732" s="17"/>
    </row>
    <row r="733">
      <c r="A733" s="17"/>
    </row>
    <row r="734">
      <c r="A734" s="17"/>
    </row>
    <row r="735">
      <c r="A735" s="17"/>
    </row>
    <row r="736">
      <c r="A736" s="17"/>
    </row>
    <row r="737">
      <c r="A737" s="17"/>
    </row>
    <row r="738">
      <c r="A738" s="17"/>
    </row>
    <row r="739">
      <c r="A739" s="17"/>
    </row>
    <row r="740">
      <c r="A740" s="17"/>
    </row>
    <row r="741">
      <c r="A741" s="17"/>
    </row>
    <row r="742">
      <c r="A742" s="17"/>
    </row>
    <row r="743">
      <c r="A743" s="17"/>
    </row>
    <row r="744">
      <c r="A744" s="17"/>
    </row>
    <row r="745">
      <c r="A745" s="17"/>
    </row>
    <row r="746">
      <c r="A746" s="17"/>
    </row>
    <row r="747">
      <c r="A747" s="17"/>
    </row>
    <row r="748">
      <c r="A748" s="17"/>
    </row>
    <row r="749">
      <c r="A749" s="17"/>
    </row>
    <row r="750">
      <c r="A750" s="17"/>
    </row>
    <row r="751">
      <c r="A751" s="17"/>
    </row>
    <row r="752">
      <c r="A752" s="17"/>
    </row>
    <row r="753">
      <c r="A753" s="17"/>
    </row>
    <row r="754">
      <c r="A754" s="17"/>
    </row>
    <row r="755">
      <c r="A755" s="17"/>
    </row>
    <row r="756">
      <c r="A756" s="17"/>
    </row>
    <row r="757">
      <c r="A757" s="17"/>
    </row>
    <row r="758">
      <c r="A758" s="17"/>
    </row>
    <row r="759">
      <c r="A759" s="17"/>
    </row>
    <row r="760">
      <c r="A760" s="17"/>
    </row>
    <row r="761">
      <c r="A761" s="17"/>
    </row>
    <row r="762">
      <c r="A762" s="17"/>
    </row>
    <row r="763">
      <c r="A763" s="17"/>
    </row>
    <row r="764">
      <c r="A764" s="17"/>
    </row>
    <row r="765">
      <c r="A765" s="17"/>
    </row>
    <row r="766">
      <c r="A766" s="17"/>
    </row>
    <row r="767">
      <c r="A767" s="17"/>
    </row>
    <row r="768">
      <c r="A768" s="17"/>
    </row>
    <row r="769">
      <c r="A769" s="17"/>
    </row>
    <row r="770">
      <c r="A770" s="17"/>
    </row>
    <row r="771">
      <c r="A771" s="17"/>
    </row>
    <row r="772">
      <c r="A772" s="17"/>
    </row>
    <row r="773">
      <c r="A773" s="17"/>
    </row>
    <row r="774">
      <c r="A774" s="17"/>
    </row>
    <row r="775">
      <c r="A775" s="17"/>
    </row>
    <row r="776">
      <c r="A776" s="17"/>
    </row>
    <row r="777">
      <c r="A777" s="17"/>
    </row>
    <row r="778">
      <c r="A778" s="17"/>
    </row>
    <row r="779">
      <c r="A779" s="17"/>
    </row>
    <row r="780">
      <c r="A780" s="17"/>
    </row>
    <row r="781">
      <c r="A781" s="17"/>
    </row>
    <row r="782">
      <c r="A782" s="17"/>
    </row>
    <row r="783">
      <c r="A783" s="17"/>
    </row>
    <row r="784">
      <c r="A784" s="17"/>
    </row>
    <row r="785">
      <c r="A785" s="17"/>
    </row>
    <row r="786">
      <c r="A786" s="17"/>
    </row>
    <row r="787">
      <c r="A787" s="17"/>
    </row>
    <row r="788">
      <c r="A788" s="17"/>
    </row>
    <row r="789">
      <c r="A789" s="17"/>
    </row>
    <row r="790">
      <c r="A790" s="17"/>
    </row>
    <row r="791">
      <c r="A791" s="17"/>
    </row>
    <row r="792">
      <c r="A792" s="17"/>
    </row>
    <row r="793">
      <c r="A793" s="17"/>
    </row>
    <row r="794">
      <c r="A794" s="17"/>
    </row>
    <row r="795">
      <c r="A795" s="17"/>
    </row>
    <row r="796">
      <c r="A796" s="17"/>
    </row>
    <row r="797">
      <c r="A797" s="17"/>
    </row>
    <row r="798">
      <c r="A798" s="17"/>
    </row>
    <row r="799">
      <c r="A799" s="17"/>
    </row>
    <row r="800">
      <c r="A800" s="17"/>
    </row>
    <row r="801">
      <c r="A801" s="17"/>
    </row>
    <row r="802">
      <c r="A802" s="17"/>
    </row>
    <row r="803">
      <c r="A803" s="17"/>
    </row>
    <row r="804">
      <c r="A804" s="17"/>
    </row>
    <row r="805">
      <c r="A805" s="17"/>
    </row>
    <row r="806">
      <c r="A806" s="17"/>
    </row>
    <row r="807">
      <c r="A807" s="17"/>
    </row>
    <row r="808">
      <c r="A808" s="17"/>
    </row>
    <row r="809">
      <c r="A809" s="17"/>
    </row>
    <row r="810">
      <c r="A810" s="17"/>
    </row>
    <row r="811">
      <c r="A811" s="17"/>
    </row>
    <row r="812">
      <c r="A812" s="17"/>
    </row>
    <row r="813">
      <c r="A813" s="17"/>
    </row>
    <row r="814">
      <c r="A814" s="17"/>
    </row>
    <row r="815">
      <c r="A815" s="17"/>
    </row>
    <row r="816">
      <c r="A816" s="17"/>
    </row>
    <row r="817">
      <c r="A817" s="17"/>
    </row>
    <row r="818">
      <c r="A818" s="17"/>
    </row>
    <row r="819">
      <c r="A819" s="17"/>
    </row>
    <row r="820">
      <c r="A820" s="17"/>
    </row>
    <row r="821">
      <c r="A821" s="17"/>
    </row>
    <row r="822">
      <c r="A822" s="17"/>
    </row>
    <row r="823">
      <c r="A823" s="17"/>
    </row>
    <row r="824">
      <c r="A824" s="17"/>
    </row>
    <row r="825">
      <c r="A825" s="17"/>
    </row>
    <row r="826">
      <c r="A826" s="17"/>
    </row>
    <row r="827">
      <c r="A827" s="17"/>
    </row>
    <row r="828">
      <c r="A828" s="17"/>
    </row>
    <row r="829">
      <c r="A829" s="17"/>
    </row>
    <row r="830">
      <c r="A830" s="17"/>
    </row>
    <row r="831">
      <c r="A831" s="17"/>
    </row>
    <row r="832">
      <c r="A832" s="17"/>
    </row>
    <row r="833">
      <c r="A833" s="17"/>
    </row>
    <row r="834">
      <c r="A834" s="17"/>
    </row>
    <row r="835">
      <c r="A835" s="17"/>
    </row>
    <row r="836">
      <c r="A836" s="17"/>
    </row>
    <row r="837">
      <c r="A837" s="17"/>
    </row>
    <row r="838">
      <c r="A838" s="17"/>
    </row>
    <row r="839">
      <c r="A839" s="17"/>
    </row>
    <row r="840">
      <c r="A840" s="17"/>
    </row>
    <row r="841">
      <c r="A841" s="17"/>
    </row>
    <row r="842">
      <c r="A842" s="17"/>
    </row>
    <row r="843">
      <c r="A843" s="17"/>
    </row>
    <row r="844">
      <c r="A844" s="17"/>
    </row>
    <row r="845">
      <c r="A845" s="17"/>
    </row>
    <row r="846">
      <c r="A846" s="17"/>
    </row>
    <row r="847">
      <c r="A847" s="17"/>
    </row>
    <row r="848">
      <c r="A848" s="17"/>
    </row>
    <row r="849">
      <c r="A849" s="17"/>
    </row>
    <row r="850">
      <c r="A850" s="17"/>
    </row>
    <row r="851">
      <c r="A851" s="17"/>
    </row>
    <row r="852">
      <c r="A852" s="17"/>
    </row>
    <row r="853">
      <c r="A853" s="17"/>
    </row>
    <row r="854">
      <c r="A854" s="17"/>
    </row>
    <row r="855">
      <c r="A855" s="17"/>
    </row>
    <row r="856">
      <c r="A856" s="17"/>
    </row>
    <row r="857">
      <c r="A857" s="17"/>
    </row>
    <row r="858">
      <c r="A858" s="17"/>
    </row>
    <row r="859">
      <c r="A859" s="17"/>
    </row>
    <row r="860">
      <c r="A860" s="17"/>
    </row>
    <row r="861">
      <c r="A861" s="17"/>
    </row>
    <row r="862">
      <c r="A862" s="17"/>
    </row>
    <row r="863">
      <c r="A863" s="17"/>
    </row>
    <row r="864">
      <c r="A864" s="17"/>
    </row>
    <row r="865">
      <c r="A865" s="17"/>
    </row>
    <row r="866">
      <c r="A866" s="17"/>
    </row>
    <row r="867">
      <c r="A867" s="17"/>
    </row>
    <row r="868">
      <c r="A868" s="17"/>
    </row>
    <row r="869">
      <c r="A869" s="17"/>
    </row>
    <row r="870">
      <c r="A870" s="17"/>
    </row>
    <row r="871">
      <c r="A871" s="17"/>
    </row>
    <row r="872">
      <c r="A872" s="17"/>
    </row>
    <row r="873">
      <c r="A873" s="17"/>
    </row>
    <row r="874">
      <c r="A874" s="17"/>
    </row>
    <row r="875">
      <c r="A875" s="17"/>
    </row>
    <row r="876">
      <c r="A876" s="17"/>
    </row>
    <row r="877">
      <c r="A877" s="17"/>
    </row>
    <row r="878">
      <c r="A878" s="17"/>
    </row>
    <row r="879">
      <c r="A879" s="17"/>
    </row>
    <row r="880">
      <c r="A880" s="17"/>
    </row>
    <row r="881">
      <c r="A881" s="17"/>
    </row>
    <row r="882">
      <c r="A882" s="17"/>
    </row>
    <row r="883">
      <c r="A883" s="17"/>
    </row>
    <row r="884">
      <c r="A884" s="17"/>
    </row>
    <row r="885">
      <c r="A885" s="17"/>
    </row>
    <row r="886">
      <c r="A886" s="17"/>
    </row>
    <row r="887">
      <c r="A887" s="17"/>
    </row>
    <row r="888">
      <c r="A888" s="17"/>
    </row>
    <row r="889">
      <c r="A889" s="17"/>
    </row>
    <row r="890">
      <c r="A890" s="17"/>
    </row>
    <row r="891">
      <c r="A891" s="17"/>
    </row>
    <row r="892">
      <c r="A892" s="17"/>
    </row>
    <row r="893">
      <c r="A893" s="17"/>
    </row>
    <row r="894">
      <c r="A894" s="17"/>
    </row>
    <row r="895">
      <c r="A895" s="17"/>
    </row>
    <row r="896">
      <c r="A896" s="17"/>
    </row>
    <row r="897">
      <c r="A897" s="17"/>
    </row>
    <row r="898">
      <c r="A898" s="17"/>
    </row>
    <row r="899">
      <c r="A899" s="17"/>
    </row>
    <row r="900">
      <c r="A900" s="17"/>
    </row>
    <row r="901">
      <c r="A901" s="17"/>
    </row>
    <row r="902">
      <c r="A902" s="17"/>
    </row>
    <row r="903">
      <c r="A903" s="17"/>
    </row>
    <row r="904">
      <c r="A904" s="17"/>
    </row>
    <row r="905">
      <c r="A905" s="17"/>
    </row>
    <row r="906">
      <c r="A906" s="17"/>
    </row>
    <row r="907">
      <c r="A907" s="17"/>
    </row>
    <row r="908">
      <c r="A908" s="17"/>
    </row>
    <row r="909">
      <c r="A909" s="17"/>
    </row>
    <row r="910">
      <c r="A910" s="17"/>
    </row>
    <row r="911">
      <c r="A911" s="17"/>
    </row>
    <row r="912">
      <c r="A912" s="17"/>
    </row>
    <row r="913">
      <c r="A913" s="17"/>
    </row>
    <row r="914">
      <c r="A914" s="17"/>
    </row>
    <row r="915">
      <c r="A915" s="17"/>
    </row>
    <row r="916">
      <c r="A916" s="17"/>
    </row>
    <row r="917">
      <c r="A917" s="17"/>
    </row>
    <row r="918">
      <c r="A918" s="17"/>
    </row>
    <row r="919">
      <c r="A919" s="17"/>
    </row>
    <row r="920">
      <c r="A920" s="17"/>
    </row>
    <row r="921">
      <c r="A921" s="17"/>
    </row>
    <row r="922">
      <c r="A922" s="17"/>
    </row>
    <row r="923">
      <c r="A923" s="17"/>
    </row>
    <row r="924">
      <c r="A924" s="17"/>
    </row>
    <row r="925">
      <c r="A925" s="17"/>
    </row>
    <row r="926">
      <c r="A926" s="17"/>
    </row>
    <row r="927">
      <c r="A927" s="17"/>
    </row>
    <row r="928">
      <c r="A928" s="17"/>
    </row>
    <row r="929">
      <c r="A929" s="17"/>
    </row>
    <row r="930">
      <c r="A930" s="17"/>
    </row>
    <row r="931">
      <c r="A931" s="17"/>
    </row>
    <row r="932">
      <c r="A932" s="17"/>
    </row>
    <row r="933">
      <c r="A933" s="17"/>
    </row>
    <row r="934">
      <c r="A934" s="17"/>
    </row>
    <row r="935">
      <c r="A935" s="17"/>
    </row>
    <row r="936">
      <c r="A936" s="17"/>
    </row>
    <row r="937">
      <c r="A937" s="17"/>
    </row>
    <row r="938">
      <c r="A938" s="17"/>
    </row>
    <row r="939">
      <c r="A939" s="17"/>
    </row>
    <row r="940">
      <c r="A940" s="17"/>
    </row>
    <row r="941">
      <c r="A941" s="17"/>
    </row>
    <row r="942">
      <c r="A942" s="17"/>
    </row>
    <row r="943">
      <c r="A943" s="17"/>
    </row>
    <row r="944">
      <c r="A944" s="17"/>
    </row>
    <row r="945">
      <c r="A945" s="17"/>
    </row>
    <row r="946">
      <c r="A946" s="17"/>
    </row>
    <row r="947">
      <c r="A947" s="17"/>
    </row>
    <row r="948">
      <c r="A948" s="17"/>
    </row>
    <row r="949">
      <c r="A949" s="17"/>
    </row>
    <row r="950">
      <c r="A950" s="17"/>
    </row>
    <row r="951">
      <c r="A951" s="17"/>
    </row>
    <row r="952">
      <c r="A952" s="17"/>
    </row>
    <row r="953">
      <c r="A953" s="17"/>
    </row>
    <row r="954">
      <c r="A954" s="17"/>
    </row>
    <row r="955">
      <c r="A955" s="17"/>
    </row>
    <row r="956">
      <c r="A956" s="17"/>
    </row>
    <row r="957">
      <c r="A957" s="17"/>
    </row>
    <row r="958">
      <c r="A958" s="17"/>
    </row>
    <row r="959">
      <c r="A959" s="17"/>
    </row>
    <row r="960">
      <c r="A960" s="17"/>
    </row>
    <row r="961">
      <c r="A961" s="17"/>
    </row>
    <row r="962">
      <c r="A962" s="17"/>
    </row>
    <row r="963">
      <c r="A963" s="17"/>
    </row>
    <row r="964">
      <c r="A964" s="17"/>
    </row>
    <row r="965">
      <c r="A965" s="17"/>
    </row>
    <row r="966">
      <c r="A966" s="17"/>
    </row>
    <row r="967">
      <c r="A967" s="17"/>
    </row>
    <row r="968">
      <c r="A968" s="17"/>
    </row>
    <row r="969">
      <c r="A969" s="17"/>
    </row>
    <row r="970">
      <c r="A970" s="17"/>
    </row>
    <row r="971">
      <c r="A971" s="17"/>
    </row>
    <row r="972">
      <c r="A972" s="17"/>
    </row>
    <row r="973">
      <c r="A973" s="17"/>
    </row>
    <row r="974">
      <c r="A974" s="17"/>
    </row>
    <row r="975">
      <c r="A975" s="17"/>
    </row>
    <row r="976">
      <c r="A976" s="17"/>
    </row>
    <row r="977">
      <c r="A977" s="17"/>
    </row>
    <row r="978">
      <c r="A978" s="17"/>
    </row>
    <row r="979">
      <c r="A979" s="17"/>
    </row>
    <row r="980">
      <c r="A980" s="17"/>
    </row>
    <row r="981">
      <c r="A981" s="17"/>
    </row>
    <row r="982">
      <c r="A982" s="17"/>
    </row>
    <row r="983">
      <c r="A983" s="17"/>
    </row>
    <row r="984">
      <c r="A984" s="17"/>
    </row>
    <row r="985">
      <c r="A985" s="17"/>
    </row>
    <row r="986">
      <c r="A986" s="17"/>
    </row>
    <row r="987">
      <c r="A987" s="17"/>
    </row>
    <row r="988">
      <c r="A988" s="17"/>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49.13"/>
    <col customWidth="1" min="9" max="9" width="54.13"/>
  </cols>
  <sheetData>
    <row r="1">
      <c r="A1" s="26" t="s">
        <v>8841</v>
      </c>
      <c r="B1" s="33" t="s">
        <v>8853</v>
      </c>
      <c r="C1" s="33" t="s">
        <v>8891</v>
      </c>
      <c r="D1" s="33" t="s">
        <v>8848</v>
      </c>
      <c r="E1" s="26" t="s">
        <v>8892</v>
      </c>
    </row>
    <row r="2">
      <c r="A2" s="1" t="s">
        <v>8842</v>
      </c>
      <c r="B2" s="31">
        <v>0.0706</v>
      </c>
      <c r="C2" s="31">
        <v>0.0601</v>
      </c>
      <c r="D2" s="46">
        <v>101.605</v>
      </c>
      <c r="E2" s="1">
        <v>2028.0</v>
      </c>
    </row>
    <row r="3">
      <c r="A3" s="1" t="s">
        <v>8843</v>
      </c>
      <c r="B3" s="31">
        <v>0.0694</v>
      </c>
      <c r="C3" s="31">
        <v>0.0682</v>
      </c>
      <c r="D3" s="46">
        <v>100.865</v>
      </c>
      <c r="E3" s="1">
        <v>2036.0</v>
      </c>
    </row>
    <row r="4">
      <c r="A4" s="1" t="s">
        <v>8893</v>
      </c>
      <c r="B4" s="31">
        <v>0.0865</v>
      </c>
      <c r="C4" s="31">
        <v>0.0863</v>
      </c>
      <c r="D4" s="46">
        <v>100.2425</v>
      </c>
      <c r="E4" s="1">
        <v>2031.0</v>
      </c>
    </row>
    <row r="8">
      <c r="H8" s="26" t="s">
        <v>8894</v>
      </c>
      <c r="I8" s="26" t="s">
        <v>8895</v>
      </c>
    </row>
    <row r="9">
      <c r="H9" s="1" t="s">
        <v>8896</v>
      </c>
      <c r="I9" s="1" t="s">
        <v>8897</v>
      </c>
    </row>
    <row r="10">
      <c r="H10" s="1" t="s">
        <v>8898</v>
      </c>
      <c r="I10" s="1" t="s">
        <v>8899</v>
      </c>
    </row>
    <row r="11">
      <c r="H11" s="1" t="s">
        <v>8900</v>
      </c>
      <c r="I11" s="1" t="s">
        <v>8901</v>
      </c>
    </row>
    <row r="12">
      <c r="H12" s="1" t="s">
        <v>8902</v>
      </c>
      <c r="I12" s="1" t="s">
        <v>8903</v>
      </c>
    </row>
    <row r="13">
      <c r="H13" s="1" t="s">
        <v>8904</v>
      </c>
      <c r="I13" s="1" t="s">
        <v>8843</v>
      </c>
    </row>
    <row r="16">
      <c r="H16" s="64" t="s">
        <v>8905</v>
      </c>
    </row>
    <row r="17">
      <c r="H17" s="65"/>
    </row>
    <row r="18">
      <c r="H18" s="66" t="s">
        <v>8906</v>
      </c>
    </row>
    <row r="19">
      <c r="H19" s="67"/>
    </row>
    <row r="28">
      <c r="A28" s="26"/>
      <c r="B28" s="26"/>
      <c r="C28" s="26"/>
      <c r="D28" s="26"/>
      <c r="E28" s="26"/>
      <c r="F28" s="26"/>
      <c r="G28" s="26"/>
    </row>
    <row r="29">
      <c r="A29" s="38"/>
    </row>
    <row r="30">
      <c r="A30" s="40"/>
    </row>
    <row r="31">
      <c r="A31" s="32"/>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9" t="s">
        <v>8863</v>
      </c>
    </row>
    <row r="2">
      <c r="A2" s="60" t="s">
        <v>8864</v>
      </c>
    </row>
    <row r="3">
      <c r="A3" s="61"/>
    </row>
    <row r="4">
      <c r="A4" s="62" t="s">
        <v>8865</v>
      </c>
    </row>
    <row r="5">
      <c r="A5" s="61"/>
    </row>
    <row r="6">
      <c r="A6" s="60" t="s">
        <v>8866</v>
      </c>
    </row>
    <row r="7">
      <c r="A7" s="63" t="s">
        <v>8867</v>
      </c>
    </row>
    <row r="8">
      <c r="A8" s="63" t="s">
        <v>8868</v>
      </c>
    </row>
    <row r="9">
      <c r="A9" s="63" t="s">
        <v>8869</v>
      </c>
    </row>
    <row r="10">
      <c r="A10" s="63" t="s">
        <v>8870</v>
      </c>
    </row>
    <row r="11">
      <c r="A11" s="63" t="s">
        <v>8359</v>
      </c>
    </row>
    <row r="12">
      <c r="A12" s="63" t="s">
        <v>8871</v>
      </c>
    </row>
    <row r="13">
      <c r="A13" s="63" t="s">
        <v>8324</v>
      </c>
    </row>
    <row r="14">
      <c r="A14" s="63" t="s">
        <v>8872</v>
      </c>
    </row>
    <row r="15">
      <c r="A15" s="63" t="s">
        <v>8873</v>
      </c>
    </row>
    <row r="16">
      <c r="A16" s="63" t="s">
        <v>8874</v>
      </c>
    </row>
    <row r="17">
      <c r="A17" s="63" t="s">
        <v>8875</v>
      </c>
    </row>
    <row r="18">
      <c r="A18" s="63" t="s">
        <v>8876</v>
      </c>
    </row>
    <row r="19">
      <c r="A19" s="63" t="s">
        <v>8877</v>
      </c>
    </row>
    <row r="20">
      <c r="A20" s="63" t="s">
        <v>8878</v>
      </c>
    </row>
    <row r="21">
      <c r="A21" s="63" t="s">
        <v>8879</v>
      </c>
    </row>
    <row r="22">
      <c r="A22" s="63" t="s">
        <v>8880</v>
      </c>
    </row>
    <row r="23">
      <c r="A23" s="63" t="s">
        <v>8881</v>
      </c>
    </row>
    <row r="24">
      <c r="A24" s="63" t="s">
        <v>8882</v>
      </c>
    </row>
    <row r="25">
      <c r="A25" s="63" t="s">
        <v>8883</v>
      </c>
    </row>
    <row r="26">
      <c r="A26" s="63" t="s">
        <v>8884</v>
      </c>
    </row>
    <row r="27">
      <c r="A27" s="63" t="s">
        <v>8885</v>
      </c>
    </row>
    <row r="28">
      <c r="A28" s="63" t="s">
        <v>8886</v>
      </c>
    </row>
    <row r="29">
      <c r="A29" s="63" t="s">
        <v>8887</v>
      </c>
    </row>
    <row r="30">
      <c r="A30" s="63" t="s">
        <v>8888</v>
      </c>
    </row>
    <row r="31">
      <c r="A31" s="60" t="s">
        <v>8889</v>
      </c>
    </row>
    <row r="32">
      <c r="A32" s="61"/>
    </row>
    <row r="33">
      <c r="A33" s="62" t="s">
        <v>8890</v>
      </c>
    </row>
  </sheetData>
  <drawing r:id="rId1"/>
</worksheet>
</file>